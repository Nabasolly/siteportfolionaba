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ma.tally\Downloads\"/>
    </mc:Choice>
  </mc:AlternateContent>
  <xr:revisionPtr revIDLastSave="0" documentId="13_ncr:1_{398EE909-EBC1-4FED-B444-061B3A958C2A}" xr6:coauthVersionLast="47" xr6:coauthVersionMax="47" xr10:uidLastSave="{00000000-0000-0000-0000-000000000000}"/>
  <bookViews>
    <workbookView xWindow="-120" yWindow="-120" windowWidth="29040" windowHeight="15720" activeTab="1" xr2:uid="{E7920EC1-5A79-4C38-87C5-AC79AD8697B8}"/>
  </bookViews>
  <sheets>
    <sheet name="Base de donnée" sheetId="1" r:id="rId1"/>
    <sheet name="tdb1_ems" sheetId="2" r:id="rId2"/>
    <sheet name="tdb1_ems_alerte" sheetId="3" r:id="rId3"/>
    <sheet name="tdb2_alerte" sheetId="5" r:id="rId4"/>
  </sheets>
  <externalReferences>
    <externalReference r:id="rId5"/>
  </externalReferences>
  <definedNames>
    <definedName name="_xlnm._FilterDatabase" localSheetId="0" hidden="1">'Base de donnée'!$AD$14:$AS$68</definedName>
    <definedName name="_xlnm._FilterDatabase" localSheetId="2" hidden="1">tdb1_ems_alerte!$A$1:$Q$1</definedName>
    <definedName name="_xlnm.Print_Area" localSheetId="1">tdb1_ems!$D$1:$S$960</definedName>
    <definedName name="_xlnm.Print_Area" localSheetId="3">tdb2_alerte!$D$1:$U$156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73" i="2" l="1"/>
  <c r="F741" i="2"/>
  <c r="F653" i="2"/>
  <c r="F612" i="2"/>
  <c r="F259" i="2"/>
  <c r="F473" i="2"/>
  <c r="F390" i="2"/>
  <c r="F342" i="2"/>
  <c r="F221" i="2"/>
  <c r="X6" i="1" l="1"/>
  <c r="D1" i="2"/>
  <c r="AI4" i="1"/>
  <c r="AJ4" i="1"/>
  <c r="AK4" i="1"/>
  <c r="AL4" i="1"/>
  <c r="AM4" i="1" s="1"/>
  <c r="AN4" i="1" s="1"/>
  <c r="AO4" i="1" s="1"/>
  <c r="AP4" i="1" s="1"/>
  <c r="AQ4" i="1" s="1"/>
  <c r="AR4" i="1" s="1"/>
  <c r="AS4" i="1" s="1"/>
  <c r="AI5" i="1"/>
  <c r="AJ5" i="1"/>
  <c r="AK5" i="1"/>
  <c r="AL5" i="1"/>
  <c r="AM5" i="1"/>
  <c r="AN5" i="1" s="1"/>
  <c r="AO5" i="1" s="1"/>
  <c r="AP5" i="1" s="1"/>
  <c r="AQ5" i="1" s="1"/>
  <c r="AR5" i="1" s="1"/>
  <c r="AS5" i="1" s="1"/>
  <c r="AI6" i="1"/>
  <c r="AJ6" i="1"/>
  <c r="AK6" i="1"/>
  <c r="AL6" i="1"/>
  <c r="AM6" i="1"/>
  <c r="AN6" i="1"/>
  <c r="AO6" i="1" s="1"/>
  <c r="AP6" i="1" s="1"/>
  <c r="AQ6" i="1" s="1"/>
  <c r="AR6" i="1" s="1"/>
  <c r="AS6" i="1" s="1"/>
  <c r="AI7" i="1"/>
  <c r="AJ7" i="1" s="1"/>
  <c r="AK7" i="1" s="1"/>
  <c r="AL7" i="1" s="1"/>
  <c r="AM7" i="1" s="1"/>
  <c r="AN7" i="1" s="1"/>
  <c r="AO7" i="1" s="1"/>
  <c r="AP7" i="1" s="1"/>
  <c r="AQ7" i="1" s="1"/>
  <c r="AR7" i="1" s="1"/>
  <c r="AS7" i="1" s="1"/>
  <c r="AI8" i="1"/>
  <c r="AJ8" i="1"/>
  <c r="AK8" i="1" s="1"/>
  <c r="AL8" i="1" s="1"/>
  <c r="AM8" i="1" s="1"/>
  <c r="AN8" i="1" s="1"/>
  <c r="AO8" i="1" s="1"/>
  <c r="AP8" i="1" s="1"/>
  <c r="AQ8" i="1" s="1"/>
  <c r="AR8" i="1" s="1"/>
  <c r="AS8" i="1" s="1"/>
  <c r="AH5" i="1"/>
  <c r="AH6" i="1"/>
  <c r="AH7" i="1"/>
  <c r="AH8" i="1"/>
  <c r="AH4" i="1"/>
  <c r="AC15" i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C36" i="1" s="1"/>
  <c r="AC37" i="1" s="1"/>
  <c r="AC38" i="1" s="1"/>
  <c r="AC39" i="1" s="1"/>
  <c r="AC40" i="1" s="1"/>
  <c r="AC41" i="1" s="1"/>
  <c r="AC42" i="1" s="1"/>
  <c r="AC43" i="1" s="1"/>
  <c r="AC44" i="1" s="1"/>
  <c r="AC45" i="1" s="1"/>
  <c r="AC46" i="1" s="1"/>
  <c r="AC47" i="1" s="1"/>
  <c r="AC48" i="1" s="1"/>
  <c r="AC49" i="1" s="1"/>
  <c r="AC50" i="1" s="1"/>
  <c r="AC51" i="1" s="1"/>
  <c r="AC52" i="1" s="1"/>
  <c r="AC53" i="1" s="1"/>
  <c r="AC54" i="1" s="1"/>
  <c r="Y16" i="1"/>
  <c r="Z16" i="1" s="1"/>
  <c r="Y17" i="1" s="1"/>
  <c r="Z17" i="1" s="1"/>
  <c r="Y18" i="1" s="1"/>
  <c r="Z18" i="1" s="1"/>
  <c r="Y19" i="1" s="1"/>
  <c r="Z19" i="1" s="1"/>
  <c r="Y20" i="1" s="1"/>
  <c r="Z20" i="1" s="1"/>
  <c r="Y21" i="1" s="1"/>
  <c r="Z21" i="1" s="1"/>
  <c r="Y22" i="1" s="1"/>
  <c r="Z22" i="1" s="1"/>
  <c r="Y23" i="1" s="1"/>
  <c r="Z23" i="1" s="1"/>
  <c r="Y24" i="1" s="1"/>
  <c r="Z24" i="1" s="1"/>
  <c r="Y25" i="1" s="1"/>
  <c r="Z25" i="1" s="1"/>
  <c r="Y26" i="1" s="1"/>
  <c r="Z26" i="1" s="1"/>
  <c r="Y27" i="1" s="1"/>
  <c r="Z27" i="1" s="1"/>
  <c r="Y28" i="1" s="1"/>
  <c r="Z28" i="1" s="1"/>
  <c r="Y29" i="1" s="1"/>
  <c r="Z29" i="1" s="1"/>
  <c r="Y30" i="1" s="1"/>
  <c r="Z30" i="1" s="1"/>
  <c r="Y31" i="1" s="1"/>
  <c r="Z31" i="1" s="1"/>
  <c r="Y32" i="1" s="1"/>
  <c r="Z32" i="1" s="1"/>
  <c r="Y33" i="1" s="1"/>
  <c r="Z33" i="1" s="1"/>
  <c r="Y34" i="1" s="1"/>
  <c r="Z34" i="1" s="1"/>
  <c r="Y35" i="1" s="1"/>
  <c r="Z35" i="1" s="1"/>
  <c r="Y36" i="1" s="1"/>
  <c r="Z36" i="1" s="1"/>
  <c r="Y37" i="1" s="1"/>
  <c r="Z37" i="1" s="1"/>
  <c r="Y38" i="1" s="1"/>
  <c r="Z38" i="1" s="1"/>
  <c r="Y39" i="1" s="1"/>
  <c r="Z39" i="1" s="1"/>
  <c r="Y40" i="1" s="1"/>
  <c r="Z40" i="1" s="1"/>
  <c r="Y41" i="1" s="1"/>
  <c r="Z41" i="1" s="1"/>
  <c r="Y42" i="1" s="1"/>
  <c r="Z42" i="1" s="1"/>
  <c r="Y43" i="1" s="1"/>
  <c r="Z43" i="1" s="1"/>
  <c r="Y44" i="1" s="1"/>
  <c r="Z44" i="1" s="1"/>
  <c r="Y45" i="1" s="1"/>
  <c r="Z45" i="1" s="1"/>
  <c r="Y46" i="1" s="1"/>
  <c r="Z46" i="1" s="1"/>
  <c r="Y47" i="1" s="1"/>
  <c r="Z47" i="1" s="1"/>
  <c r="Y48" i="1" s="1"/>
  <c r="Z48" i="1" s="1"/>
  <c r="Y49" i="1" s="1"/>
  <c r="Z49" i="1" s="1"/>
  <c r="Y50" i="1" s="1"/>
  <c r="Z50" i="1" s="1"/>
  <c r="Y51" i="1" s="1"/>
  <c r="Z51" i="1" s="1"/>
  <c r="Y52" i="1" s="1"/>
  <c r="Z52" i="1" s="1"/>
  <c r="Y53" i="1" s="1"/>
  <c r="Z53" i="1" s="1"/>
  <c r="Y54" i="1" s="1"/>
  <c r="Z54" i="1" s="1"/>
  <c r="Y55" i="1" s="1"/>
  <c r="Z55" i="1" s="1"/>
  <c r="Y56" i="1" s="1"/>
  <c r="Z56" i="1" s="1"/>
  <c r="Y57" i="1" s="1"/>
  <c r="Z57" i="1" s="1"/>
  <c r="Y58" i="1" s="1"/>
  <c r="Z58" i="1" s="1"/>
  <c r="Y59" i="1" s="1"/>
  <c r="Z59" i="1" s="1"/>
  <c r="Y60" i="1" s="1"/>
  <c r="Z60" i="1" s="1"/>
  <c r="Y61" i="1" s="1"/>
  <c r="Z61" i="1" s="1"/>
  <c r="Y62" i="1" s="1"/>
  <c r="Z62" i="1" s="1"/>
  <c r="Y63" i="1" s="1"/>
  <c r="Z63" i="1" s="1"/>
  <c r="Y64" i="1" s="1"/>
  <c r="Z64" i="1" s="1"/>
  <c r="Y65" i="1" s="1"/>
  <c r="Z65" i="1" s="1"/>
  <c r="Y66" i="1" s="1"/>
  <c r="Z66" i="1" s="1"/>
  <c r="Y67" i="1" s="1"/>
  <c r="Z67" i="1" s="1"/>
  <c r="Y68" i="1" s="1"/>
  <c r="Z68" i="1" s="1"/>
  <c r="Y69" i="1" s="1"/>
  <c r="Z69" i="1" s="1"/>
  <c r="Y70" i="1" s="1"/>
  <c r="Z70" i="1" s="1"/>
  <c r="Y71" i="1" s="1"/>
  <c r="Z71" i="1" s="1"/>
  <c r="Y72" i="1" s="1"/>
  <c r="Z72" i="1" s="1"/>
  <c r="Y73" i="1" s="1"/>
  <c r="Z73" i="1" s="1"/>
  <c r="Y74" i="1" s="1"/>
  <c r="Z74" i="1" s="1"/>
  <c r="Y75" i="1" s="1"/>
  <c r="Z75" i="1" s="1"/>
  <c r="Y76" i="1" s="1"/>
  <c r="Z76" i="1" s="1"/>
  <c r="Y77" i="1" s="1"/>
  <c r="Z77" i="1" s="1"/>
  <c r="Y78" i="1" s="1"/>
  <c r="Z78" i="1" s="1"/>
  <c r="Y79" i="1" s="1"/>
  <c r="Z79" i="1" s="1"/>
  <c r="Y80" i="1" s="1"/>
  <c r="Z80" i="1" s="1"/>
  <c r="Y81" i="1" s="1"/>
  <c r="Z81" i="1" s="1"/>
  <c r="Y82" i="1" s="1"/>
  <c r="Z82" i="1" s="1"/>
  <c r="Y83" i="1" s="1"/>
  <c r="Z83" i="1" s="1"/>
  <c r="Y84" i="1" s="1"/>
  <c r="Z84" i="1" s="1"/>
  <c r="Y85" i="1" s="1"/>
  <c r="Z85" i="1" s="1"/>
  <c r="Y86" i="1" s="1"/>
  <c r="Z86" i="1" s="1"/>
  <c r="Y87" i="1" s="1"/>
  <c r="Z87" i="1" s="1"/>
  <c r="Y88" i="1" s="1"/>
  <c r="Z88" i="1" s="1"/>
  <c r="Y89" i="1" s="1"/>
  <c r="Z89" i="1" s="1"/>
  <c r="Y90" i="1" s="1"/>
  <c r="Z90" i="1" s="1"/>
  <c r="Y91" i="1" s="1"/>
  <c r="Z91" i="1" s="1"/>
  <c r="Y92" i="1" s="1"/>
  <c r="Z92" i="1" s="1"/>
  <c r="Y93" i="1" s="1"/>
  <c r="Z93" i="1" s="1"/>
  <c r="Y94" i="1" s="1"/>
  <c r="Z94" i="1" s="1"/>
  <c r="Y95" i="1" s="1"/>
  <c r="Z95" i="1" s="1"/>
  <c r="Y96" i="1" s="1"/>
  <c r="Z96" i="1" s="1"/>
  <c r="Y97" i="1" s="1"/>
  <c r="Z97" i="1" s="1"/>
  <c r="Y98" i="1" s="1"/>
  <c r="Z98" i="1" s="1"/>
  <c r="Y99" i="1" s="1"/>
  <c r="Z99" i="1" s="1"/>
  <c r="Y100" i="1" s="1"/>
  <c r="Z100" i="1" s="1"/>
  <c r="Y101" i="1" s="1"/>
  <c r="Z101" i="1" s="1"/>
  <c r="Y102" i="1" s="1"/>
  <c r="Z102" i="1" s="1"/>
  <c r="Y103" i="1" s="1"/>
  <c r="Z103" i="1" s="1"/>
  <c r="Y104" i="1" s="1"/>
  <c r="Z104" i="1" s="1"/>
  <c r="Y105" i="1" s="1"/>
  <c r="Z105" i="1" s="1"/>
  <c r="Y106" i="1" s="1"/>
  <c r="Z106" i="1" s="1"/>
  <c r="Y107" i="1" s="1"/>
  <c r="Z107" i="1" s="1"/>
  <c r="Y108" i="1" s="1"/>
  <c r="Z108" i="1" s="1"/>
  <c r="Y109" i="1" s="1"/>
  <c r="Z109" i="1" s="1"/>
  <c r="Y110" i="1" s="1"/>
  <c r="Z110" i="1" s="1"/>
  <c r="Y111" i="1" s="1"/>
  <c r="Z111" i="1" s="1"/>
  <c r="Y112" i="1" s="1"/>
  <c r="Z112" i="1" s="1"/>
  <c r="Y113" i="1" s="1"/>
  <c r="Z113" i="1" s="1"/>
  <c r="Y114" i="1" s="1"/>
  <c r="Z114" i="1" s="1"/>
  <c r="Y115" i="1" s="1"/>
  <c r="Z115" i="1" s="1"/>
  <c r="Y116" i="1" s="1"/>
  <c r="Z116" i="1" s="1"/>
  <c r="Y117" i="1" s="1"/>
  <c r="Z117" i="1" s="1"/>
  <c r="AC55" i="1" l="1"/>
  <c r="AC56" i="1" l="1"/>
  <c r="AS29" i="1" a="1"/>
  <c r="AM42" i="1" a="1"/>
  <c r="AE20" i="1" a="1"/>
  <c r="AG48" i="1" a="1"/>
  <c r="AK21" i="1" a="1"/>
  <c r="AN17" i="1" a="1"/>
  <c r="AL35" i="1" a="1"/>
  <c r="AE35" i="1" a="1"/>
  <c r="AP45" i="1" a="1"/>
  <c r="AF46" i="1" a="1"/>
  <c r="AS46" i="1" a="1"/>
  <c r="AJ52" i="1" a="1"/>
  <c r="AN22" i="1" a="1"/>
  <c r="AI39" i="1" a="1"/>
  <c r="AL15" i="1" a="1"/>
  <c r="AS41" i="1" a="1"/>
  <c r="AE44" i="1" a="1"/>
  <c r="AO37" i="1" a="1"/>
  <c r="AF50" i="1" a="1"/>
  <c r="AQ33" i="1" a="1"/>
  <c r="AF37" i="1" a="1"/>
  <c r="AH27" i="1" a="1"/>
  <c r="AM32" i="1" a="1"/>
  <c r="AQ30" i="1" a="1"/>
  <c r="AJ43" i="1" a="1"/>
  <c r="AR21" i="1" a="1"/>
  <c r="AK44" i="1" a="1"/>
  <c r="AE32" i="1" a="1"/>
  <c r="AF34" i="1" a="1"/>
  <c r="AO15" i="1" a="1"/>
  <c r="AG25" i="1" a="1"/>
  <c r="AK40" i="1" a="1"/>
  <c r="AE28" i="1" a="1"/>
  <c r="AJ41" i="1" a="1"/>
  <c r="AJ44" i="1" a="1"/>
  <c r="AM35" i="1" a="1"/>
  <c r="AR30" i="1" a="1"/>
  <c r="AS37" i="1" a="1"/>
  <c r="AQ19" i="1" a="1"/>
  <c r="AP22" i="1" a="1"/>
  <c r="AE18" i="1" a="1"/>
  <c r="AO36" i="1" a="1"/>
  <c r="AJ17" i="1" a="1"/>
  <c r="AL31" i="1" a="1"/>
  <c r="AD28" i="1" a="1"/>
  <c r="AS35" i="1" a="1"/>
  <c r="AP42" i="1" a="1"/>
  <c r="AL30" i="1" a="1"/>
  <c r="AP33" i="1" a="1"/>
  <c r="AR45" i="1" a="1"/>
  <c r="AR48" i="1" a="1"/>
  <c r="AG19" i="1" a="1"/>
  <c r="AJ54" i="1" a="1"/>
  <c r="AH32" i="1" a="1"/>
  <c r="AE53" i="1" a="1"/>
  <c r="AS50" i="1" a="1"/>
  <c r="AI40" i="1" a="1"/>
  <c r="AM38" i="1" a="1"/>
  <c r="AO47" i="1" a="1"/>
  <c r="AL45" i="1" a="1"/>
  <c r="AG28" i="1" a="1"/>
  <c r="AE47" i="1" a="1"/>
  <c r="AL19" i="1" a="1"/>
  <c r="AQ48" i="1" a="1"/>
  <c r="AF35" i="1" a="1"/>
  <c r="AJ50" i="1" a="1"/>
  <c r="AH23" i="1" a="1"/>
  <c r="AN41" i="1" a="1"/>
  <c r="AE19" i="1" a="1"/>
  <c r="AN25" i="1" a="1"/>
  <c r="AS42" i="1" a="1"/>
  <c r="AN24" i="1" a="1"/>
  <c r="AJ26" i="1" a="1"/>
  <c r="AD22" i="1" a="1"/>
  <c r="AR35" i="1" a="1"/>
  <c r="AL28" i="1" a="1"/>
  <c r="AR50" i="1" a="1"/>
  <c r="AS34" i="1" a="1"/>
  <c r="AQ28" i="1" a="1"/>
  <c r="AL32" i="1" a="1"/>
  <c r="AD31" i="1" a="1"/>
  <c r="AE45" i="1" a="1"/>
  <c r="AO28" i="1" a="1"/>
  <c r="AG53" i="1" a="1"/>
  <c r="AG26" i="1" a="1"/>
  <c r="AF25" i="1" a="1"/>
  <c r="AJ24" i="1" a="1"/>
  <c r="AD51" i="1" a="1"/>
  <c r="AM20" i="1" a="1"/>
  <c r="AL24" i="1" a="1"/>
  <c r="AQ15" i="1" a="1"/>
  <c r="AS39" i="1" a="1"/>
  <c r="AS22" i="1" a="1"/>
  <c r="AH21" i="1" a="1"/>
  <c r="AP50" i="1" a="1"/>
  <c r="AL42" i="1" a="1"/>
  <c r="AI35" i="1" a="1"/>
  <c r="AG17" i="1" a="1"/>
  <c r="AN55" i="1" a="1"/>
  <c r="AG32" i="1" a="1"/>
  <c r="AI42" i="1" a="1"/>
  <c r="AM23" i="1" a="1"/>
  <c r="AP34" i="1" a="1"/>
  <c r="AS32" i="1" a="1"/>
  <c r="AD36" i="1" a="1"/>
  <c r="AK34" i="1" a="1"/>
  <c r="AJ32" i="1" a="1"/>
  <c r="AF21" i="1" a="1"/>
  <c r="AN50" i="1" a="1"/>
  <c r="AQ51" i="1" a="1"/>
  <c r="AN49" i="1" a="1"/>
  <c r="AM49" i="1" a="1"/>
  <c r="AI49" i="1" a="1"/>
  <c r="AO39" i="1" a="1"/>
  <c r="AQ45" i="1" a="1"/>
  <c r="AI19" i="1" a="1"/>
  <c r="AQ20" i="1" a="1"/>
  <c r="AS28" i="1" a="1"/>
  <c r="AF16" i="1" a="1"/>
  <c r="AR40" i="1" a="1"/>
  <c r="AM17" i="1" a="1"/>
  <c r="AS43" i="1" a="1"/>
  <c r="AE22" i="1" a="1"/>
  <c r="AF52" i="1" a="1"/>
  <c r="AD32" i="1" a="1"/>
  <c r="AH19" i="1" a="1"/>
  <c r="AO46" i="1" a="1"/>
  <c r="AN43" i="1" a="1"/>
  <c r="AD27" i="1" a="1"/>
  <c r="AM50" i="1" a="1"/>
  <c r="AQ53" i="1" a="1"/>
  <c r="AK28" i="1" a="1"/>
  <c r="AK15" i="1" a="1"/>
  <c r="AF48" i="1" a="1"/>
  <c r="AD34" i="1" a="1"/>
  <c r="AJ22" i="1" a="1"/>
  <c r="AJ36" i="1" a="1"/>
  <c r="AO23" i="1" a="1"/>
  <c r="AR51" i="1" a="1"/>
  <c r="AR52" i="1" a="1"/>
  <c r="AM52" i="1" a="1"/>
  <c r="AF28" i="1" a="1"/>
  <c r="AI32" i="1" a="1"/>
  <c r="AG15" i="1" a="1"/>
  <c r="AL53" i="1" a="1"/>
  <c r="AO48" i="1" a="1"/>
  <c r="AI41" i="1" a="1"/>
  <c r="AP41" i="1" a="1"/>
  <c r="AQ26" i="1" a="1"/>
  <c r="AH51" i="1" a="1"/>
  <c r="AS38" i="1" a="1"/>
  <c r="AE51" i="1" a="1"/>
  <c r="AS24" i="1" a="1"/>
  <c r="AS17" i="1" a="1"/>
  <c r="AN18" i="1" a="1"/>
  <c r="AO32" i="1" a="1"/>
  <c r="AE46" i="1" a="1"/>
  <c r="AJ28" i="1" a="1"/>
  <c r="AG24" i="1" a="1"/>
  <c r="AP20" i="1" a="1"/>
  <c r="AH31" i="1" a="1"/>
  <c r="AJ29" i="1" a="1"/>
  <c r="AM26" i="1" a="1"/>
  <c r="AJ15" i="1" a="1"/>
  <c r="AI37" i="1" a="1"/>
  <c r="AK51" i="1" a="1"/>
  <c r="AI46" i="1" a="1"/>
  <c r="AP53" i="1" a="1"/>
  <c r="AM40" i="1" a="1"/>
  <c r="AD33" i="1" a="1"/>
  <c r="AN20" i="1" a="1"/>
  <c r="AR42" i="1" a="1"/>
  <c r="AR16" i="1" a="1"/>
  <c r="AJ51" i="1" a="1"/>
  <c r="AS15" i="1" a="1"/>
  <c r="AK52" i="1" a="1"/>
  <c r="AK49" i="1" a="1"/>
  <c r="AS31" i="1" a="1"/>
  <c r="AM47" i="1" a="1"/>
  <c r="AF22" i="1" a="1"/>
  <c r="AP24" i="1" a="1"/>
  <c r="AQ36" i="1" a="1"/>
  <c r="AQ46" i="1" a="1"/>
  <c r="AF45" i="1" a="1"/>
  <c r="AS54" i="1" a="1"/>
  <c r="AH20" i="1" a="1"/>
  <c r="AM22" i="1" a="1"/>
  <c r="AJ55" i="1" a="1"/>
  <c r="AF40" i="1" a="1"/>
  <c r="AM28" i="1" a="1"/>
  <c r="AN44" i="1" a="1"/>
  <c r="AG34" i="1" a="1"/>
  <c r="AF54" i="1" a="1"/>
  <c r="AS26" i="1" a="1"/>
  <c r="AG49" i="1" a="1"/>
  <c r="AQ25" i="1" a="1"/>
  <c r="AG43" i="1" a="1"/>
  <c r="AR36" i="1" a="1"/>
  <c r="AN51" i="1" a="1"/>
  <c r="AO29" i="1" a="1"/>
  <c r="AM43" i="1" a="1"/>
  <c r="AF41" i="1" a="1"/>
  <c r="AG22" i="1" a="1"/>
  <c r="AL48" i="1" a="1"/>
  <c r="AN21" i="1" a="1"/>
  <c r="AN37" i="1" a="1"/>
  <c r="AP17" i="1" a="1"/>
  <c r="AR54" i="1" a="1"/>
  <c r="AN40" i="1" a="1"/>
  <c r="AK33" i="1" a="1"/>
  <c r="AF19" i="1" a="1"/>
  <c r="AF43" i="1" a="1"/>
  <c r="AE21" i="1" a="1"/>
  <c r="AO24" i="1" a="1"/>
  <c r="AS30" i="1" a="1"/>
  <c r="AL49" i="1" a="1"/>
  <c r="AJ31" i="1" a="1"/>
  <c r="AM39" i="1" a="1"/>
  <c r="AS44" i="1" a="1"/>
  <c r="AI38" i="1" a="1"/>
  <c r="AN35" i="1" a="1"/>
  <c r="AQ17" i="1" a="1"/>
  <c r="AJ39" i="1" a="1"/>
  <c r="AJ40" i="1" a="1"/>
  <c r="AE50" i="1" a="1"/>
  <c r="AF18" i="1" a="1"/>
  <c r="AK22" i="1" a="1"/>
  <c r="AK46" i="1" a="1"/>
  <c r="AO17" i="1" a="1"/>
  <c r="AD24" i="1" a="1"/>
  <c r="AR23" i="1" a="1"/>
  <c r="AM34" i="1" a="1"/>
  <c r="AN46" i="1" a="1"/>
  <c r="AP28" i="1" a="1"/>
  <c r="AM31" i="1" a="1"/>
  <c r="AE49" i="1" a="1"/>
  <c r="AR33" i="1" a="1"/>
  <c r="AG30" i="1" a="1"/>
  <c r="AR19" i="1" a="1"/>
  <c r="AL43" i="1" a="1"/>
  <c r="AF51" i="1" a="1"/>
  <c r="AP52" i="1" a="1"/>
  <c r="AH25" i="1" a="1"/>
  <c r="AO22" i="1" a="1"/>
  <c r="AL40" i="1" a="1"/>
  <c r="AO44" i="1" a="1"/>
  <c r="AP46" i="1" a="1"/>
  <c r="AG39" i="1" a="1"/>
  <c r="AR15" i="1" a="1"/>
  <c r="AH48" i="1" a="1"/>
  <c r="AM46" i="1" a="1"/>
  <c r="AQ41" i="1" a="1"/>
  <c r="AH47" i="1" a="1"/>
  <c r="AD15" i="1" a="1"/>
  <c r="AQ23" i="1" a="1"/>
  <c r="AF38" i="1" a="1"/>
  <c r="AF39" i="1" a="1"/>
  <c r="AI53" i="1" a="1"/>
  <c r="AK53" i="1" a="1"/>
  <c r="AH28" i="1" a="1"/>
  <c r="AM16" i="1" a="1"/>
  <c r="AJ16" i="1" a="1"/>
  <c r="AO40" i="1" a="1"/>
  <c r="AP31" i="1" a="1"/>
  <c r="AS52" i="1" a="1"/>
  <c r="AH26" i="1" a="1"/>
  <c r="AI22" i="1" a="1"/>
  <c r="AI50" i="1" a="1"/>
  <c r="AE30" i="1" a="1"/>
  <c r="AD53" i="1" a="1"/>
  <c r="AL33" i="1" a="1"/>
  <c r="AG36" i="1" a="1"/>
  <c r="AO16" i="1" a="1"/>
  <c r="AD54" i="1" a="1"/>
  <c r="AO38" i="1" a="1"/>
  <c r="AF47" i="1" a="1"/>
  <c r="AK43" i="1" a="1"/>
  <c r="AE23" i="1" a="1"/>
  <c r="AO19" i="1" a="1"/>
  <c r="AL36" i="1" a="1"/>
  <c r="AS21" i="1" a="1"/>
  <c r="AK42" i="1" a="1"/>
  <c r="AR18" i="1" a="1"/>
  <c r="AN29" i="1" a="1"/>
  <c r="AN47" i="1" a="1"/>
  <c r="AL18" i="1" a="1"/>
  <c r="AE41" i="1" a="1"/>
  <c r="AP32" i="1" a="1"/>
  <c r="AF26" i="1" a="1"/>
  <c r="AD44" i="1" a="1"/>
  <c r="AG52" i="1" a="1"/>
  <c r="AG47" i="1" a="1"/>
  <c r="AJ49" i="1" a="1"/>
  <c r="AP38" i="1" a="1"/>
  <c r="AQ31" i="1" a="1"/>
  <c r="AO45" i="1" a="1"/>
  <c r="AR49" i="1" a="1"/>
  <c r="AI47" i="1" a="1"/>
  <c r="AR25" i="1" a="1"/>
  <c r="AR28" i="1" a="1"/>
  <c r="AK19" i="1" a="1"/>
  <c r="AN54" i="1" a="1"/>
  <c r="AE33" i="1" a="1"/>
  <c r="AI23" i="1" a="1"/>
  <c r="AP15" i="1" a="1"/>
  <c r="AR41" i="1" a="1"/>
  <c r="AS20" i="1" a="1"/>
  <c r="AQ52" i="1" a="1"/>
  <c r="AE15" i="1" a="1"/>
  <c r="AL37" i="1" a="1"/>
  <c r="AR39" i="1" a="1"/>
  <c r="AN53" i="1" a="1"/>
  <c r="AG29" i="1" a="1"/>
  <c r="AI51" i="1" a="1"/>
  <c r="AE48" i="1" a="1"/>
  <c r="AP44" i="1" a="1"/>
  <c r="AM36" i="1" a="1"/>
  <c r="AI52" i="1" a="1"/>
  <c r="AF29" i="1" a="1"/>
  <c r="AF53" i="1" a="1"/>
  <c r="AG45" i="1" a="1"/>
  <c r="AI16" i="1" a="1"/>
  <c r="AR46" i="1" a="1"/>
  <c r="AS36" i="1" a="1"/>
  <c r="AE17" i="1" a="1"/>
  <c r="AR26" i="1" a="1"/>
  <c r="AH22" i="1" a="1"/>
  <c r="AH42" i="1" a="1"/>
  <c r="AN36" i="1" a="1"/>
  <c r="AD18" i="1" a="1"/>
  <c r="AJ21" i="1" a="1"/>
  <c r="AI24" i="1" a="1"/>
  <c r="AH37" i="1" a="1"/>
  <c r="AK27" i="1" a="1"/>
  <c r="AK30" i="1" a="1"/>
  <c r="AS27" i="1" a="1"/>
  <c r="AK47" i="1" a="1"/>
  <c r="AJ48" i="1" a="1"/>
  <c r="AK45" i="1" a="1"/>
  <c r="AD17" i="1" a="1"/>
  <c r="AL17" i="1" a="1"/>
  <c r="AS51" i="1" a="1"/>
  <c r="AM37" i="1" a="1"/>
  <c r="AP36" i="1" a="1"/>
  <c r="AE25" i="1" a="1"/>
  <c r="AH17" i="1" a="1"/>
  <c r="AF20" i="1" a="1"/>
  <c r="AS45" i="1" a="1"/>
  <c r="AK16" i="1" a="1"/>
  <c r="AH50" i="1" a="1"/>
  <c r="AI45" i="1" a="1"/>
  <c r="AF17" i="1" a="1"/>
  <c r="AH29" i="1" a="1"/>
  <c r="AF55" i="1" a="1"/>
  <c r="AP55" i="1" a="1"/>
  <c r="AH55" i="1" a="1"/>
  <c r="AH33" i="1" a="1"/>
  <c r="AP47" i="1" a="1"/>
  <c r="AO20" i="1" a="1"/>
  <c r="AP26" i="1" a="1"/>
  <c r="AK39" i="1" a="1"/>
  <c r="AN33" i="1" a="1"/>
  <c r="AR31" i="1" a="1"/>
  <c r="AE55" i="1" a="1"/>
  <c r="AH36" i="1" a="1"/>
  <c r="AM19" i="1" a="1"/>
  <c r="AH30" i="1" a="1"/>
  <c r="AL51" i="1" a="1"/>
  <c r="AN28" i="1" a="1"/>
  <c r="AD30" i="1" a="1"/>
  <c r="AJ37" i="1" a="1"/>
  <c r="AL25" i="1" a="1"/>
  <c r="AE26" i="1" a="1"/>
  <c r="AQ21" i="1" a="1"/>
  <c r="AF36" i="1" a="1"/>
  <c r="AH34" i="1" a="1"/>
  <c r="AG31" i="1" a="1"/>
  <c r="AQ16" i="1" a="1"/>
  <c r="AG27" i="1" a="1"/>
  <c r="AG44" i="1" a="1"/>
  <c r="AH49" i="1" a="1"/>
  <c r="AR24" i="1" a="1"/>
  <c r="AI36" i="1" a="1"/>
  <c r="AI43" i="1" a="1"/>
  <c r="AH41" i="1" a="1"/>
  <c r="AD41" i="1" a="1"/>
  <c r="AE40" i="1" a="1"/>
  <c r="AD37" i="1" a="1"/>
  <c r="AK38" i="1" a="1"/>
  <c r="AG41" i="1" a="1"/>
  <c r="AQ34" i="1" a="1"/>
  <c r="AO51" i="1" a="1"/>
  <c r="AD45" i="1" a="1"/>
  <c r="AI26" i="1" a="1"/>
  <c r="AE38" i="1" a="1"/>
  <c r="AN27" i="1" a="1"/>
  <c r="AS48" i="1" a="1"/>
  <c r="AO35" i="1" a="1"/>
  <c r="AQ39" i="1" a="1"/>
  <c r="AP35" i="1" a="1"/>
  <c r="AQ54" i="1" a="1"/>
  <c r="AG35" i="1" a="1"/>
  <c r="AM25" i="1" a="1"/>
  <c r="AP21" i="1" a="1"/>
  <c r="AM33" i="1" a="1"/>
  <c r="AJ46" i="1" a="1"/>
  <c r="AE36" i="1" a="1"/>
  <c r="AK18" i="1" a="1"/>
  <c r="AP39" i="1" a="1"/>
  <c r="AN26" i="1" a="1"/>
  <c r="AR43" i="1" a="1"/>
  <c r="AJ38" i="1" a="1"/>
  <c r="AD21" i="1" a="1"/>
  <c r="AL46" i="1" a="1"/>
  <c r="AJ18" i="1" a="1"/>
  <c r="AO52" i="1" a="1"/>
  <c r="AD49" i="1" a="1"/>
  <c r="AK50" i="1" a="1"/>
  <c r="AN16" i="1" a="1"/>
  <c r="AH35" i="1" a="1"/>
  <c r="AJ23" i="1" a="1"/>
  <c r="AK29" i="1" a="1"/>
  <c r="AQ29" i="1" a="1"/>
  <c r="AI48" i="1" a="1"/>
  <c r="AJ47" i="1" a="1"/>
  <c r="AI34" i="1" a="1"/>
  <c r="AK48" i="1" a="1"/>
  <c r="AS16" i="1" a="1"/>
  <c r="AD20" i="1" a="1"/>
  <c r="AD42" i="1" a="1"/>
  <c r="AG46" i="1" a="1"/>
  <c r="AN42" i="1" a="1"/>
  <c r="AO26" i="1" a="1"/>
  <c r="AJ35" i="1" a="1"/>
  <c r="AP18" i="1" a="1"/>
  <c r="AE34" i="1" a="1"/>
  <c r="AS53" i="1" a="1"/>
  <c r="AI30" i="1" a="1"/>
  <c r="AL26" i="1" a="1"/>
  <c r="AJ20" i="1" a="1"/>
  <c r="AO18" i="1" a="1"/>
  <c r="AF33" i="1" a="1"/>
  <c r="AP40" i="1" a="1"/>
  <c r="AR38" i="1" a="1"/>
  <c r="AG20" i="1" a="1"/>
  <c r="AO31" i="1" a="1"/>
  <c r="AH40" i="1" a="1"/>
  <c r="AF27" i="1" a="1"/>
  <c r="AM41" i="1" a="1"/>
  <c r="AK41" i="1" a="1"/>
  <c r="AP19" i="1" a="1"/>
  <c r="AQ44" i="1" a="1"/>
  <c r="AF23" i="1" a="1"/>
  <c r="AS18" i="1" a="1"/>
  <c r="AE39" i="1" a="1"/>
  <c r="AD48" i="1" a="1"/>
  <c r="AN32" i="1" a="1"/>
  <c r="AO42" i="1" a="1"/>
  <c r="AQ27" i="1" a="1"/>
  <c r="AR27" i="1" a="1"/>
  <c r="AM27" i="1" a="1"/>
  <c r="AS23" i="1" a="1"/>
  <c r="AI27" i="1" a="1"/>
  <c r="AN19" i="1" a="1"/>
  <c r="AD23" i="1" a="1"/>
  <c r="AK35" i="1" a="1"/>
  <c r="AR44" i="1" a="1"/>
  <c r="AI18" i="1" a="1"/>
  <c r="AH46" i="1" a="1"/>
  <c r="AJ42" i="1" a="1"/>
  <c r="AF15" i="1" a="1"/>
  <c r="AO41" i="1" a="1"/>
  <c r="AD16" i="1" a="1"/>
  <c r="AG33" i="1" a="1"/>
  <c r="AK32" i="1" a="1"/>
  <c r="AR55" i="1" a="1"/>
  <c r="AD55" i="1" a="1"/>
  <c r="AJ25" i="1" a="1"/>
  <c r="AK26" i="1" a="1"/>
  <c r="AN38" i="1" a="1"/>
  <c r="AK36" i="1" a="1"/>
  <c r="AK55" i="1" a="1"/>
  <c r="AM30" i="1" a="1"/>
  <c r="AL27" i="1" a="1"/>
  <c r="AK25" i="1" a="1"/>
  <c r="AP16" i="1" a="1"/>
  <c r="AK24" i="1" a="1"/>
  <c r="AK37" i="1" a="1"/>
  <c r="AE52" i="1" a="1"/>
  <c r="AH45" i="1" a="1"/>
  <c r="AR34" i="1" a="1"/>
  <c r="AI25" i="1" a="1"/>
  <c r="AP25" i="1" a="1"/>
  <c r="AG18" i="1" a="1"/>
  <c r="AG38" i="1" a="1"/>
  <c r="AO33" i="1" a="1"/>
  <c r="AM18" i="1" a="1"/>
  <c r="AI21" i="1" a="1"/>
  <c r="AD35" i="1" a="1"/>
  <c r="AE54" i="1" a="1"/>
  <c r="AP29" i="1" a="1"/>
  <c r="AP43" i="1" a="1"/>
  <c r="AJ27" i="1" a="1"/>
  <c r="AI44" i="1" a="1"/>
  <c r="AL22" i="1" a="1"/>
  <c r="AP49" i="1" a="1"/>
  <c r="AM54" i="1" a="1"/>
  <c r="AD50" i="1" a="1"/>
  <c r="AN39" i="1" a="1"/>
  <c r="AQ22" i="1" a="1"/>
  <c r="AR20" i="1" a="1"/>
  <c r="AJ19" i="1" a="1"/>
  <c r="AQ24" i="1" a="1"/>
  <c r="AI29" i="1" a="1"/>
  <c r="AE43" i="1" a="1"/>
  <c r="AH52" i="1" a="1"/>
  <c r="AR17" i="1" a="1"/>
  <c r="AL39" i="1" a="1"/>
  <c r="AD29" i="1" a="1"/>
  <c r="AK23" i="1" a="1"/>
  <c r="AO21" i="1" a="1"/>
  <c r="AN23" i="1" a="1"/>
  <c r="AM48" i="1" a="1"/>
  <c r="AK20" i="1" a="1"/>
  <c r="AL44" i="1" a="1"/>
  <c r="AE42" i="1" a="1"/>
  <c r="AG40" i="1" a="1"/>
  <c r="AN30" i="1" a="1"/>
  <c r="AG23" i="1" a="1"/>
  <c r="AS19" i="1" a="1"/>
  <c r="AM29" i="1" a="1"/>
  <c r="AM44" i="1" a="1"/>
  <c r="AO25" i="1" a="1"/>
  <c r="AF42" i="1" a="1"/>
  <c r="AG42" i="1" a="1"/>
  <c r="AO34" i="1" a="1"/>
  <c r="AD26" i="1" a="1"/>
  <c r="AM21" i="1" a="1"/>
  <c r="AD46" i="1" a="1"/>
  <c r="AO30" i="1" a="1"/>
  <c r="AI31" i="1" a="1"/>
  <c r="AL16" i="1" a="1"/>
  <c r="AH24" i="1" a="1"/>
  <c r="AJ30" i="1" a="1"/>
  <c r="AN48" i="1" a="1"/>
  <c r="AL29" i="1" a="1"/>
  <c r="AK17" i="1" a="1"/>
  <c r="AF24" i="1" a="1"/>
  <c r="AQ42" i="1" a="1"/>
  <c r="AN34" i="1" a="1"/>
  <c r="AI15" i="1" a="1"/>
  <c r="AL52" i="1" a="1"/>
  <c r="AD19" i="1" a="1"/>
  <c r="AE37" i="1" a="1"/>
  <c r="AJ33" i="1" a="1"/>
  <c r="AR22" i="1" a="1"/>
  <c r="AI54" i="1" a="1"/>
  <c r="AM24" i="1" a="1"/>
  <c r="AI33" i="1" a="1"/>
  <c r="AQ43" i="1" a="1"/>
  <c r="AH54" i="1" a="1"/>
  <c r="AM15" i="1" a="1"/>
  <c r="AF32" i="1" a="1"/>
  <c r="AE24" i="1" a="1"/>
  <c r="AQ38" i="1" a="1"/>
  <c r="AK31" i="1" a="1"/>
  <c r="AH44" i="1" a="1"/>
  <c r="AE16" i="1" a="1"/>
  <c r="AP37" i="1" a="1"/>
  <c r="AL23" i="1" a="1"/>
  <c r="AP27" i="1" a="1"/>
  <c r="AN52" i="1" a="1"/>
  <c r="AM53" i="1" a="1"/>
  <c r="AM45" i="1" a="1"/>
  <c r="AD52" i="1" a="1"/>
  <c r="AO54" i="1" a="1"/>
  <c r="AS49" i="1" a="1"/>
  <c r="AD39" i="1" a="1"/>
  <c r="AJ53" i="1" a="1"/>
  <c r="AO53" i="1" a="1"/>
  <c r="AP48" i="1" a="1"/>
  <c r="AH15" i="1" a="1"/>
  <c r="AH16" i="1" a="1"/>
  <c r="AP30" i="1" a="1"/>
  <c r="AE31" i="1" a="1"/>
  <c r="AF31" i="1" a="1"/>
  <c r="AS25" i="1" a="1"/>
  <c r="AL21" i="1" a="1"/>
  <c r="AG54" i="1" a="1"/>
  <c r="AO27" i="1" a="1"/>
  <c r="AL34" i="1" a="1"/>
  <c r="AH38" i="1" a="1"/>
  <c r="AF49" i="1" a="1"/>
  <c r="AR32" i="1" a="1"/>
  <c r="AJ34" i="1" a="1"/>
  <c r="AS47" i="1" a="1"/>
  <c r="AQ49" i="1" a="1"/>
  <c r="AG51" i="1" a="1"/>
  <c r="AP54" i="1" a="1"/>
  <c r="AG50" i="1" a="1"/>
  <c r="AI55" i="1" a="1"/>
  <c r="AL55" i="1" a="1"/>
  <c r="AO55" i="1" a="1"/>
  <c r="AR29" i="1" a="1"/>
  <c r="AL54" i="1" a="1"/>
  <c r="AQ35" i="1" a="1"/>
  <c r="AK54" i="1" a="1"/>
  <c r="AI20" i="1" a="1"/>
  <c r="AQ40" i="1" a="1"/>
  <c r="AH18" i="1" a="1"/>
  <c r="AL20" i="1" a="1"/>
  <c r="AH43" i="1" a="1"/>
  <c r="AP51" i="1" a="1"/>
  <c r="AQ32" i="1" a="1"/>
  <c r="AN45" i="1" a="1"/>
  <c r="AG55" i="1" a="1"/>
  <c r="AQ47" i="1" a="1"/>
  <c r="AS40" i="1" a="1"/>
  <c r="AD40" i="1" a="1"/>
  <c r="AG21" i="1" a="1"/>
  <c r="AL50" i="1" a="1"/>
  <c r="AR37" i="1" a="1"/>
  <c r="AR47" i="1" a="1"/>
  <c r="AH53" i="1" a="1"/>
  <c r="AQ50" i="1" a="1"/>
  <c r="AI28" i="1" a="1"/>
  <c r="AS55" i="1" a="1"/>
  <c r="AF30" i="1" a="1"/>
  <c r="AL41" i="1" a="1"/>
  <c r="AH39" i="1" a="1"/>
  <c r="AM51" i="1" a="1"/>
  <c r="AJ45" i="1" a="1"/>
  <c r="AQ55" i="1" a="1"/>
  <c r="AQ18" i="1" a="1"/>
  <c r="AO43" i="1" a="1"/>
  <c r="AG16" i="1" a="1"/>
  <c r="AP23" i="1" a="1"/>
  <c r="AE29" i="1" a="1"/>
  <c r="AM55" i="1" a="1"/>
  <c r="AL47" i="1" a="1"/>
  <c r="AQ37" i="1" a="1"/>
  <c r="AS33" i="1" a="1"/>
  <c r="AO50" i="1" a="1"/>
  <c r="AO49" i="1" a="1"/>
  <c r="AI17" i="1" a="1"/>
  <c r="AN31" i="1" a="1"/>
  <c r="AG37" i="1" a="1"/>
  <c r="AD25" i="1" a="1"/>
  <c r="AN15" i="1" a="1"/>
  <c r="AL38" i="1" a="1"/>
  <c r="AE27" i="1" a="1"/>
  <c r="AR53" i="1" a="1"/>
  <c r="AD43" i="1" a="1"/>
  <c r="AD47" i="1" a="1"/>
  <c r="AD38" i="1" a="1"/>
  <c r="AF44" i="1" a="1"/>
  <c r="AQ56" i="1" a="1"/>
  <c r="AH56" i="1" a="1"/>
  <c r="AE56" i="1" a="1"/>
  <c r="AN56" i="1" a="1"/>
  <c r="AI56" i="1" a="1"/>
  <c r="AG56" i="1" a="1"/>
  <c r="AJ56" i="1" a="1"/>
  <c r="AM56" i="1" a="1"/>
  <c r="AD56" i="1" a="1"/>
  <c r="AP56" i="1" a="1"/>
  <c r="AO56" i="1" a="1"/>
  <c r="AR56" i="1" a="1"/>
  <c r="AL56" i="1" a="1"/>
  <c r="AF56" i="1" a="1"/>
  <c r="AS56" i="1" a="1"/>
  <c r="AK56" i="1" a="1"/>
  <c r="AF44" i="1" l="1"/>
  <c r="AD38" i="1"/>
  <c r="AD47" i="1"/>
  <c r="AD43" i="1"/>
  <c r="AR53" i="1"/>
  <c r="AE27" i="1"/>
  <c r="AL38" i="1"/>
  <c r="AN15" i="1"/>
  <c r="AD25" i="1"/>
  <c r="AG37" i="1"/>
  <c r="AN31" i="1"/>
  <c r="AI17" i="1"/>
  <c r="AO49" i="1"/>
  <c r="AO50" i="1"/>
  <c r="AS33" i="1"/>
  <c r="AQ37" i="1"/>
  <c r="AL47" i="1"/>
  <c r="AM55" i="1"/>
  <c r="AE29" i="1"/>
  <c r="AP23" i="1"/>
  <c r="AG16" i="1"/>
  <c r="AO43" i="1"/>
  <c r="AQ18" i="1"/>
  <c r="AQ55" i="1"/>
  <c r="AJ45" i="1"/>
  <c r="AM51" i="1"/>
  <c r="AH39" i="1"/>
  <c r="AL41" i="1"/>
  <c r="AF30" i="1"/>
  <c r="AS55" i="1"/>
  <c r="AI28" i="1"/>
  <c r="AQ50" i="1"/>
  <c r="AH53" i="1"/>
  <c r="AR47" i="1"/>
  <c r="AR37" i="1"/>
  <c r="AL50" i="1"/>
  <c r="AG21" i="1"/>
  <c r="AD40" i="1"/>
  <c r="AS40" i="1"/>
  <c r="AQ47" i="1"/>
  <c r="AG55" i="1"/>
  <c r="AN45" i="1"/>
  <c r="AQ32" i="1"/>
  <c r="AP51" i="1"/>
  <c r="AH43" i="1"/>
  <c r="AL20" i="1"/>
  <c r="AH18" i="1"/>
  <c r="AQ40" i="1"/>
  <c r="AI20" i="1"/>
  <c r="AK54" i="1"/>
  <c r="AQ35" i="1"/>
  <c r="AL54" i="1"/>
  <c r="AR29" i="1"/>
  <c r="AO55" i="1"/>
  <c r="AL55" i="1"/>
  <c r="AI55" i="1"/>
  <c r="AG50" i="1"/>
  <c r="AP54" i="1"/>
  <c r="AG51" i="1"/>
  <c r="AQ49" i="1"/>
  <c r="AS47" i="1"/>
  <c r="AJ34" i="1"/>
  <c r="AR32" i="1"/>
  <c r="AF49" i="1"/>
  <c r="AH38" i="1"/>
  <c r="AL34" i="1"/>
  <c r="AO27" i="1"/>
  <c r="AG54" i="1"/>
  <c r="AL21" i="1"/>
  <c r="AS25" i="1"/>
  <c r="AF31" i="1"/>
  <c r="AE31" i="1"/>
  <c r="AP30" i="1"/>
  <c r="AH16" i="1"/>
  <c r="AH15" i="1"/>
  <c r="AP48" i="1"/>
  <c r="AO53" i="1"/>
  <c r="AJ53" i="1"/>
  <c r="AD39" i="1"/>
  <c r="AS49" i="1"/>
  <c r="AO54" i="1"/>
  <c r="AD52" i="1"/>
  <c r="AM45" i="1"/>
  <c r="AM53" i="1"/>
  <c r="AN52" i="1"/>
  <c r="AP27" i="1"/>
  <c r="AL23" i="1"/>
  <c r="AP37" i="1"/>
  <c r="AE16" i="1"/>
  <c r="AH44" i="1"/>
  <c r="AK31" i="1"/>
  <c r="AQ38" i="1"/>
  <c r="AE24" i="1"/>
  <c r="AF32" i="1"/>
  <c r="AM15" i="1"/>
  <c r="AH54" i="1"/>
  <c r="AQ43" i="1"/>
  <c r="AI33" i="1"/>
  <c r="AM24" i="1"/>
  <c r="AI54" i="1"/>
  <c r="AR22" i="1"/>
  <c r="AJ33" i="1"/>
  <c r="AE37" i="1"/>
  <c r="AD19" i="1"/>
  <c r="AL52" i="1"/>
  <c r="AI15" i="1"/>
  <c r="AN34" i="1"/>
  <c r="AQ42" i="1"/>
  <c r="AF24" i="1"/>
  <c r="AK17" i="1"/>
  <c r="AL29" i="1"/>
  <c r="AN48" i="1"/>
  <c r="AJ30" i="1"/>
  <c r="AH24" i="1"/>
  <c r="AL16" i="1"/>
  <c r="AI31" i="1"/>
  <c r="AO30" i="1"/>
  <c r="AD46" i="1"/>
  <c r="AM21" i="1"/>
  <c r="AD26" i="1"/>
  <c r="AO34" i="1"/>
  <c r="AG42" i="1"/>
  <c r="AF42" i="1"/>
  <c r="AO25" i="1"/>
  <c r="AM44" i="1"/>
  <c r="AM29" i="1"/>
  <c r="AS19" i="1"/>
  <c r="AG23" i="1"/>
  <c r="AN30" i="1"/>
  <c r="AG40" i="1"/>
  <c r="AE42" i="1"/>
  <c r="AL44" i="1"/>
  <c r="AK20" i="1"/>
  <c r="AM48" i="1"/>
  <c r="AN23" i="1"/>
  <c r="AO21" i="1"/>
  <c r="AK23" i="1"/>
  <c r="AD29" i="1"/>
  <c r="AL39" i="1"/>
  <c r="AR17" i="1"/>
  <c r="AH52" i="1"/>
  <c r="AE43" i="1"/>
  <c r="AI29" i="1"/>
  <c r="AQ24" i="1"/>
  <c r="AJ19" i="1"/>
  <c r="AR20" i="1"/>
  <c r="AQ22" i="1"/>
  <c r="AN39" i="1"/>
  <c r="AD50" i="1"/>
  <c r="AM54" i="1"/>
  <c r="AP49" i="1"/>
  <c r="AL22" i="1"/>
  <c r="AI44" i="1"/>
  <c r="AJ27" i="1"/>
  <c r="AP43" i="1"/>
  <c r="AP29" i="1"/>
  <c r="AE54" i="1"/>
  <c r="AD35" i="1"/>
  <c r="AI21" i="1"/>
  <c r="AM18" i="1"/>
  <c r="AO33" i="1"/>
  <c r="AG38" i="1"/>
  <c r="AG18" i="1"/>
  <c r="AP25" i="1"/>
  <c r="AI25" i="1"/>
  <c r="AR34" i="1"/>
  <c r="AH45" i="1"/>
  <c r="AE52" i="1"/>
  <c r="AK37" i="1"/>
  <c r="AK24" i="1"/>
  <c r="AP16" i="1"/>
  <c r="AK25" i="1"/>
  <c r="AL27" i="1"/>
  <c r="AM30" i="1"/>
  <c r="AK55" i="1"/>
  <c r="AK36" i="1"/>
  <c r="AN38" i="1"/>
  <c r="AK26" i="1"/>
  <c r="K741" i="2" s="1"/>
  <c r="AJ25" i="1"/>
  <c r="AD55" i="1"/>
  <c r="AR55" i="1"/>
  <c r="AK32" i="1"/>
  <c r="AG33" i="1"/>
  <c r="AD16" i="1"/>
  <c r="AO41" i="1"/>
  <c r="AF15" i="1"/>
  <c r="AJ42" i="1"/>
  <c r="AH46" i="1"/>
  <c r="AI18" i="1"/>
  <c r="AR44" i="1"/>
  <c r="AK35" i="1"/>
  <c r="AD23" i="1"/>
  <c r="AN19" i="1"/>
  <c r="AI27" i="1"/>
  <c r="AS23" i="1"/>
  <c r="AM27" i="1"/>
  <c r="AR27" i="1"/>
  <c r="AQ27" i="1"/>
  <c r="AO42" i="1"/>
  <c r="AN32" i="1"/>
  <c r="AD48" i="1"/>
  <c r="AE39" i="1"/>
  <c r="AS18" i="1"/>
  <c r="AF23" i="1"/>
  <c r="AQ44" i="1"/>
  <c r="Q612" i="2" s="1"/>
  <c r="AP19" i="1"/>
  <c r="AK41" i="1"/>
  <c r="AM41" i="1"/>
  <c r="AF27" i="1"/>
  <c r="AH40" i="1"/>
  <c r="AO31" i="1"/>
  <c r="AG20" i="1"/>
  <c r="AR38" i="1"/>
  <c r="AP40" i="1"/>
  <c r="AF33" i="1"/>
  <c r="AO18" i="1"/>
  <c r="AJ20" i="1"/>
  <c r="J259" i="2" s="1"/>
  <c r="AL26" i="1"/>
  <c r="AI30" i="1"/>
  <c r="AS53" i="1"/>
  <c r="AE34" i="1"/>
  <c r="AP18" i="1"/>
  <c r="AJ35" i="1"/>
  <c r="AO26" i="1"/>
  <c r="AN42" i="1"/>
  <c r="AG46" i="1"/>
  <c r="AD42" i="1"/>
  <c r="AD20" i="1"/>
  <c r="AS16" i="1"/>
  <c r="AK48" i="1"/>
  <c r="AI34" i="1"/>
  <c r="AJ47" i="1"/>
  <c r="AI48" i="1"/>
  <c r="AQ29" i="1"/>
  <c r="AK29" i="1"/>
  <c r="AJ23" i="1"/>
  <c r="AH35" i="1"/>
  <c r="AN16" i="1"/>
  <c r="AK50" i="1"/>
  <c r="AD49" i="1"/>
  <c r="AO52" i="1"/>
  <c r="AJ18" i="1"/>
  <c r="AL46" i="1"/>
  <c r="AD21" i="1"/>
  <c r="AJ38" i="1"/>
  <c r="AR43" i="1"/>
  <c r="AN26" i="1"/>
  <c r="AP39" i="1"/>
  <c r="AK18" i="1"/>
  <c r="AE36" i="1"/>
  <c r="AJ46" i="1"/>
  <c r="AM33" i="1"/>
  <c r="AP21" i="1"/>
  <c r="AM25" i="1"/>
  <c r="AG35" i="1"/>
  <c r="AQ54" i="1"/>
  <c r="AP35" i="1"/>
  <c r="AQ39" i="1"/>
  <c r="AO35" i="1"/>
  <c r="AS48" i="1"/>
  <c r="AN27" i="1"/>
  <c r="AE38" i="1"/>
  <c r="AI26" i="1"/>
  <c r="AD45" i="1"/>
  <c r="AO51" i="1"/>
  <c r="AQ34" i="1"/>
  <c r="AG41" i="1"/>
  <c r="AK38" i="1"/>
  <c r="AD37" i="1"/>
  <c r="AE40" i="1"/>
  <c r="AD41" i="1"/>
  <c r="AH41" i="1"/>
  <c r="AI43" i="1"/>
  <c r="AI36" i="1"/>
  <c r="AR24" i="1"/>
  <c r="AH49" i="1"/>
  <c r="AG44" i="1"/>
  <c r="AG27" i="1"/>
  <c r="AQ16" i="1"/>
  <c r="AG31" i="1"/>
  <c r="AH34" i="1"/>
  <c r="AF36" i="1"/>
  <c r="AQ21" i="1"/>
  <c r="AE26" i="1"/>
  <c r="AL25" i="1"/>
  <c r="AJ37" i="1"/>
  <c r="AD30" i="1"/>
  <c r="AN28" i="1"/>
  <c r="AL51" i="1"/>
  <c r="AH30" i="1"/>
  <c r="AM19" i="1"/>
  <c r="AH36" i="1"/>
  <c r="AE55" i="1"/>
  <c r="AR31" i="1"/>
  <c r="AN33" i="1"/>
  <c r="AK39" i="1"/>
  <c r="AP26" i="1"/>
  <c r="AO20" i="1"/>
  <c r="AP47" i="1"/>
  <c r="AH33" i="1"/>
  <c r="AH55" i="1"/>
  <c r="AP55" i="1"/>
  <c r="AF55" i="1"/>
  <c r="AH29" i="1"/>
  <c r="AF17" i="1"/>
  <c r="AI45" i="1"/>
  <c r="AH50" i="1"/>
  <c r="AK16" i="1"/>
  <c r="AS45" i="1"/>
  <c r="AF20" i="1"/>
  <c r="AH17" i="1"/>
  <c r="AE25" i="1"/>
  <c r="AP36" i="1"/>
  <c r="AM37" i="1"/>
  <c r="AS51" i="1"/>
  <c r="AL17" i="1"/>
  <c r="AD17" i="1"/>
  <c r="AK45" i="1"/>
  <c r="AJ48" i="1"/>
  <c r="AK47" i="1"/>
  <c r="AS27" i="1"/>
  <c r="AK30" i="1"/>
  <c r="AK27" i="1"/>
  <c r="AH37" i="1"/>
  <c r="AI24" i="1"/>
  <c r="AJ21" i="1"/>
  <c r="AD18" i="1"/>
  <c r="AN36" i="1"/>
  <c r="AH42" i="1"/>
  <c r="AH22" i="1"/>
  <c r="AR26" i="1"/>
  <c r="AE17" i="1"/>
  <c r="AS36" i="1"/>
  <c r="AR46" i="1"/>
  <c r="AI16" i="1"/>
  <c r="AG45" i="1"/>
  <c r="AF53" i="1"/>
  <c r="AF29" i="1"/>
  <c r="AI52" i="1"/>
  <c r="AM36" i="1"/>
  <c r="AP44" i="1"/>
  <c r="P612" i="2" s="1"/>
  <c r="AE48" i="1"/>
  <c r="AI51" i="1"/>
  <c r="AG29" i="1"/>
  <c r="AN53" i="1"/>
  <c r="AR39" i="1"/>
  <c r="AL37" i="1"/>
  <c r="AE15" i="1"/>
  <c r="AQ52" i="1"/>
  <c r="AS20" i="1"/>
  <c r="AR41" i="1"/>
  <c r="AP15" i="1"/>
  <c r="AI23" i="1"/>
  <c r="AE33" i="1"/>
  <c r="AN54" i="1"/>
  <c r="AK19" i="1"/>
  <c r="AR28" i="1"/>
  <c r="AR25" i="1"/>
  <c r="AI47" i="1"/>
  <c r="AR49" i="1"/>
  <c r="AO45" i="1"/>
  <c r="AQ31" i="1"/>
  <c r="AP38" i="1"/>
  <c r="AJ49" i="1"/>
  <c r="AG47" i="1"/>
  <c r="AG52" i="1"/>
  <c r="AD44" i="1"/>
  <c r="AF26" i="1"/>
  <c r="AP32" i="1"/>
  <c r="AE41" i="1"/>
  <c r="AL18" i="1"/>
  <c r="AN47" i="1"/>
  <c r="AN29" i="1"/>
  <c r="AR18" i="1"/>
  <c r="AK42" i="1"/>
  <c r="AS21" i="1"/>
  <c r="AL36" i="1"/>
  <c r="AO19" i="1"/>
  <c r="AE23" i="1"/>
  <c r="AK43" i="1"/>
  <c r="AF47" i="1"/>
  <c r="AO38" i="1"/>
  <c r="AD54" i="1"/>
  <c r="AO16" i="1"/>
  <c r="AG36" i="1"/>
  <c r="AL33" i="1"/>
  <c r="AD53" i="1"/>
  <c r="AE30" i="1"/>
  <c r="AI50" i="1"/>
  <c r="AI22" i="1"/>
  <c r="AH26" i="1"/>
  <c r="AS52" i="1"/>
  <c r="AP31" i="1"/>
  <c r="AO40" i="1"/>
  <c r="AJ16" i="1"/>
  <c r="AM16" i="1"/>
  <c r="AH28" i="1"/>
  <c r="AK53" i="1"/>
  <c r="AI53" i="1"/>
  <c r="AF39" i="1"/>
  <c r="AF38" i="1"/>
  <c r="AQ23" i="1"/>
  <c r="AD15" i="1"/>
  <c r="AH47" i="1"/>
  <c r="AQ41" i="1"/>
  <c r="AM46" i="1"/>
  <c r="AH48" i="1"/>
  <c r="AR15" i="1"/>
  <c r="AG39" i="1"/>
  <c r="AP46" i="1"/>
  <c r="AO44" i="1"/>
  <c r="AL40" i="1"/>
  <c r="AO22" i="1"/>
  <c r="AH25" i="1"/>
  <c r="AP52" i="1"/>
  <c r="AF51" i="1"/>
  <c r="AL43" i="1"/>
  <c r="AR19" i="1"/>
  <c r="AG30" i="1"/>
  <c r="AR33" i="1"/>
  <c r="AE49" i="1"/>
  <c r="AM31" i="1"/>
  <c r="AP28" i="1"/>
  <c r="AN46" i="1"/>
  <c r="AM34" i="1"/>
  <c r="AR23" i="1"/>
  <c r="AD24" i="1"/>
  <c r="AO17" i="1"/>
  <c r="AK46" i="1"/>
  <c r="AK22" i="1"/>
  <c r="AF18" i="1"/>
  <c r="AE50" i="1"/>
  <c r="AJ40" i="1"/>
  <c r="AJ39" i="1"/>
  <c r="AQ17" i="1"/>
  <c r="AN35" i="1"/>
  <c r="AI38" i="1"/>
  <c r="AS44" i="1"/>
  <c r="AM39" i="1"/>
  <c r="AJ31" i="1"/>
  <c r="AL49" i="1"/>
  <c r="AS30" i="1"/>
  <c r="AO24" i="1"/>
  <c r="AE21" i="1"/>
  <c r="AF43" i="1"/>
  <c r="AF19" i="1"/>
  <c r="AK33" i="1"/>
  <c r="AN40" i="1"/>
  <c r="AR54" i="1"/>
  <c r="AP17" i="1"/>
  <c r="AN37" i="1"/>
  <c r="AN21" i="1"/>
  <c r="AL48" i="1"/>
  <c r="AG22" i="1"/>
  <c r="AF41" i="1"/>
  <c r="AM43" i="1"/>
  <c r="AO29" i="1"/>
  <c r="AN51" i="1"/>
  <c r="AR36" i="1"/>
  <c r="AG43" i="1"/>
  <c r="AQ25" i="1"/>
  <c r="AG49" i="1"/>
  <c r="AS26" i="1"/>
  <c r="AF54" i="1"/>
  <c r="AG34" i="1"/>
  <c r="AN44" i="1"/>
  <c r="AM28" i="1"/>
  <c r="AF40" i="1"/>
  <c r="AJ55" i="1"/>
  <c r="AM22" i="1"/>
  <c r="AH20" i="1"/>
  <c r="AS54" i="1"/>
  <c r="AF45" i="1"/>
  <c r="AQ46" i="1"/>
  <c r="AQ36" i="1"/>
  <c r="AP24" i="1"/>
  <c r="AF22" i="1"/>
  <c r="AM47" i="1"/>
  <c r="AS31" i="1"/>
  <c r="AK49" i="1"/>
  <c r="AK52" i="1"/>
  <c r="AS15" i="1"/>
  <c r="AJ51" i="1"/>
  <c r="AR16" i="1"/>
  <c r="AR42" i="1"/>
  <c r="AN20" i="1"/>
  <c r="AD33" i="1"/>
  <c r="AM40" i="1"/>
  <c r="AP53" i="1"/>
  <c r="AI46" i="1"/>
  <c r="AK51" i="1"/>
  <c r="AI37" i="1"/>
  <c r="AJ15" i="1"/>
  <c r="AM26" i="1"/>
  <c r="M741" i="2" s="1"/>
  <c r="AJ29" i="1"/>
  <c r="AH31" i="1"/>
  <c r="AP20" i="1"/>
  <c r="AG24" i="1"/>
  <c r="AJ28" i="1"/>
  <c r="AE46" i="1"/>
  <c r="AO32" i="1"/>
  <c r="AN18" i="1"/>
  <c r="AS17" i="1"/>
  <c r="AS24" i="1"/>
  <c r="AE51" i="1"/>
  <c r="AS38" i="1"/>
  <c r="AH51" i="1"/>
  <c r="AQ26" i="1"/>
  <c r="AP41" i="1"/>
  <c r="AI41" i="1"/>
  <c r="AO48" i="1"/>
  <c r="AL53" i="1"/>
  <c r="AG15" i="1"/>
  <c r="AI32" i="1"/>
  <c r="AF28" i="1"/>
  <c r="AM52" i="1"/>
  <c r="AR52" i="1"/>
  <c r="AR51" i="1"/>
  <c r="AO23" i="1"/>
  <c r="AJ36" i="1"/>
  <c r="AJ22" i="1"/>
  <c r="AD34" i="1"/>
  <c r="AF48" i="1"/>
  <c r="AK15" i="1"/>
  <c r="AK28" i="1"/>
  <c r="AQ53" i="1"/>
  <c r="AM50" i="1"/>
  <c r="AD27" i="1"/>
  <c r="AN43" i="1"/>
  <c r="AO46" i="1"/>
  <c r="AH19" i="1"/>
  <c r="AD32" i="1"/>
  <c r="AF52" i="1"/>
  <c r="AE22" i="1"/>
  <c r="AS43" i="1"/>
  <c r="AM17" i="1"/>
  <c r="AR40" i="1"/>
  <c r="AF16" i="1"/>
  <c r="AS28" i="1"/>
  <c r="AQ20" i="1"/>
  <c r="AI19" i="1"/>
  <c r="AQ45" i="1"/>
  <c r="AO39" i="1"/>
  <c r="AI49" i="1"/>
  <c r="AM49" i="1"/>
  <c r="AN49" i="1"/>
  <c r="AQ51" i="1"/>
  <c r="AN50" i="1"/>
  <c r="AF21" i="1"/>
  <c r="AJ32" i="1"/>
  <c r="AK34" i="1"/>
  <c r="AD36" i="1"/>
  <c r="AS32" i="1"/>
  <c r="AP34" i="1"/>
  <c r="AM23" i="1"/>
  <c r="AI42" i="1"/>
  <c r="AG32" i="1"/>
  <c r="AN55" i="1"/>
  <c r="AG17" i="1"/>
  <c r="AI35" i="1"/>
  <c r="AL42" i="1"/>
  <c r="AP50" i="1"/>
  <c r="AH21" i="1"/>
  <c r="AS22" i="1"/>
  <c r="AS39" i="1"/>
  <c r="AQ15" i="1"/>
  <c r="AL24" i="1"/>
  <c r="AM20" i="1"/>
  <c r="AD51" i="1"/>
  <c r="AJ24" i="1"/>
  <c r="AF25" i="1"/>
  <c r="AG26" i="1"/>
  <c r="AG53" i="1"/>
  <c r="AO28" i="1"/>
  <c r="AE45" i="1"/>
  <c r="AD31" i="1"/>
  <c r="AL32" i="1"/>
  <c r="AQ28" i="1"/>
  <c r="AS34" i="1"/>
  <c r="AR50" i="1"/>
  <c r="AL28" i="1"/>
  <c r="AR35" i="1"/>
  <c r="AD22" i="1"/>
  <c r="AJ26" i="1"/>
  <c r="AN24" i="1"/>
  <c r="AS42" i="1"/>
  <c r="AN25" i="1"/>
  <c r="AE19" i="1"/>
  <c r="AN41" i="1"/>
  <c r="AH23" i="1"/>
  <c r="AJ50" i="1"/>
  <c r="AF35" i="1"/>
  <c r="AQ48" i="1"/>
  <c r="AL19" i="1"/>
  <c r="AE47" i="1"/>
  <c r="AG28" i="1"/>
  <c r="AL45" i="1"/>
  <c r="AO47" i="1"/>
  <c r="AM38" i="1"/>
  <c r="AI40" i="1"/>
  <c r="AS50" i="1"/>
  <c r="AE53" i="1"/>
  <c r="AH32" i="1"/>
  <c r="AJ54" i="1"/>
  <c r="AG19" i="1"/>
  <c r="AR48" i="1"/>
  <c r="AR45" i="1"/>
  <c r="AP33" i="1"/>
  <c r="AL30" i="1"/>
  <c r="AP42" i="1"/>
  <c r="AS35" i="1"/>
  <c r="AD28" i="1"/>
  <c r="AL31" i="1"/>
  <c r="AJ17" i="1"/>
  <c r="AO36" i="1"/>
  <c r="AE18" i="1"/>
  <c r="AP22" i="1"/>
  <c r="AQ19" i="1"/>
  <c r="AS37" i="1"/>
  <c r="AR30" i="1"/>
  <c r="AM35" i="1"/>
  <c r="AJ44" i="1"/>
  <c r="AJ41" i="1"/>
  <c r="AE28" i="1"/>
  <c r="AK40" i="1"/>
  <c r="AG25" i="1"/>
  <c r="AO15" i="1"/>
  <c r="AF34" i="1"/>
  <c r="AE32" i="1"/>
  <c r="AK44" i="1"/>
  <c r="AR21" i="1"/>
  <c r="AJ43" i="1"/>
  <c r="AQ30" i="1"/>
  <c r="AM32" i="1"/>
  <c r="AH27" i="1"/>
  <c r="AF37" i="1"/>
  <c r="AQ33" i="1"/>
  <c r="AF50" i="1"/>
  <c r="AO37" i="1"/>
  <c r="AE44" i="1"/>
  <c r="AS41" i="1"/>
  <c r="AL15" i="1"/>
  <c r="AI39" i="1"/>
  <c r="AN22" i="1"/>
  <c r="AJ52" i="1"/>
  <c r="AS46" i="1"/>
  <c r="AF46" i="1"/>
  <c r="AP45" i="1"/>
  <c r="AE35" i="1"/>
  <c r="AL35" i="1"/>
  <c r="AN17" i="1"/>
  <c r="AK21" i="1"/>
  <c r="AG48" i="1"/>
  <c r="AE20" i="1"/>
  <c r="AM42" i="1"/>
  <c r="AS29" i="1"/>
  <c r="AM56" i="1"/>
  <c r="AE56" i="1"/>
  <c r="AP56" i="1"/>
  <c r="AK56" i="1"/>
  <c r="AQ56" i="1"/>
  <c r="AG56" i="1"/>
  <c r="AF56" i="1"/>
  <c r="AN56" i="1"/>
  <c r="AJ56" i="1"/>
  <c r="AD56" i="1"/>
  <c r="AR56" i="1"/>
  <c r="AS56" i="1"/>
  <c r="AL56" i="1"/>
  <c r="AI56" i="1"/>
  <c r="AH56" i="1"/>
  <c r="AO56" i="1"/>
  <c r="AC57" i="1"/>
  <c r="AF57" i="1" a="1"/>
  <c r="AH57" i="1" a="1"/>
  <c r="AP57" i="1" a="1"/>
  <c r="AS57" i="1" a="1"/>
  <c r="AR57" i="1" a="1"/>
  <c r="AE57" i="1" a="1"/>
  <c r="AG57" i="1" a="1"/>
  <c r="AD57" i="1" a="1"/>
  <c r="AQ57" i="1" a="1"/>
  <c r="AI57" i="1" a="1"/>
  <c r="AJ57" i="1" a="1"/>
  <c r="AK57" i="1" a="1"/>
  <c r="AO57" i="1" a="1"/>
  <c r="AM57" i="1" a="1"/>
  <c r="AN57" i="1" a="1"/>
  <c r="AL57" i="1" a="1"/>
  <c r="Q873" i="2" l="1"/>
  <c r="K873" i="2"/>
  <c r="O653" i="2"/>
  <c r="K221" i="2"/>
  <c r="H742" i="2"/>
  <c r="M873" i="2"/>
  <c r="I873" i="2"/>
  <c r="N612" i="2"/>
  <c r="G612" i="2"/>
  <c r="K342" i="2"/>
  <c r="J612" i="2"/>
  <c r="R221" i="2"/>
  <c r="O873" i="2"/>
  <c r="L653" i="2"/>
  <c r="P741" i="2"/>
  <c r="N342" i="2"/>
  <c r="O259" i="2"/>
  <c r="H614" i="2"/>
  <c r="M342" i="2"/>
  <c r="O221" i="2"/>
  <c r="K653" i="2"/>
  <c r="R653" i="2"/>
  <c r="M259" i="2"/>
  <c r="R612" i="2"/>
  <c r="G342" i="2"/>
  <c r="M221" i="2"/>
  <c r="Q653" i="2"/>
  <c r="H654" i="2"/>
  <c r="G613" i="2"/>
  <c r="N259" i="2"/>
  <c r="I614" i="2"/>
  <c r="P742" i="2"/>
  <c r="O741" i="2"/>
  <c r="M614" i="2"/>
  <c r="I221" i="2"/>
  <c r="Q874" i="2"/>
  <c r="Q741" i="2"/>
  <c r="I653" i="2"/>
  <c r="J342" i="2"/>
  <c r="H343" i="2"/>
  <c r="O742" i="2"/>
  <c r="N614" i="2"/>
  <c r="O342" i="2"/>
  <c r="R875" i="2"/>
  <c r="L655" i="2"/>
  <c r="O612" i="2"/>
  <c r="P342" i="2"/>
  <c r="R613" i="2"/>
  <c r="R342" i="2"/>
  <c r="K343" i="2"/>
  <c r="I259" i="2"/>
  <c r="L342" i="2"/>
  <c r="N655" i="2"/>
  <c r="N743" i="2"/>
  <c r="J741" i="2"/>
  <c r="N742" i="2"/>
  <c r="J873" i="2"/>
  <c r="L741" i="2"/>
  <c r="G260" i="2"/>
  <c r="P259" i="2"/>
  <c r="N873" i="2"/>
  <c r="R259" i="2"/>
  <c r="Q342" i="2"/>
  <c r="H875" i="2"/>
  <c r="K261" i="2"/>
  <c r="R741" i="2"/>
  <c r="K614" i="2"/>
  <c r="N741" i="2"/>
  <c r="P653" i="2"/>
  <c r="K259" i="2"/>
  <c r="Q875" i="2"/>
  <c r="R260" i="2"/>
  <c r="L259" i="2"/>
  <c r="H874" i="2"/>
  <c r="M653" i="2"/>
  <c r="R655" i="2"/>
  <c r="K875" i="2"/>
  <c r="I741" i="2"/>
  <c r="G873" i="2"/>
  <c r="J344" i="2"/>
  <c r="J874" i="2"/>
  <c r="P655" i="2"/>
  <c r="O261" i="2"/>
  <c r="G261" i="2"/>
  <c r="H260" i="2"/>
  <c r="H221" i="2"/>
  <c r="J221" i="2"/>
  <c r="P221" i="2"/>
  <c r="M875" i="2"/>
  <c r="J654" i="2"/>
  <c r="P875" i="2"/>
  <c r="M344" i="2"/>
  <c r="L875" i="2"/>
  <c r="L343" i="2"/>
  <c r="I875" i="2"/>
  <c r="G874" i="2"/>
  <c r="K612" i="2"/>
  <c r="Q259" i="2"/>
  <c r="I342" i="2"/>
  <c r="O260" i="2"/>
  <c r="H655" i="2"/>
  <c r="I654" i="2"/>
  <c r="J614" i="2"/>
  <c r="H741" i="2"/>
  <c r="H342" i="2"/>
  <c r="R873" i="2"/>
  <c r="H653" i="2"/>
  <c r="Q343" i="2"/>
  <c r="L612" i="2"/>
  <c r="Q614" i="2"/>
  <c r="O874" i="2"/>
  <c r="L743" i="2"/>
  <c r="G614" i="2"/>
  <c r="J261" i="2"/>
  <c r="P743" i="2"/>
  <c r="L221" i="2"/>
  <c r="R743" i="2"/>
  <c r="N874" i="2"/>
  <c r="K344" i="2"/>
  <c r="K742" i="2"/>
  <c r="M655" i="2"/>
  <c r="O875" i="2"/>
  <c r="G259" i="2"/>
  <c r="H259" i="2"/>
  <c r="G875" i="2"/>
  <c r="P873" i="2"/>
  <c r="I743" i="2"/>
  <c r="I612" i="2"/>
  <c r="K655" i="2"/>
  <c r="L49" i="2"/>
  <c r="G741" i="2"/>
  <c r="L261" i="2"/>
  <c r="K654" i="2"/>
  <c r="G742" i="2"/>
  <c r="R742" i="2"/>
  <c r="G743" i="2"/>
  <c r="J655" i="2"/>
  <c r="Q260" i="2"/>
  <c r="O743" i="2"/>
  <c r="P654" i="2"/>
  <c r="L260" i="2"/>
  <c r="M874" i="2"/>
  <c r="H612" i="2"/>
  <c r="G343" i="2"/>
  <c r="K613" i="2"/>
  <c r="R654" i="2"/>
  <c r="N343" i="2"/>
  <c r="L613" i="2"/>
  <c r="H873" i="2"/>
  <c r="N261" i="2"/>
  <c r="Q654" i="2"/>
  <c r="N344" i="2"/>
  <c r="J613" i="2"/>
  <c r="I260" i="2"/>
  <c r="N613" i="2"/>
  <c r="Q221" i="2"/>
  <c r="Q655" i="2"/>
  <c r="M743" i="2"/>
  <c r="Q743" i="2"/>
  <c r="L654" i="2"/>
  <c r="I344" i="2"/>
  <c r="L742" i="2"/>
  <c r="N654" i="2"/>
  <c r="K260" i="2"/>
  <c r="K874" i="2"/>
  <c r="J875" i="2"/>
  <c r="H261" i="2"/>
  <c r="J743" i="2"/>
  <c r="J260" i="2"/>
  <c r="O613" i="2"/>
  <c r="P260" i="2"/>
  <c r="M261" i="2"/>
  <c r="R614" i="2"/>
  <c r="I261" i="2"/>
  <c r="G344" i="2"/>
  <c r="O654" i="2"/>
  <c r="R261" i="2"/>
  <c r="P614" i="2"/>
  <c r="J742" i="2"/>
  <c r="I742" i="2"/>
  <c r="M612" i="2"/>
  <c r="O614" i="2"/>
  <c r="I343" i="2"/>
  <c r="H613" i="2"/>
  <c r="K743" i="2"/>
  <c r="L344" i="2"/>
  <c r="I874" i="2"/>
  <c r="N260" i="2"/>
  <c r="Q344" i="2"/>
  <c r="P261" i="2"/>
  <c r="H344" i="2"/>
  <c r="J653" i="2"/>
  <c r="O343" i="2"/>
  <c r="I613" i="2"/>
  <c r="M742" i="2"/>
  <c r="I655" i="2"/>
  <c r="N653" i="2"/>
  <c r="Q742" i="2"/>
  <c r="N875" i="2"/>
  <c r="G654" i="2"/>
  <c r="O344" i="2"/>
  <c r="G653" i="2"/>
  <c r="H743" i="2"/>
  <c r="Q261" i="2"/>
  <c r="N221" i="2"/>
  <c r="P613" i="2"/>
  <c r="L874" i="2"/>
  <c r="P874" i="2"/>
  <c r="G655" i="2"/>
  <c r="M613" i="2"/>
  <c r="R343" i="2"/>
  <c r="R874" i="2"/>
  <c r="O655" i="2"/>
  <c r="Q613" i="2"/>
  <c r="M343" i="2"/>
  <c r="L614" i="2"/>
  <c r="J343" i="2"/>
  <c r="P344" i="2"/>
  <c r="P343" i="2"/>
  <c r="M260" i="2"/>
  <c r="M654" i="2"/>
  <c r="R344" i="2"/>
  <c r="L873" i="2"/>
  <c r="G223" i="2"/>
  <c r="AL57" i="1"/>
  <c r="AN57" i="1"/>
  <c r="AK57" i="1"/>
  <c r="AD57" i="1"/>
  <c r="AI57" i="1"/>
  <c r="AO57" i="1"/>
  <c r="AS57" i="1"/>
  <c r="AM57" i="1"/>
  <c r="AH57" i="1"/>
  <c r="AR57" i="1"/>
  <c r="AE57" i="1"/>
  <c r="AG57" i="1"/>
  <c r="AJ57" i="1"/>
  <c r="AQ57" i="1"/>
  <c r="AF57" i="1"/>
  <c r="AP57" i="1"/>
  <c r="O222" i="2"/>
  <c r="K222" i="2"/>
  <c r="H223" i="2"/>
  <c r="M223" i="2"/>
  <c r="R223" i="2"/>
  <c r="G222" i="2"/>
  <c r="L223" i="2"/>
  <c r="G221" i="2"/>
  <c r="J223" i="2"/>
  <c r="H222" i="2"/>
  <c r="I222" i="2"/>
  <c r="Q223" i="2"/>
  <c r="L222" i="2"/>
  <c r="M222" i="2"/>
  <c r="P223" i="2"/>
  <c r="O223" i="2"/>
  <c r="P222" i="2"/>
  <c r="Q222" i="2"/>
  <c r="R222" i="2"/>
  <c r="I223" i="2"/>
  <c r="N223" i="2"/>
  <c r="J222" i="2"/>
  <c r="K223" i="2"/>
  <c r="N222" i="2"/>
  <c r="AC58" i="1"/>
  <c r="AF58" i="1" a="1"/>
  <c r="AO58" i="1" a="1"/>
  <c r="AL58" i="1" a="1"/>
  <c r="AM58" i="1" a="1"/>
  <c r="AK58" i="1" a="1"/>
  <c r="AN58" i="1" a="1"/>
  <c r="AE58" i="1" a="1"/>
  <c r="AH58" i="1" a="1"/>
  <c r="AI58" i="1" a="1"/>
  <c r="AP58" i="1" a="1"/>
  <c r="AG58" i="1" a="1"/>
  <c r="AR58" i="1" a="1"/>
  <c r="AQ58" i="1" a="1"/>
  <c r="AS58" i="1" a="1"/>
  <c r="AD58" i="1" a="1"/>
  <c r="AJ58" i="1" a="1"/>
  <c r="AF58" i="1" l="1"/>
  <c r="AK58" i="1"/>
  <c r="AH58" i="1"/>
  <c r="AG58" i="1"/>
  <c r="AN58" i="1"/>
  <c r="AS58" i="1"/>
  <c r="AL58" i="1"/>
  <c r="AQ58" i="1"/>
  <c r="AO58" i="1"/>
  <c r="AR58" i="1"/>
  <c r="AM58" i="1"/>
  <c r="AJ58" i="1"/>
  <c r="AP58" i="1"/>
  <c r="AE58" i="1"/>
  <c r="AI58" i="1"/>
  <c r="AD58" i="1"/>
  <c r="AC59" i="1"/>
  <c r="AG59" i="1" a="1"/>
  <c r="AN59" i="1" a="1"/>
  <c r="AS59" i="1" a="1"/>
  <c r="AK59" i="1" a="1"/>
  <c r="AL59" i="1" a="1"/>
  <c r="AM59" i="1" a="1"/>
  <c r="AH59" i="1" a="1"/>
  <c r="AO59" i="1" a="1"/>
  <c r="AD59" i="1" a="1"/>
  <c r="AP59" i="1" a="1"/>
  <c r="AF59" i="1" a="1"/>
  <c r="AE59" i="1" a="1"/>
  <c r="AR59" i="1" a="1"/>
  <c r="AJ59" i="1" a="1"/>
  <c r="AQ59" i="1" a="1"/>
  <c r="AI59" i="1" a="1"/>
  <c r="AH59" i="1" l="1"/>
  <c r="AI59" i="1"/>
  <c r="AR59" i="1"/>
  <c r="AD59" i="1"/>
  <c r="AE59" i="1"/>
  <c r="AK59" i="1"/>
  <c r="AN59" i="1"/>
  <c r="AL59" i="1"/>
  <c r="AS59" i="1"/>
  <c r="AP59" i="1"/>
  <c r="AJ59" i="1"/>
  <c r="AF59" i="1"/>
  <c r="AM59" i="1"/>
  <c r="AO59" i="1"/>
  <c r="AG59" i="1"/>
  <c r="AQ59" i="1"/>
  <c r="AC60" i="1"/>
  <c r="AE60" i="1" a="1"/>
  <c r="AH60" i="1" a="1"/>
  <c r="AI60" i="1" a="1"/>
  <c r="AL60" i="1" a="1"/>
  <c r="AG60" i="1" a="1"/>
  <c r="AR60" i="1" a="1"/>
  <c r="AF60" i="1" a="1"/>
  <c r="AP60" i="1" a="1"/>
  <c r="AK60" i="1" a="1"/>
  <c r="AQ60" i="1" a="1"/>
  <c r="AJ60" i="1" a="1"/>
  <c r="AD60" i="1" a="1"/>
  <c r="AN60" i="1" a="1"/>
  <c r="AM60" i="1" a="1"/>
  <c r="AS60" i="1" a="1"/>
  <c r="AO60" i="1" a="1"/>
  <c r="AF60" i="1" l="1"/>
  <c r="AO60" i="1"/>
  <c r="AD60" i="1"/>
  <c r="AK60" i="1"/>
  <c r="AJ60" i="1"/>
  <c r="AL60" i="1"/>
  <c r="AH60" i="1"/>
  <c r="AR60" i="1"/>
  <c r="AM60" i="1"/>
  <c r="AQ60" i="1"/>
  <c r="AN60" i="1"/>
  <c r="AG60" i="1"/>
  <c r="AI60" i="1"/>
  <c r="AP60" i="1"/>
  <c r="AE60" i="1"/>
  <c r="AS60" i="1"/>
  <c r="AC61" i="1"/>
  <c r="AQ61" i="1" a="1"/>
  <c r="AH61" i="1" a="1"/>
  <c r="AO61" i="1" a="1"/>
  <c r="AS61" i="1" a="1"/>
  <c r="AG61" i="1" a="1"/>
  <c r="AN61" i="1" a="1"/>
  <c r="AF61" i="1" a="1"/>
  <c r="AL61" i="1" a="1"/>
  <c r="AM61" i="1" a="1"/>
  <c r="AP61" i="1" a="1"/>
  <c r="AD61" i="1" a="1"/>
  <c r="AJ61" i="1" a="1"/>
  <c r="AR61" i="1" a="1"/>
  <c r="AK61" i="1" a="1"/>
  <c r="AE61" i="1" a="1"/>
  <c r="AI61" i="1" a="1"/>
  <c r="AF61" i="1" l="1"/>
  <c r="AK61" i="1"/>
  <c r="AR61" i="1"/>
  <c r="AP61" i="1"/>
  <c r="AE61" i="1"/>
  <c r="AS61" i="1"/>
  <c r="AI61" i="1"/>
  <c r="AQ61" i="1"/>
  <c r="AO61" i="1"/>
  <c r="AD61" i="1"/>
  <c r="AJ61" i="1"/>
  <c r="AM61" i="1"/>
  <c r="AN61" i="1"/>
  <c r="AL61" i="1"/>
  <c r="AH61" i="1"/>
  <c r="AG61" i="1"/>
  <c r="AC62" i="1"/>
  <c r="AJ62" i="1" a="1"/>
  <c r="AI62" i="1" a="1"/>
  <c r="AM62" i="1" a="1"/>
  <c r="AO62" i="1" a="1"/>
  <c r="AE62" i="1" a="1"/>
  <c r="AP62" i="1" a="1"/>
  <c r="AH62" i="1" a="1"/>
  <c r="AS62" i="1" a="1"/>
  <c r="AD62" i="1" a="1"/>
  <c r="AF62" i="1" a="1"/>
  <c r="AN62" i="1" a="1"/>
  <c r="AG62" i="1" a="1"/>
  <c r="AL62" i="1" a="1"/>
  <c r="AR62" i="1" a="1"/>
  <c r="AK62" i="1" a="1"/>
  <c r="AQ62" i="1" a="1"/>
  <c r="AH62" i="1" l="1"/>
  <c r="H390" i="2" s="1"/>
  <c r="AK62" i="1"/>
  <c r="K390" i="2" s="1"/>
  <c r="AS62" i="1"/>
  <c r="AF62" i="1"/>
  <c r="AQ62" i="1"/>
  <c r="Q390" i="2" s="1"/>
  <c r="AO62" i="1"/>
  <c r="O390" i="2" s="1"/>
  <c r="AR62" i="1"/>
  <c r="R390" i="2" s="1"/>
  <c r="AJ62" i="1"/>
  <c r="J390" i="2" s="1"/>
  <c r="AM62" i="1"/>
  <c r="M390" i="2" s="1"/>
  <c r="AG62" i="1"/>
  <c r="AL62" i="1"/>
  <c r="L390" i="2" s="1"/>
  <c r="AN62" i="1"/>
  <c r="N390" i="2" s="1"/>
  <c r="AP62" i="1"/>
  <c r="P390" i="2" s="1"/>
  <c r="AD62" i="1"/>
  <c r="AI62" i="1"/>
  <c r="I390" i="2" s="1"/>
  <c r="AE62" i="1"/>
  <c r="AC63" i="1"/>
  <c r="AO63" i="1" a="1"/>
  <c r="AR63" i="1" a="1"/>
  <c r="AM63" i="1" a="1"/>
  <c r="AL63" i="1" a="1"/>
  <c r="AD63" i="1" a="1"/>
  <c r="AH63" i="1" a="1"/>
  <c r="AG63" i="1" a="1"/>
  <c r="AN63" i="1" a="1"/>
  <c r="AQ63" i="1" a="1"/>
  <c r="AI63" i="1" a="1"/>
  <c r="AE63" i="1" a="1"/>
  <c r="AF63" i="1" a="1"/>
  <c r="AS63" i="1" a="1"/>
  <c r="AK63" i="1" a="1"/>
  <c r="AJ63" i="1" a="1"/>
  <c r="AP63" i="1" a="1"/>
  <c r="G475" i="2" l="1"/>
  <c r="G390" i="2"/>
  <c r="H475" i="2"/>
  <c r="L475" i="2"/>
  <c r="P475" i="2"/>
  <c r="I475" i="2"/>
  <c r="M475" i="2"/>
  <c r="Q475" i="2"/>
  <c r="J475" i="2"/>
  <c r="N475" i="2"/>
  <c r="R475" i="2"/>
  <c r="K475" i="2"/>
  <c r="O475" i="2"/>
  <c r="G392" i="2"/>
  <c r="G391" i="2"/>
  <c r="H392" i="2"/>
  <c r="L392" i="2"/>
  <c r="P392" i="2"/>
  <c r="I392" i="2"/>
  <c r="M392" i="2"/>
  <c r="Q392" i="2"/>
  <c r="J392" i="2"/>
  <c r="N392" i="2"/>
  <c r="R392" i="2"/>
  <c r="K392" i="2"/>
  <c r="O392" i="2"/>
  <c r="H391" i="2"/>
  <c r="L391" i="2"/>
  <c r="P391" i="2"/>
  <c r="K391" i="2"/>
  <c r="I391" i="2"/>
  <c r="M391" i="2"/>
  <c r="Q391" i="2"/>
  <c r="O391" i="2"/>
  <c r="J391" i="2"/>
  <c r="N391" i="2"/>
  <c r="R391" i="2"/>
  <c r="AG63" i="1"/>
  <c r="AO63" i="1"/>
  <c r="AD63" i="1"/>
  <c r="AM63" i="1"/>
  <c r="AF63" i="1"/>
  <c r="AI63" i="1"/>
  <c r="AL63" i="1"/>
  <c r="AJ63" i="1"/>
  <c r="AH63" i="1"/>
  <c r="AN63" i="1"/>
  <c r="AS63" i="1"/>
  <c r="AR63" i="1"/>
  <c r="AE63" i="1"/>
  <c r="AK63" i="1"/>
  <c r="AQ63" i="1"/>
  <c r="AP63" i="1"/>
  <c r="AC64" i="1"/>
  <c r="AR64" i="1" a="1"/>
  <c r="AG64" i="1" a="1"/>
  <c r="AE64" i="1" a="1"/>
  <c r="AL64" i="1" a="1"/>
  <c r="AD64" i="1" a="1"/>
  <c r="AP64" i="1" a="1"/>
  <c r="AN64" i="1" a="1"/>
  <c r="AQ64" i="1" a="1"/>
  <c r="AI64" i="1" a="1"/>
  <c r="AK64" i="1" a="1"/>
  <c r="AM64" i="1" a="1"/>
  <c r="AS64" i="1" a="1"/>
  <c r="AJ64" i="1" a="1"/>
  <c r="AO64" i="1" a="1"/>
  <c r="AF64" i="1" a="1"/>
  <c r="AH64" i="1" a="1"/>
  <c r="AH64" i="1" l="1"/>
  <c r="AI64" i="1"/>
  <c r="AN64" i="1"/>
  <c r="AG64" i="1"/>
  <c r="AR64" i="1"/>
  <c r="AP64" i="1"/>
  <c r="AQ64" i="1"/>
  <c r="AL64" i="1"/>
  <c r="AJ64" i="1"/>
  <c r="AK64" i="1"/>
  <c r="AD64" i="1"/>
  <c r="AM64" i="1"/>
  <c r="AS64" i="1"/>
  <c r="AE64" i="1"/>
  <c r="AO64" i="1"/>
  <c r="AF64" i="1"/>
  <c r="AC65" i="1"/>
  <c r="AR65" i="1" a="1"/>
  <c r="AP65" i="1" a="1"/>
  <c r="AS65" i="1" a="1"/>
  <c r="AD65" i="1" a="1"/>
  <c r="AM65" i="1" a="1"/>
  <c r="AE65" i="1" a="1"/>
  <c r="AI65" i="1" a="1"/>
  <c r="AO65" i="1" a="1"/>
  <c r="AJ65" i="1" a="1"/>
  <c r="AF65" i="1" a="1"/>
  <c r="AH65" i="1" a="1"/>
  <c r="AK65" i="1" a="1"/>
  <c r="AG65" i="1" a="1"/>
  <c r="AN65" i="1" a="1"/>
  <c r="AL65" i="1" a="1"/>
  <c r="AQ65" i="1" a="1"/>
  <c r="AQ65" i="1" l="1"/>
  <c r="AM65" i="1"/>
  <c r="AK65" i="1"/>
  <c r="AR65" i="1"/>
  <c r="AI65" i="1"/>
  <c r="AN65" i="1"/>
  <c r="AH65" i="1"/>
  <c r="AG65" i="1"/>
  <c r="AL65" i="1"/>
  <c r="AD65" i="1"/>
  <c r="AP65" i="1"/>
  <c r="AE65" i="1"/>
  <c r="AJ65" i="1"/>
  <c r="AS65" i="1"/>
  <c r="AF65" i="1"/>
  <c r="AO65" i="1"/>
  <c r="AC66" i="1"/>
  <c r="AD66" i="1" a="1"/>
  <c r="AL66" i="1" a="1"/>
  <c r="AQ66" i="1" a="1"/>
  <c r="AK66" i="1" a="1"/>
  <c r="AO66" i="1" a="1"/>
  <c r="AJ66" i="1" a="1"/>
  <c r="AR66" i="1" a="1"/>
  <c r="AF66" i="1" a="1"/>
  <c r="AM66" i="1" a="1"/>
  <c r="AH66" i="1" a="1"/>
  <c r="AP66" i="1" a="1"/>
  <c r="AI66" i="1" a="1"/>
  <c r="AG66" i="1" a="1"/>
  <c r="AN66" i="1" a="1"/>
  <c r="AE66" i="1" a="1"/>
  <c r="AS66" i="1" a="1"/>
  <c r="AG66" i="1" l="1"/>
  <c r="AO66" i="1"/>
  <c r="AI66" i="1"/>
  <c r="AD66" i="1"/>
  <c r="AR66" i="1"/>
  <c r="AE66" i="1"/>
  <c r="AP66" i="1"/>
  <c r="AQ66" i="1"/>
  <c r="AS66" i="1"/>
  <c r="AK66" i="1"/>
  <c r="AL66" i="1"/>
  <c r="AJ66" i="1"/>
  <c r="AN66" i="1"/>
  <c r="AM66" i="1"/>
  <c r="AH66" i="1"/>
  <c r="AF66" i="1"/>
  <c r="AC67" i="1"/>
  <c r="AF67" i="1" a="1"/>
  <c r="AP67" i="1" a="1"/>
  <c r="AN67" i="1" a="1"/>
  <c r="AH67" i="1" a="1"/>
  <c r="AJ67" i="1" a="1"/>
  <c r="AS67" i="1" a="1"/>
  <c r="AK67" i="1" a="1"/>
  <c r="AQ67" i="1" a="1"/>
  <c r="AO67" i="1" a="1"/>
  <c r="AE67" i="1" a="1"/>
  <c r="AD67" i="1" a="1"/>
  <c r="AL67" i="1" a="1"/>
  <c r="AG67" i="1" a="1"/>
  <c r="AM67" i="1" a="1"/>
  <c r="AR67" i="1" a="1"/>
  <c r="AI67" i="1" a="1"/>
  <c r="AG67" i="1" l="1"/>
  <c r="AJ67" i="1"/>
  <c r="AL67" i="1"/>
  <c r="AP67" i="1"/>
  <c r="AK67" i="1"/>
  <c r="AO67" i="1"/>
  <c r="AD67" i="1"/>
  <c r="AE67" i="1"/>
  <c r="AI67" i="1"/>
  <c r="AR67" i="1"/>
  <c r="AN67" i="1"/>
  <c r="AF67" i="1"/>
  <c r="AS67" i="1"/>
  <c r="AH67" i="1"/>
  <c r="AM67" i="1"/>
  <c r="AQ67" i="1"/>
  <c r="AC68" i="1"/>
  <c r="AH68" i="1" a="1"/>
  <c r="AO68" i="1" a="1"/>
  <c r="AM68" i="1" a="1"/>
  <c r="AE68" i="1" a="1"/>
  <c r="AD68" i="1" a="1"/>
  <c r="AQ68" i="1" a="1"/>
  <c r="AL68" i="1" a="1"/>
  <c r="AR68" i="1" a="1"/>
  <c r="AN68" i="1" a="1"/>
  <c r="AI68" i="1" a="1"/>
  <c r="AJ68" i="1" a="1"/>
  <c r="AS68" i="1" a="1"/>
  <c r="AG68" i="1" a="1"/>
  <c r="AF68" i="1" a="1"/>
  <c r="AK68" i="1" a="1"/>
  <c r="AP68" i="1" a="1"/>
  <c r="AG68" i="1" l="1"/>
  <c r="AD68" i="1"/>
  <c r="AN68" i="1"/>
  <c r="N473" i="2" s="1"/>
  <c r="AM68" i="1"/>
  <c r="M473" i="2" s="1"/>
  <c r="AL68" i="1"/>
  <c r="L473" i="2" s="1"/>
  <c r="AH68" i="1"/>
  <c r="H473" i="2" s="1"/>
  <c r="AE68" i="1"/>
  <c r="AP68" i="1"/>
  <c r="P473" i="2" s="1"/>
  <c r="AK68" i="1"/>
  <c r="K473" i="2" s="1"/>
  <c r="AF68" i="1"/>
  <c r="AS68" i="1"/>
  <c r="AO68" i="1"/>
  <c r="O473" i="2" s="1"/>
  <c r="AR68" i="1"/>
  <c r="R473" i="2" s="1"/>
  <c r="AQ68" i="1"/>
  <c r="Q473" i="2" s="1"/>
  <c r="AJ68" i="1"/>
  <c r="J473" i="2" s="1"/>
  <c r="AI68" i="1"/>
  <c r="I473" i="2" s="1"/>
  <c r="G474" i="2" l="1"/>
  <c r="G473" i="2"/>
  <c r="H474" i="2"/>
  <c r="L474" i="2"/>
  <c r="P474" i="2"/>
  <c r="I474" i="2"/>
  <c r="M474" i="2"/>
  <c r="Q474" i="2"/>
  <c r="J474" i="2"/>
  <c r="N474" i="2"/>
  <c r="R474" i="2"/>
  <c r="K474" i="2"/>
  <c r="O47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<sst xmlns="http://schemas.openxmlformats.org/spreadsheetml/2006/main" count="12051" uniqueCount="276">
  <si>
    <t>NUMORG</t>
  </si>
  <si>
    <t>annee</t>
  </si>
  <si>
    <t>_NAME_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</si>
  <si>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</si>
  <si>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</si>
  <si>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</si>
  <si>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</si>
  <si>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</si>
  <si>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</si>
  <si>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</si>
  <si>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</si>
  <si>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</si>
  <si>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</si>
  <si>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</si>
  <si>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</si>
  <si>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COL1</t>
  </si>
  <si>
    <t>000</t>
  </si>
  <si>
    <t>VIS20_cc</t>
  </si>
  <si>
    <t>VIS20_mm</t>
  </si>
  <si>
    <t>del15_cc</t>
  </si>
  <si>
    <t>del15_mm</t>
  </si>
  <si>
    <t>minima_cc</t>
  </si>
  <si>
    <t>minima_mm</t>
  </si>
  <si>
    <t>nbappabo_cc</t>
  </si>
  <si>
    <t>nbappabo_mm</t>
  </si>
  <si>
    <t>nbcourriers_cc</t>
  </si>
  <si>
    <t>nbcourriers_mm</t>
  </si>
  <si>
    <t>nbpieces_cc</t>
  </si>
  <si>
    <t>nbpieces_mm</t>
  </si>
  <si>
    <t>nbvis_cc</t>
  </si>
  <si>
    <t>nbvis_mm</t>
  </si>
  <si>
    <t>txapptra_cc</t>
  </si>
  <si>
    <t>txapptra_mm</t>
  </si>
  <si>
    <t>txapptragt_cc</t>
  </si>
  <si>
    <t>txapptragt_mm</t>
  </si>
  <si>
    <t>01a</t>
  </si>
  <si>
    <t>01b</t>
  </si>
  <si>
    <t>01c</t>
  </si>
  <si>
    <t>01d</t>
  </si>
  <si>
    <t>01e</t>
  </si>
  <si>
    <t>01f</t>
  </si>
  <si>
    <t>01g</t>
  </si>
  <si>
    <t>01h</t>
  </si>
  <si>
    <t>01i</t>
  </si>
  <si>
    <t>01j</t>
  </si>
  <si>
    <t>01k</t>
  </si>
  <si>
    <t>01l</t>
  </si>
  <si>
    <t>01m</t>
  </si>
  <si>
    <t>01n</t>
  </si>
  <si>
    <t>01o</t>
  </si>
  <si>
    <t>01p</t>
  </si>
  <si>
    <t>01q</t>
  </si>
  <si>
    <t>01r</t>
  </si>
  <si>
    <t>01s</t>
  </si>
  <si>
    <t>01t</t>
  </si>
  <si>
    <t>01u</t>
  </si>
  <si>
    <t>01v</t>
  </si>
  <si>
    <t>01w</t>
  </si>
  <si>
    <t>01x</t>
  </si>
  <si>
    <t>01y</t>
  </si>
  <si>
    <t>01z</t>
  </si>
  <si>
    <t>02a</t>
  </si>
  <si>
    <t>02b</t>
  </si>
  <si>
    <t>02c</t>
  </si>
  <si>
    <t>02d</t>
  </si>
  <si>
    <t>02e</t>
  </si>
  <si>
    <t>02f</t>
  </si>
  <si>
    <t>02g</t>
  </si>
  <si>
    <t>02h</t>
  </si>
  <si>
    <t>02i</t>
  </si>
  <si>
    <t>02j</t>
  </si>
  <si>
    <t>02k</t>
  </si>
  <si>
    <t>02l</t>
  </si>
  <si>
    <t>02m</t>
  </si>
  <si>
    <t>02n</t>
  </si>
  <si>
    <t>02o</t>
  </si>
  <si>
    <t>02p</t>
  </si>
  <si>
    <t>02q</t>
  </si>
  <si>
    <t>02r</t>
  </si>
  <si>
    <t>02s</t>
  </si>
  <si>
    <t>02t</t>
  </si>
  <si>
    <t>02u</t>
  </si>
  <si>
    <t>02v</t>
  </si>
  <si>
    <t>02w</t>
  </si>
  <si>
    <t>02x</t>
  </si>
  <si>
    <t>02y</t>
  </si>
  <si>
    <t>02z</t>
  </si>
  <si>
    <t>03a</t>
  </si>
  <si>
    <t>03b</t>
  </si>
  <si>
    <t>03c</t>
  </si>
  <si>
    <t>03d</t>
  </si>
  <si>
    <t>03e</t>
  </si>
  <si>
    <t>03f</t>
  </si>
  <si>
    <t>03g</t>
  </si>
  <si>
    <t>03h</t>
  </si>
  <si>
    <t>03i</t>
  </si>
  <si>
    <t>03j</t>
  </si>
  <si>
    <t>03k</t>
  </si>
  <si>
    <t>03l</t>
  </si>
  <si>
    <t>03m</t>
  </si>
  <si>
    <t>03n</t>
  </si>
  <si>
    <t>03o</t>
  </si>
  <si>
    <t>03p</t>
  </si>
  <si>
    <t>03q</t>
  </si>
  <si>
    <t>03r</t>
  </si>
  <si>
    <t>03s</t>
  </si>
  <si>
    <t>03t</t>
  </si>
  <si>
    <t>03u</t>
  </si>
  <si>
    <t>03v</t>
  </si>
  <si>
    <t>03w</t>
  </si>
  <si>
    <t>03x</t>
  </si>
  <si>
    <t>03y</t>
  </si>
  <si>
    <t>03z</t>
  </si>
  <si>
    <t>04a</t>
  </si>
  <si>
    <t>04b</t>
  </si>
  <si>
    <t>04c</t>
  </si>
  <si>
    <t>04d</t>
  </si>
  <si>
    <t>04e</t>
  </si>
  <si>
    <t>04f</t>
  </si>
  <si>
    <t>04g</t>
  </si>
  <si>
    <t>04h</t>
  </si>
  <si>
    <t>04i</t>
  </si>
  <si>
    <t>04j</t>
  </si>
  <si>
    <t>04k</t>
  </si>
  <si>
    <t>04l</t>
  </si>
  <si>
    <t>04m</t>
  </si>
  <si>
    <t>04n</t>
  </si>
  <si>
    <t>04o</t>
  </si>
  <si>
    <t>04p</t>
  </si>
  <si>
    <t>04q</t>
  </si>
  <si>
    <t>04r</t>
  </si>
  <si>
    <t>04s</t>
  </si>
  <si>
    <t>04t</t>
  </si>
  <si>
    <t>04u</t>
  </si>
  <si>
    <t>04v</t>
  </si>
  <si>
    <t>04w</t>
  </si>
  <si>
    <t>04x</t>
  </si>
  <si>
    <t>NumOrg</t>
  </si>
  <si>
    <t>Rang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</si>
  <si>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</si>
  <si>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</si>
  <si>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</si>
  <si>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</si>
  <si>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</si>
  <si>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</si>
  <si>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</si>
  <si>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</si>
  <si>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</si>
  <si>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</si>
  <si>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</si>
  <si>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</si>
  <si>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</si>
  <si>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</si>
  <si>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</si>
  <si>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</si>
  <si>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Début</t>
  </si>
  <si>
    <t>Fin</t>
  </si>
  <si>
    <t>Jan</t>
  </si>
  <si>
    <t>Fev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</si>
  <si>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</si>
  <si>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</si>
  <si>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</si>
  <si>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</si>
  <si>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</si>
  <si>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</si>
  <si>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</si>
  <si>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</si>
  <si>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</si>
  <si>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Dec</t>
  </si>
  <si>
    <t>Cumul</t>
  </si>
  <si>
    <t>PCAP</t>
  </si>
  <si>
    <t>ACM</t>
  </si>
  <si>
    <t>Janvier</t>
  </si>
  <si>
    <t>Février</t>
  </si>
  <si>
    <t>Avril</t>
  </si>
  <si>
    <t>Juillet</t>
  </si>
  <si>
    <t>Septembre</t>
  </si>
  <si>
    <t>Octobre</t>
  </si>
  <si>
    <t>Novembre</t>
  </si>
  <si>
    <t>Décembre</t>
  </si>
  <si>
    <t>del15</t>
  </si>
  <si>
    <t>minima</t>
  </si>
  <si>
    <t>appel traités</t>
  </si>
  <si>
    <t>appel agents</t>
  </si>
  <si>
    <t>visites 20</t>
  </si>
  <si>
    <t>Tableau de bord stratégique mensuel</t>
  </si>
  <si>
    <t>numorg</t>
  </si>
  <si>
    <t>vide1</t>
  </si>
  <si>
    <t>vis20_cc</t>
  </si>
  <si>
    <t>vide2</t>
  </si>
  <si>
    <t>del15_mm0</t>
  </si>
  <si>
    <t>minima_mm0</t>
  </si>
  <si>
    <t>vis20_mm0</t>
  </si>
  <si>
    <t>txapptragt_mm0</t>
  </si>
  <si>
    <t>vide3</t>
  </si>
  <si>
    <t>del</t>
  </si>
  <si>
    <t>min</t>
  </si>
  <si>
    <t>vis</t>
  </si>
  <si>
    <t>tel</t>
  </si>
  <si>
    <t>ind</t>
  </si>
  <si>
    <t/>
  </si>
  <si>
    <t>Les visites avec un temps d'attente inférieur à 20 minutes</t>
  </si>
  <si>
    <t>Evolution du nombre d'appels téléphoniques aboutis (en millions)</t>
  </si>
  <si>
    <t>Evolution du taux d'appels téléphoniques traités</t>
  </si>
  <si>
    <t>Le taux d'appels traités par les agents</t>
  </si>
  <si>
    <t>Dispersion des caisses selon la part des visites à l'accueil en moins de 20 minutes</t>
  </si>
  <si>
    <t>Dispersion des caisses selon la part des appels traités</t>
  </si>
  <si>
    <t>Dispersion des caisses selon la part des appels traités par les agents</t>
  </si>
  <si>
    <t>Nombre de courriers arrivés (en millions)</t>
  </si>
  <si>
    <t>Nombre de pièces arrivés (en millions)</t>
  </si>
  <si>
    <t>Les pièces traitées en 15 jours ou moins</t>
  </si>
  <si>
    <t>Dispersion des caisses selon la part des pièces traitées en 15 jours ou moins</t>
  </si>
  <si>
    <t>Les pièces traitées en moins de 10 jours (minima sociaux)</t>
  </si>
  <si>
    <t>Dispersion des caisses selon la part des pièces traitées en moins de 10 jours (minima sociaux)</t>
  </si>
  <si>
    <t xml:space="preserve">   GERER LA RELATION CLIENT</t>
  </si>
  <si>
    <r>
      <t xml:space="preserve">  </t>
    </r>
    <r>
      <rPr>
        <b/>
        <sz val="20"/>
        <color theme="1"/>
        <rFont val="Calibri"/>
        <family val="2"/>
        <scheme val="minor"/>
      </rPr>
      <t xml:space="preserve">          SOMMAIRE</t>
    </r>
  </si>
  <si>
    <t>GERER LES CONTACTS PHYSIQUES</t>
  </si>
  <si>
    <t xml:space="preserve">GERER LES CONTACTS TELEPHONIQUES </t>
  </si>
  <si>
    <t xml:space="preserve">GERER LES COURRIERS ENTRANTS </t>
  </si>
  <si>
    <t>TRAITER LES PRESTATIONS INDIVIDUELLES</t>
  </si>
  <si>
    <t xml:space="preserve">TRAITER LES PRESTATIONS LEGALES ET DELEGUEES </t>
  </si>
  <si>
    <t xml:space="preserve">GERER LES PRESTATIONS LIEES AUX MINIMA SOCIAUX </t>
  </si>
  <si>
    <t>Répartition des caisses selon le pourcentage de pièces traitées en moins de 10 jours (minima sociaux)</t>
  </si>
  <si>
    <t xml:space="preserve">GERER LA RELATION CLIENT </t>
  </si>
  <si>
    <t xml:space="preserve">Gérer les contacts physiques </t>
  </si>
  <si>
    <t>Nombre de visites</t>
  </si>
  <si>
    <t xml:space="preserve">Les visites avec un temps d’attente ≤ 20 min </t>
  </si>
  <si>
    <t xml:space="preserve">Dispersion des caisses selon le temps d’attente à l’accueil inférieur à 20 minutes </t>
  </si>
  <si>
    <t xml:space="preserve">Gérer les contacts téléphoniques </t>
  </si>
  <si>
    <t xml:space="preserve">Le taux d’appels traités </t>
  </si>
  <si>
    <t xml:space="preserve">Evolution du nombre d’appels téléphoniques aboutis </t>
  </si>
  <si>
    <t xml:space="preserve">Le taux d’appels traités par un agent </t>
  </si>
  <si>
    <t xml:space="preserve">Dispersion des caisses selon le taux d'appels traités par un agent </t>
  </si>
  <si>
    <t>Gérer les courriers entrants</t>
  </si>
  <si>
    <t xml:space="preserve">Nombre de courriers arrivés </t>
  </si>
  <si>
    <t xml:space="preserve">Nombre de pièces arrivées </t>
  </si>
  <si>
    <t xml:space="preserve">TRAITER LES PRESTATIONS INDIVIDUELLES </t>
  </si>
  <si>
    <t xml:space="preserve">Les pièces traitées en 15 jours ou moins </t>
  </si>
  <si>
    <t xml:space="preserve">Traiter les prestations légales et déléguées </t>
  </si>
  <si>
    <t xml:space="preserve">Répartition des caisses selon le pourcentage de pièces traitées en 15 jours ou moins </t>
  </si>
  <si>
    <t xml:space="preserve">Gérer les prestations liées aux minima sociaux </t>
  </si>
  <si>
    <t>Les pièces traitées en moins de 10 jours (minima sociaux</t>
  </si>
  <si>
    <t>comparée à celle du 1er janvier au mois correspondant de l'année précédente.</t>
  </si>
  <si>
    <t>Exemple : ACM (octobre 2010). On compare la période allant de novembre 2009 à octobre 2010 à la période allant de novembre 2008 à octobre 2009.</t>
  </si>
  <si>
    <r>
      <rPr>
        <b/>
        <sz val="10"/>
        <color theme="1"/>
        <rFont val="Calibri"/>
        <family val="2"/>
        <scheme val="minor"/>
      </rPr>
      <t>Indice PCAP</t>
    </r>
    <r>
      <rPr>
        <sz val="10"/>
        <color theme="1"/>
        <rFont val="Calibri"/>
        <family val="2"/>
        <scheme val="minor"/>
      </rPr>
      <t xml:space="preserve"> : Littéralement, c'est la "période comparable de l'année N à l'année N-1. Il s'agit donc de la période allant du 1er janvier au dernier jour du mois clôturé,</t>
    </r>
  </si>
  <si>
    <r>
      <rPr>
        <b/>
        <sz val="10"/>
        <color theme="1"/>
        <rFont val="Calibri"/>
        <family val="2"/>
        <scheme val="minor"/>
      </rPr>
      <t>Indice ACM</t>
    </r>
    <r>
      <rPr>
        <sz val="10"/>
        <color theme="1"/>
        <rFont val="Calibri"/>
        <family val="2"/>
        <scheme val="minor"/>
      </rPr>
      <t xml:space="preserve"> : C'est l' "année complète mobile". Il s'agit de la période allant des 12 derniers mois comparés aux 12 mois précédant ceux-ci.</t>
    </r>
  </si>
  <si>
    <t>Fevrier</t>
  </si>
  <si>
    <t>Taux appels traités agents</t>
  </si>
  <si>
    <t>Taux visite 20min</t>
  </si>
  <si>
    <t>Minima sociaux</t>
  </si>
  <si>
    <t>Délai de traitement 15j</t>
  </si>
  <si>
    <t>Visites&lt;20 minutes</t>
  </si>
  <si>
    <t>Delai de  traitement minima sociaux</t>
  </si>
  <si>
    <t xml:space="preserve">Delai de  traitement 15 jours </t>
  </si>
  <si>
    <t xml:space="preserve">Code </t>
  </si>
  <si>
    <t>Classement</t>
  </si>
  <si>
    <t>Résultat juillet 2015</t>
  </si>
  <si>
    <t>Objectif atteint et en amélioration / au mois précédent</t>
  </si>
  <si>
    <t>au mois précédent</t>
  </si>
  <si>
    <t>Objectif atteint mais en dégradation /</t>
  </si>
  <si>
    <t>conforme à l'objectif</t>
  </si>
  <si>
    <t>amélioration / au mois précédent</t>
  </si>
  <si>
    <t>Résultat annuel cumulé</t>
  </si>
  <si>
    <t>Objectif mensuel non atteint mais en</t>
  </si>
  <si>
    <t>en dégradation / mois précédent</t>
  </si>
  <si>
    <t xml:space="preserve"> conforme à l'objectif</t>
  </si>
  <si>
    <t>Objectif mensuel non atteint et résultats</t>
  </si>
  <si>
    <t>Résultat annuel cumulé non</t>
  </si>
  <si>
    <t>Déclenchement des alertes :</t>
  </si>
  <si>
    <t>Nombre de visites (en milliers)</t>
  </si>
  <si>
    <t xml:space="preserve">Délai de traitement &lt;=15 jours </t>
  </si>
  <si>
    <t>Délai de traitement minima sociaux</t>
  </si>
  <si>
    <t>% de visites avec un temps d'attente &lt; 20 minute</t>
  </si>
  <si>
    <t xml:space="preserve">     RESULTATS CUMULES 2015</t>
  </si>
  <si>
    <t xml:space="preserve">               LES CAISSES EN ALERTE EN JUILLET 2015</t>
  </si>
  <si>
    <t xml:space="preserve">                                 AVANT VALIDATION RNDC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</si>
</sst>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92D05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8205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593E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0" fontId="0" fillId="0" borderId="1" xfId="0" applyNumberFormat="1" applyBorder="1"/>
    <xf numFmtId="0" fontId="1" fillId="0" borderId="0" xfId="0" applyFont="1"/>
    <xf numFmtId="0" fontId="0" fillId="7" borderId="1" xfId="0" applyFill="1" applyBorder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9" borderId="0" xfId="0" applyFill="1" applyAlignment="1">
      <alignment horizontal="centerContinuous" vertical="center"/>
    </xf>
    <xf numFmtId="0" fontId="3" fillId="9" borderId="0" xfId="0" applyFont="1" applyFill="1" applyAlignment="1">
      <alignment horizontal="centerContinuous" vertical="center"/>
    </xf>
    <xf numFmtId="0" fontId="4" fillId="9" borderId="0" xfId="0" applyFont="1" applyFill="1" applyAlignment="1">
      <alignment horizontal="centerContinuous" vertical="center"/>
    </xf>
    <xf numFmtId="0" fontId="7" fillId="5" borderId="0" xfId="0" applyFont="1" applyFill="1"/>
    <xf numFmtId="0" fontId="8" fillId="0" borderId="0" xfId="0" applyFont="1"/>
    <xf numFmtId="0" fontId="9" fillId="0" borderId="0" xfId="0" applyFont="1"/>
    <xf numFmtId="0" fontId="0" fillId="11" borderId="0" xfId="0" applyFill="1"/>
    <xf numFmtId="9" fontId="0" fillId="0" borderId="1" xfId="1" applyFont="1" applyBorder="1"/>
    <xf numFmtId="0" fontId="10" fillId="0" borderId="0" xfId="0" applyFont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11" fillId="14" borderId="0" xfId="0" applyFont="1" applyFill="1"/>
    <xf numFmtId="0" fontId="13" fillId="0" borderId="0" xfId="0" applyFont="1"/>
    <xf numFmtId="0" fontId="14" fillId="10" borderId="0" xfId="0" applyFont="1" applyFill="1"/>
    <xf numFmtId="0" fontId="15" fillId="10" borderId="0" xfId="0" applyFont="1" applyFill="1"/>
    <xf numFmtId="0" fontId="6" fillId="10" borderId="0" xfId="0" applyFont="1" applyFill="1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/>
    <xf numFmtId="0" fontId="19" fillId="10" borderId="0" xfId="0" applyFont="1" applyFill="1" applyAlignment="1">
      <alignment horizontal="center" vertical="center"/>
    </xf>
    <xf numFmtId="0" fontId="20" fillId="10" borderId="0" xfId="0" applyFont="1" applyFill="1" applyAlignment="1">
      <alignment horizontal="center" vertical="top"/>
    </xf>
    <xf numFmtId="0" fontId="0" fillId="15" borderId="0" xfId="0" applyFill="1"/>
    <xf numFmtId="0" fontId="0" fillId="0" borderId="1" xfId="0" applyBorder="1"/>
    <xf numFmtId="0" fontId="0" fillId="15" borderId="1" xfId="0" applyFill="1" applyBorder="1"/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/>
    <xf numFmtId="0" fontId="0" fillId="0" borderId="0" xfId="0" applyAlignment="1">
      <alignment horizontal="left"/>
    </xf>
    <xf numFmtId="0" fontId="0" fillId="16" borderId="0" xfId="0" applyFill="1"/>
    <xf numFmtId="0" fontId="0" fillId="3" borderId="0" xfId="0" applyFill="1"/>
    <xf numFmtId="0" fontId="21" fillId="17" borderId="0" xfId="0" applyFont="1" applyFill="1"/>
    <xf numFmtId="0" fontId="18" fillId="0" borderId="0" xfId="0" applyFont="1"/>
    <xf numFmtId="0" fontId="1" fillId="6" borderId="0" xfId="0" applyFont="1" applyFill="1"/>
    <xf numFmtId="0" fontId="8" fillId="14" borderId="0" xfId="0" applyFont="1" applyFill="1"/>
    <xf numFmtId="0" fontId="18" fillId="0" borderId="2" xfId="0" applyFont="1" applyBorder="1" applyAlignment="1">
      <alignment horizontal="left" vertical="center"/>
    </xf>
    <xf numFmtId="0" fontId="0" fillId="0" borderId="0" xfId="0" applyBorder="1"/>
    <xf numFmtId="0" fontId="17" fillId="0" borderId="3" xfId="0" applyFont="1" applyBorder="1" applyAlignment="1">
      <alignment horizontal="center" vertical="center" wrapText="1"/>
    </xf>
    <xf numFmtId="0" fontId="0" fillId="0" borderId="3" xfId="0" applyBorder="1"/>
    <xf numFmtId="0" fontId="18" fillId="0" borderId="0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22" fillId="11" borderId="0" xfId="0" applyFont="1" applyFill="1"/>
  </cellXfs>
  <cellStyles count="2">
    <cellStyle name="Normal" xfId="0" builtinId="0"/>
    <cellStyle name="Pourcentage" xfId="1" builtinId="5"/>
  </cellStyles>
  <dxfs count="21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82059"/>
      <color rgb="FF0593EB"/>
      <color rgb="FF0FF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694452104919895E-2"/>
          <c:y val="3.619090746997506E-2"/>
          <c:w val="0.9151923716421746"/>
          <c:h val="0.811128483570533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'Base de donnée'!$AE$15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bg1"/>
            </a:solidFill>
            <a:ln w="3175">
              <a:solidFill>
                <a:schemeClr val="tx1"/>
              </a:solidFill>
              <a:prstDash val="sysDash"/>
            </a:ln>
            <a:effectLst/>
          </c:spPr>
          <c:invertIfNegative val="0"/>
          <c:dPt>
            <c:idx val="12"/>
            <c:invertIfNegative val="0"/>
            <c:bubble3D val="0"/>
            <c:spPr>
              <a:solidFill>
                <a:schemeClr val="bg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6F-46E4-9AD0-37396595D67A}"/>
              </c:ext>
            </c:extLst>
          </c:dPt>
          <c:dLbls>
            <c:dLbl>
              <c:idx val="1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6F-46E4-9AD0-37396595D67A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donnée'!$AG$15:$AS$15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0.83363363363363363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6F-46E4-9AD0-37396595D67A}"/>
            </c:ext>
          </c:extLst>
        </c:ser>
        <c:ser>
          <c:idx val="1"/>
          <c:order val="1"/>
          <c:tx>
            <c:strRef>
              <c:f>'Base de donnée'!$AE$16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0593EB"/>
            </a:solidFill>
            <a:ln>
              <a:noFill/>
            </a:ln>
            <a:effectLst/>
          </c:spPr>
          <c:invertIfNegative val="0"/>
          <c:dLbls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91-4DEB-BED6-2C30181F59E7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593E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donnée'!$AG$16:$AS$16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0.81313633565373866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6F-46E4-9AD0-37396595D67A}"/>
            </c:ext>
          </c:extLst>
        </c:ser>
        <c:ser>
          <c:idx val="2"/>
          <c:order val="2"/>
          <c:tx>
            <c:strRef>
              <c:f>'Base de donnée'!$AE$17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E82059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2059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donnée'!$AG$17:$AS$17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0.99590293098014493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6F-46E4-9AD0-37396595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2726960"/>
        <c:axId val="1812727376"/>
      </c:barChart>
      <c:lineChart>
        <c:grouping val="standard"/>
        <c:varyColors val="0"/>
        <c:ser>
          <c:idx val="3"/>
          <c:order val="3"/>
          <c:tx>
            <c:strRef>
              <c:f>'Base de donnée'!$AE$18</c:f>
              <c:strCache>
                <c:ptCount val="1"/>
                <c:pt idx="0">
                  <c:v>2013</c:v>
                </c:pt>
              </c:strCache>
            </c:strRef>
          </c:tx>
          <c:spPr>
            <a:ln w="952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donnée'!$AG$18:$AS$18</c:f>
              <c:numCache>
                <c:formatCode>General</c:formatCode>
                <c:ptCount val="13"/>
                <c:pt idx="0">
                  <c:v>0.76309399930627819</c:v>
                </c:pt>
                <c:pt idx="1">
                  <c:v>0.82007056056448446</c:v>
                </c:pt>
                <c:pt idx="2">
                  <c:v>0.82967255086915515</c:v>
                </c:pt>
                <c:pt idx="3">
                  <c:v>0.82321941871606519</c:v>
                </c:pt>
                <c:pt idx="4">
                  <c:v>0.82439900525006904</c:v>
                </c:pt>
                <c:pt idx="5">
                  <c:v>0.89501976284584983</c:v>
                </c:pt>
                <c:pt idx="6">
                  <c:v>0.90971571383942518</c:v>
                </c:pt>
                <c:pt idx="7">
                  <c:v>0.90856286303166578</c:v>
                </c:pt>
                <c:pt idx="8">
                  <c:v>0.80214033807612795</c:v>
                </c:pt>
                <c:pt idx="9">
                  <c:v>0.80253860246008901</c:v>
                </c:pt>
                <c:pt idx="10">
                  <c:v>0.79484457922668683</c:v>
                </c:pt>
                <c:pt idx="11">
                  <c:v>0.78377576746255373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6F-46E4-9AD0-37396595D67A}"/>
            </c:ext>
          </c:extLst>
        </c:ser>
        <c:ser>
          <c:idx val="4"/>
          <c:order val="4"/>
          <c:tx>
            <c:strRef>
              <c:f>'Base de donnée'!$AE$19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rgbClr val="0593EB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593EB"/>
              </a:solidFill>
              <a:ln w="9525">
                <a:noFill/>
              </a:ln>
              <a:effectLst/>
            </c:spPr>
          </c:marker>
          <c:dLbls>
            <c:dLbl>
              <c:idx val="5"/>
              <c:layout>
                <c:manualLayout>
                  <c:x val="-4.9362968056837729E-2"/>
                  <c:y val="5.66318176902014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E6F-46E4-9AD0-37396595D67A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593E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donnée'!$AG$19:$AS$19</c:f>
              <c:numCache>
                <c:formatCode>General</c:formatCode>
                <c:ptCount val="13"/>
                <c:pt idx="0">
                  <c:v>0.72525015967638917</c:v>
                </c:pt>
                <c:pt idx="1">
                  <c:v>0.76704055220017253</c:v>
                </c:pt>
                <c:pt idx="2">
                  <c:v>0.76099453866053468</c:v>
                </c:pt>
                <c:pt idx="3">
                  <c:v>0.81193798449612398</c:v>
                </c:pt>
                <c:pt idx="4">
                  <c:v>0.88894575230296824</c:v>
                </c:pt>
                <c:pt idx="5">
                  <c:v>0.975830078125</c:v>
                </c:pt>
                <c:pt idx="6">
                  <c:v>0.99638009049773757</c:v>
                </c:pt>
                <c:pt idx="7">
                  <c:v>0.99453053783044665</c:v>
                </c:pt>
                <c:pt idx="8">
                  <c:v>0.99615992771628648</c:v>
                </c:pt>
                <c:pt idx="9">
                  <c:v>0.99908925318761388</c:v>
                </c:pt>
                <c:pt idx="10">
                  <c:v>0.99805194805194808</c:v>
                </c:pt>
                <c:pt idx="11">
                  <c:v>0.95098468271334791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E6F-46E4-9AD0-37396595D67A}"/>
            </c:ext>
          </c:extLst>
        </c:ser>
        <c:ser>
          <c:idx val="5"/>
          <c:order val="5"/>
          <c:tx>
            <c:strRef>
              <c:f>'Base de donnée'!$AE$20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rgbClr val="E82059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E82059"/>
              </a:solidFill>
              <a:ln w="9525">
                <a:noFill/>
              </a:ln>
              <a:effectLst/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E82059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donnée'!$AG$20:$AS$20</c:f>
              <c:numCache>
                <c:formatCode>General</c:formatCode>
                <c:ptCount val="13"/>
                <c:pt idx="0">
                  <c:v>0.99510726383138881</c:v>
                </c:pt>
                <c:pt idx="1">
                  <c:v>0.99567333693888593</c:v>
                </c:pt>
                <c:pt idx="2">
                  <c:v>0.99630801687763715</c:v>
                </c:pt>
                <c:pt idx="3">
                  <c:v>0.99634591961023145</c:v>
                </c:pt>
                <c:pt idx="4">
                  <c:v>0.9980532121998702</c:v>
                </c:pt>
                <c:pt idx="5">
                  <c:v>0.99508733624454149</c:v>
                </c:pt>
                <c:pt idx="6">
                  <c:v>0.99529411764705877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E6F-46E4-9AD0-37396595D67A}"/>
            </c:ext>
          </c:extLst>
        </c:ser>
        <c:ser>
          <c:idx val="6"/>
          <c:order val="6"/>
          <c:tx>
            <c:v>Obj COG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'Base de donnée'!$AG$8:$AS$8</c:f>
              <c:numCache>
                <c:formatCode>General</c:formatCode>
                <c:ptCount val="13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E6F-46E4-9AD0-37396595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3512432"/>
        <c:axId val="1803517424"/>
      </c:lineChart>
      <c:catAx>
        <c:axId val="180351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3517424"/>
        <c:crosses val="autoZero"/>
        <c:auto val="1"/>
        <c:lblAlgn val="ctr"/>
        <c:lblOffset val="100"/>
        <c:noMultiLvlLbl val="0"/>
      </c:catAx>
      <c:valAx>
        <c:axId val="1803517424"/>
        <c:scaling>
          <c:orientation val="minMax"/>
          <c:min val="0"/>
        </c:scaling>
        <c:delete val="0"/>
        <c:axPos val="l"/>
        <c:majorGridlines>
          <c:spPr>
            <a:ln w="9525" cap="flat" cmpd="thickThin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3512432"/>
        <c:crosses val="autoZero"/>
        <c:crossBetween val="between"/>
      </c:valAx>
      <c:valAx>
        <c:axId val="181272737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2726960"/>
        <c:crosses val="max"/>
        <c:crossBetween val="between"/>
      </c:valAx>
      <c:catAx>
        <c:axId val="1812726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2727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19320967972473E-2"/>
          <c:y val="2.4101175129341911E-2"/>
          <c:w val="0.9151923716421746"/>
          <c:h val="0.811128483570533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'Base de donnée'!$AE$51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bg1"/>
            </a:solidFill>
            <a:ln w="3175" cmpd="sng">
              <a:solidFill>
                <a:schemeClr val="tx1"/>
              </a:solidFill>
              <a:prstDash val="sysDash"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donnée'!$AG$51:$AS$51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49950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2A-4E52-8340-3EB45C49A8F1}"/>
            </c:ext>
          </c:extLst>
        </c:ser>
        <c:ser>
          <c:idx val="1"/>
          <c:order val="1"/>
          <c:tx>
            <c:strRef>
              <c:f>'Base de donnée'!$AE$52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0593EB"/>
            </a:solidFill>
            <a:ln>
              <a:noFill/>
            </a:ln>
            <a:effectLst/>
          </c:spPr>
          <c:invertIfNegative val="0"/>
          <c:dLbls>
            <c:dLbl>
              <c:idx val="12"/>
              <c:layout>
                <c:manualLayout>
                  <c:x val="1.837270493088662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02A-4E52-8340-3EB45C49A8F1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593E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donnée'!$AG$52:$AS$52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42234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2A-4E52-8340-3EB45C49A8F1}"/>
            </c:ext>
          </c:extLst>
        </c:ser>
        <c:ser>
          <c:idx val="2"/>
          <c:order val="2"/>
          <c:tx>
            <c:strRef>
              <c:f>'Base de donnée'!$AE$53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E82059"/>
            </a:solidFill>
            <a:ln>
              <a:noFill/>
            </a:ln>
            <a:effectLst/>
          </c:spPr>
          <c:invertIfNegative val="0"/>
          <c:dLbls>
            <c:dLbl>
              <c:idx val="12"/>
              <c:layout>
                <c:manualLayout>
                  <c:x val="1.3473316949316808E-2"/>
                  <c:y val="2.417961608862153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02A-4E52-8340-3EB45C49A8F1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E82059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donnée'!$AG$53:$AS$53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12692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2A-4E52-8340-3EB45C49A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2726960"/>
        <c:axId val="1812727376"/>
      </c:barChart>
      <c:lineChart>
        <c:grouping val="standard"/>
        <c:varyColors val="0"/>
        <c:ser>
          <c:idx val="3"/>
          <c:order val="3"/>
          <c:tx>
            <c:strRef>
              <c:f>'Base de donnée'!$AE$54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donnée'!$AG$54:$AS$54</c:f>
              <c:numCache>
                <c:formatCode>General</c:formatCode>
                <c:ptCount val="13"/>
                <c:pt idx="0">
                  <c:v>8649</c:v>
                </c:pt>
                <c:pt idx="1">
                  <c:v>7653</c:v>
                </c:pt>
                <c:pt idx="2">
                  <c:v>7421</c:v>
                </c:pt>
                <c:pt idx="3">
                  <c:v>6262</c:v>
                </c:pt>
                <c:pt idx="4">
                  <c:v>7238</c:v>
                </c:pt>
                <c:pt idx="5">
                  <c:v>6325</c:v>
                </c:pt>
                <c:pt idx="6">
                  <c:v>6402</c:v>
                </c:pt>
                <c:pt idx="7">
                  <c:v>5337</c:v>
                </c:pt>
                <c:pt idx="8">
                  <c:v>8223</c:v>
                </c:pt>
                <c:pt idx="9">
                  <c:v>7642</c:v>
                </c:pt>
                <c:pt idx="10">
                  <c:v>6595</c:v>
                </c:pt>
                <c:pt idx="11">
                  <c:v>6743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2A-4E52-8340-3EB45C49A8F1}"/>
            </c:ext>
          </c:extLst>
        </c:ser>
        <c:ser>
          <c:idx val="4"/>
          <c:order val="4"/>
          <c:tx>
            <c:strRef>
              <c:f>'Base de donnée'!$AE$55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593EB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1.108219918306524E-17"/>
                  <c:y val="-1.45077696531729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02A-4E52-8340-3EB45C49A8F1}"/>
                </c:ext>
              </c:extLst>
            </c:dLbl>
            <c:dLbl>
              <c:idx val="1"/>
              <c:layout>
                <c:manualLayout>
                  <c:x val="1.2089811496991652E-3"/>
                  <c:y val="-1.6925731262035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02A-4E52-8340-3EB45C49A8F1}"/>
                </c:ext>
              </c:extLst>
            </c:dLbl>
            <c:dLbl>
              <c:idx val="2"/>
              <c:layout>
                <c:manualLayout>
                  <c:x val="-9.6718491975934986E-3"/>
                  <c:y val="-3.3851462524070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02A-4E52-8340-3EB45C49A8F1}"/>
                </c:ext>
              </c:extLst>
            </c:dLbl>
            <c:dLbl>
              <c:idx val="3"/>
              <c:layout>
                <c:manualLayout>
                  <c:x val="-3.6269434490975622E-3"/>
                  <c:y val="-2.17616544797593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02A-4E52-8340-3EB45C49A8F1}"/>
                </c:ext>
              </c:extLst>
            </c:dLbl>
            <c:dLbl>
              <c:idx val="4"/>
              <c:layout>
                <c:manualLayout>
                  <c:x val="-7.2538868981951686E-3"/>
                  <c:y val="3.8687385741794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02A-4E52-8340-3EB45C49A8F1}"/>
                </c:ext>
              </c:extLst>
            </c:dLbl>
            <c:dLbl>
              <c:idx val="5"/>
              <c:layout>
                <c:manualLayout>
                  <c:x val="-3.6269434490976507E-3"/>
                  <c:y val="-3.14335009152079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02A-4E52-8340-3EB45C49A8F1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593E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donnée'!$AG$55:$AS$55</c:f>
              <c:numCache>
                <c:formatCode>General</c:formatCode>
                <c:ptCount val="13"/>
                <c:pt idx="0">
                  <c:v>9394</c:v>
                </c:pt>
                <c:pt idx="1">
                  <c:v>8113</c:v>
                </c:pt>
                <c:pt idx="2">
                  <c:v>6958</c:v>
                </c:pt>
                <c:pt idx="3">
                  <c:v>6450</c:v>
                </c:pt>
                <c:pt idx="4">
                  <c:v>3908</c:v>
                </c:pt>
                <c:pt idx="5">
                  <c:v>4096</c:v>
                </c:pt>
                <c:pt idx="6">
                  <c:v>3315</c:v>
                </c:pt>
                <c:pt idx="7">
                  <c:v>2194</c:v>
                </c:pt>
                <c:pt idx="8">
                  <c:v>4427</c:v>
                </c:pt>
                <c:pt idx="9">
                  <c:v>3294</c:v>
                </c:pt>
                <c:pt idx="10">
                  <c:v>3080</c:v>
                </c:pt>
                <c:pt idx="11">
                  <c:v>2285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02A-4E52-8340-3EB45C49A8F1}"/>
            </c:ext>
          </c:extLst>
        </c:ser>
        <c:ser>
          <c:idx val="5"/>
          <c:order val="5"/>
          <c:tx>
            <c:strRef>
              <c:f>'Base de donnée'!$AE$56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rgbClr val="E82059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E82059"/>
              </a:solidFill>
              <a:ln w="9525">
                <a:noFill/>
              </a:ln>
              <a:effectLst/>
            </c:spPr>
          </c:marker>
          <c:dLbls>
            <c:dLbl>
              <c:idx val="5"/>
              <c:layout>
                <c:manualLayout>
                  <c:x val="-1.5716754946089435E-2"/>
                  <c:y val="6.0449040221553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02A-4E52-8340-3EB45C49A8F1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E82059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donnée'!$AG$56:$AS$56</c:f>
              <c:numCache>
                <c:formatCode>General</c:formatCode>
                <c:ptCount val="13"/>
                <c:pt idx="0">
                  <c:v>2657</c:v>
                </c:pt>
                <c:pt idx="1">
                  <c:v>1849</c:v>
                </c:pt>
                <c:pt idx="2">
                  <c:v>1896</c:v>
                </c:pt>
                <c:pt idx="3">
                  <c:v>1642</c:v>
                </c:pt>
                <c:pt idx="4">
                  <c:v>1541</c:v>
                </c:pt>
                <c:pt idx="5">
                  <c:v>1832</c:v>
                </c:pt>
                <c:pt idx="6">
                  <c:v>1275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02A-4E52-8340-3EB45C49A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3512432"/>
        <c:axId val="1803517424"/>
      </c:lineChart>
      <c:catAx>
        <c:axId val="180351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3517424"/>
        <c:crosses val="autoZero"/>
        <c:auto val="1"/>
        <c:lblAlgn val="ctr"/>
        <c:lblOffset val="100"/>
        <c:noMultiLvlLbl val="0"/>
      </c:catAx>
      <c:valAx>
        <c:axId val="180351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solidFill>
              <a:schemeClr val="tx1">
                <a:alpha val="90000"/>
              </a:schemeClr>
            </a:solidFill>
          </a:ln>
          <a:effectLst>
            <a:outerShdw blurRad="25400" dist="50800" dir="5400000" sx="102000" sy="102000" algn="ctr" rotWithShape="0">
              <a:srgbClr val="000000">
                <a:alpha val="43137"/>
              </a:srgb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3512432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valAx>
        <c:axId val="1812727376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2726960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catAx>
        <c:axId val="1812726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2727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337255858394233E-2"/>
          <c:y val="1.6847290302755447E-2"/>
          <c:w val="0.9151923716421746"/>
          <c:h val="0.811128483570533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'Base de donnée'!$AE$33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bg1"/>
            </a:solidFill>
            <a:ln w="3175" cmpd="sng">
              <a:solidFill>
                <a:schemeClr val="tx1"/>
              </a:solidFill>
              <a:prstDash val="sysDot"/>
            </a:ln>
            <a:effectLst>
              <a:outerShdw blurRad="50800" dist="50800" dir="600000" algn="ctr" rotWithShape="0">
                <a:srgbClr val="000000">
                  <a:alpha val="43137"/>
                </a:srgbClr>
              </a:outerShdw>
            </a:effectLst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donnée'!$AG$33:$AS$33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138538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D9-4863-86E7-55D32CDD6A77}"/>
            </c:ext>
          </c:extLst>
        </c:ser>
        <c:ser>
          <c:idx val="1"/>
          <c:order val="1"/>
          <c:tx>
            <c:strRef>
              <c:f>'Base de donnée'!$AE$34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0593EB"/>
            </a:solidFill>
            <a:ln>
              <a:solidFill>
                <a:srgbClr val="0593EB"/>
              </a:solidFill>
            </a:ln>
            <a:effectLst/>
          </c:spPr>
          <c:invertIfNegative val="0"/>
          <c:dLbls>
            <c:dLbl>
              <c:idx val="12"/>
              <c:layout>
                <c:manualLayout>
                  <c:x val="2.1761660694585374E-2"/>
                  <c:y val="2.41796160886213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D9-4863-86E7-55D32CDD6A77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593E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donnée'!$AG$34:$AS$34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138479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D9-4863-86E7-55D32CDD6A77}"/>
            </c:ext>
          </c:extLst>
        </c:ser>
        <c:ser>
          <c:idx val="2"/>
          <c:order val="2"/>
          <c:tx>
            <c:strRef>
              <c:f>'Base de donnée'!$AE$35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E82059"/>
            </a:solidFill>
            <a:ln>
              <a:solidFill>
                <a:srgbClr val="0593EB"/>
              </a:solidFill>
            </a:ln>
            <a:effectLst/>
          </c:spPr>
          <c:invertIfNegative val="0"/>
          <c:dLbls>
            <c:dLbl>
              <c:idx val="12"/>
              <c:layout>
                <c:manualLayout>
                  <c:x val="2.417962299398357E-2"/>
                  <c:y val="2.65975776974836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CD9-4863-86E7-55D32CDD6A77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E82059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donnée'!$AG$35:$AS$35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145611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D9-4863-86E7-55D32CDD6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2726960"/>
        <c:axId val="1812727376"/>
      </c:barChart>
      <c:lineChart>
        <c:grouping val="standard"/>
        <c:varyColors val="0"/>
        <c:ser>
          <c:idx val="3"/>
          <c:order val="3"/>
          <c:tx>
            <c:strRef>
              <c:f>'Base de donnée'!$AE$36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 cmpd="dbl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donnée'!$AG$36:$AR$36</c:f>
              <c:numCache>
                <c:formatCode>General</c:formatCode>
                <c:ptCount val="12"/>
                <c:pt idx="0">
                  <c:v>23642</c:v>
                </c:pt>
                <c:pt idx="1">
                  <c:v>24600</c:v>
                </c:pt>
                <c:pt idx="2">
                  <c:v>21698</c:v>
                </c:pt>
                <c:pt idx="3">
                  <c:v>18665</c:v>
                </c:pt>
                <c:pt idx="4">
                  <c:v>17657</c:v>
                </c:pt>
                <c:pt idx="5">
                  <c:v>15095</c:v>
                </c:pt>
                <c:pt idx="6">
                  <c:v>17181</c:v>
                </c:pt>
                <c:pt idx="7">
                  <c:v>16220</c:v>
                </c:pt>
                <c:pt idx="8">
                  <c:v>19976</c:v>
                </c:pt>
                <c:pt idx="9">
                  <c:v>19698</c:v>
                </c:pt>
                <c:pt idx="10">
                  <c:v>18142</c:v>
                </c:pt>
                <c:pt idx="11">
                  <c:v>16937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CD9-4863-86E7-55D32CDD6A77}"/>
            </c:ext>
          </c:extLst>
        </c:ser>
        <c:ser>
          <c:idx val="4"/>
          <c:order val="4"/>
          <c:tx>
            <c:strRef>
              <c:f>'Base de donnée'!$AE$37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rgbClr val="0593EB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593EB"/>
              </a:solidFill>
              <a:ln w="9525">
                <a:noFill/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593E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donnée'!$AG$37:$AR$37</c:f>
              <c:numCache>
                <c:formatCode>General</c:formatCode>
                <c:ptCount val="12"/>
                <c:pt idx="0">
                  <c:v>23158</c:v>
                </c:pt>
                <c:pt idx="1">
                  <c:v>23987</c:v>
                </c:pt>
                <c:pt idx="2">
                  <c:v>20624</c:v>
                </c:pt>
                <c:pt idx="3">
                  <c:v>17438</c:v>
                </c:pt>
                <c:pt idx="4">
                  <c:v>16602</c:v>
                </c:pt>
                <c:pt idx="5">
                  <c:v>16676</c:v>
                </c:pt>
                <c:pt idx="6">
                  <c:v>19994</c:v>
                </c:pt>
                <c:pt idx="7">
                  <c:v>18533</c:v>
                </c:pt>
                <c:pt idx="8">
                  <c:v>26798</c:v>
                </c:pt>
                <c:pt idx="9">
                  <c:v>21615</c:v>
                </c:pt>
                <c:pt idx="10">
                  <c:v>18938</c:v>
                </c:pt>
                <c:pt idx="11">
                  <c:v>18681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CD9-4863-86E7-55D32CDD6A77}"/>
            </c:ext>
          </c:extLst>
        </c:ser>
        <c:ser>
          <c:idx val="5"/>
          <c:order val="5"/>
          <c:tx>
            <c:strRef>
              <c:f>'Base de donnée'!$AE$38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rgbClr val="E82059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E82059"/>
              </a:solidFill>
              <a:ln w="9525">
                <a:noFill/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E82059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donnée'!$AG$38:$AS$38</c:f>
              <c:numCache>
                <c:formatCode>General</c:formatCode>
                <c:ptCount val="13"/>
                <c:pt idx="0">
                  <c:v>21746</c:v>
                </c:pt>
                <c:pt idx="1">
                  <c:v>22184</c:v>
                </c:pt>
                <c:pt idx="2">
                  <c:v>24893</c:v>
                </c:pt>
                <c:pt idx="3">
                  <c:v>20708</c:v>
                </c:pt>
                <c:pt idx="4">
                  <c:v>17612</c:v>
                </c:pt>
                <c:pt idx="5">
                  <c:v>18999</c:v>
                </c:pt>
                <c:pt idx="6">
                  <c:v>19469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CD9-4863-86E7-55D32CDD6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3512432"/>
        <c:axId val="1803517424"/>
      </c:lineChart>
      <c:catAx>
        <c:axId val="180351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3517424"/>
        <c:crosses val="autoZero"/>
        <c:auto val="1"/>
        <c:lblAlgn val="ctr"/>
        <c:lblOffset val="100"/>
        <c:noMultiLvlLbl val="0"/>
      </c:catAx>
      <c:valAx>
        <c:axId val="180351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solidFill>
              <a:schemeClr val="tx1">
                <a:alpha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351243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valAx>
        <c:axId val="1812727376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2726960"/>
        <c:crosses val="max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catAx>
        <c:axId val="1812726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2727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694452104919895E-2"/>
          <c:y val="3.619090746997506E-2"/>
          <c:w val="0.9151923716421746"/>
          <c:h val="0.811128483570533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'Base de donnée'!$AE$57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2"/>
            <c:invertIfNegative val="0"/>
            <c:bubble3D val="0"/>
            <c:spPr>
              <a:solidFill>
                <a:schemeClr val="bg1"/>
              </a:solidFill>
              <a:ln w="19050" cmpd="sng">
                <a:solidFill>
                  <a:schemeClr val="tx1"/>
                </a:solidFill>
                <a:prstDash val="sysDot"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23-4BFD-A697-3DA5F19BD967}"/>
              </c:ext>
            </c:extLst>
          </c:dPt>
          <c:dLbls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23-4BFD-A697-3DA5F19BD967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donnée'!$AG$57:$AS$57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0.83734426655502459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23-4BFD-A697-3DA5F19BD967}"/>
            </c:ext>
          </c:extLst>
        </c:ser>
        <c:ser>
          <c:idx val="1"/>
          <c:order val="1"/>
          <c:tx>
            <c:strRef>
              <c:f>'Base de donnée'!$AE$58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0593EB"/>
            </a:solidFill>
            <a:ln>
              <a:noFill/>
            </a:ln>
            <a:effectLst/>
          </c:spPr>
          <c:invertIfNegative val="0"/>
          <c:dLbls>
            <c:dLbl>
              <c:idx val="12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rgbClr val="0593EB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23-4BFD-A697-3DA5F19BD967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donnée'!$AG$58:$AS$58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0.93175138468648677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23-4BFD-A697-3DA5F19BD967}"/>
            </c:ext>
          </c:extLst>
        </c:ser>
        <c:ser>
          <c:idx val="2"/>
          <c:order val="2"/>
          <c:tx>
            <c:strRef>
              <c:f>'Base de donnée'!$AE$59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12"/>
            <c:invertIfNegative val="0"/>
            <c:bubble3D val="0"/>
            <c:spPr>
              <a:solidFill>
                <a:srgbClr val="E820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E23-4BFD-A697-3DA5F19BD967}"/>
              </c:ext>
            </c:extLst>
          </c:dPt>
          <c:dLbls>
            <c:dLbl>
              <c:idx val="12"/>
              <c:layout>
                <c:manualLayout>
                  <c:x val="1.514995936305569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E23-4BFD-A697-3DA5F19BD967}"/>
                </c:ext>
              </c:extLst>
            </c:dLbl>
            <c:numFmt formatCode="#,##0.00" sourceLinked="0"/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E82059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donnée'!$AG$59:$AS$59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0.91241046349520294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23-4BFD-A697-3DA5F19BD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2726960"/>
        <c:axId val="1812727376"/>
      </c:barChart>
      <c:lineChart>
        <c:grouping val="standard"/>
        <c:varyColors val="0"/>
        <c:ser>
          <c:idx val="3"/>
          <c:order val="3"/>
          <c:tx>
            <c:strRef>
              <c:f>'Base de donnée'!$AE$60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donnée'!$AG$60:$AR$60</c:f>
              <c:numCache>
                <c:formatCode>General</c:formatCode>
                <c:ptCount val="12"/>
                <c:pt idx="0">
                  <c:v>0.85813382962524321</c:v>
                </c:pt>
                <c:pt idx="1">
                  <c:v>0.74060975609756097</c:v>
                </c:pt>
                <c:pt idx="2">
                  <c:v>0.78343626140658129</c:v>
                </c:pt>
                <c:pt idx="3">
                  <c:v>0.84489686579158851</c:v>
                </c:pt>
                <c:pt idx="4">
                  <c:v>0.84850201053406582</c:v>
                </c:pt>
                <c:pt idx="5">
                  <c:v>0.8943358728055647</c:v>
                </c:pt>
                <c:pt idx="6">
                  <c:v>0.94557941912577848</c:v>
                </c:pt>
                <c:pt idx="7">
                  <c:v>0.92435265104808872</c:v>
                </c:pt>
                <c:pt idx="8">
                  <c:v>0.9226571886263516</c:v>
                </c:pt>
                <c:pt idx="9">
                  <c:v>0.97456594578129763</c:v>
                </c:pt>
                <c:pt idx="10">
                  <c:v>0.95766729136809614</c:v>
                </c:pt>
                <c:pt idx="11">
                  <c:v>0.96540119265513369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E23-4BFD-A697-3DA5F19BD967}"/>
            </c:ext>
          </c:extLst>
        </c:ser>
        <c:ser>
          <c:idx val="4"/>
          <c:order val="4"/>
          <c:tx>
            <c:strRef>
              <c:f>'Base de donnée'!$AE$61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593EB"/>
              </a:solidFill>
              <a:ln w="9525">
                <a:noFill/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593E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donnée'!$AG$61:$AR$61</c:f>
              <c:numCache>
                <c:formatCode>General</c:formatCode>
                <c:ptCount val="12"/>
                <c:pt idx="0">
                  <c:v>0.94550479316003111</c:v>
                </c:pt>
                <c:pt idx="1">
                  <c:v>0.92408387876766585</c:v>
                </c:pt>
                <c:pt idx="2">
                  <c:v>0.93725756400310323</c:v>
                </c:pt>
                <c:pt idx="3">
                  <c:v>0.95114118591581598</c:v>
                </c:pt>
                <c:pt idx="4">
                  <c:v>0.93958559209733772</c:v>
                </c:pt>
                <c:pt idx="5">
                  <c:v>0.91742624130486927</c:v>
                </c:pt>
                <c:pt idx="6">
                  <c:v>0.9078723617085126</c:v>
                </c:pt>
                <c:pt idx="7">
                  <c:v>0.89710246587168829</c:v>
                </c:pt>
                <c:pt idx="8">
                  <c:v>0.91316516157922234</c:v>
                </c:pt>
                <c:pt idx="9">
                  <c:v>0.92588480222068004</c:v>
                </c:pt>
                <c:pt idx="10">
                  <c:v>0.94202133277009192</c:v>
                </c:pt>
                <c:pt idx="11">
                  <c:v>0.93169530539050371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E23-4BFD-A697-3DA5F19BD967}"/>
            </c:ext>
          </c:extLst>
        </c:ser>
        <c:ser>
          <c:idx val="5"/>
          <c:order val="5"/>
          <c:tx>
            <c:strRef>
              <c:f>'Base de donnée'!$AE$59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rgbClr val="E82059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E82059"/>
              </a:solidFill>
              <a:ln w="9525">
                <a:noFill/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E82059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donnée'!$AG$62:$AS$62</c:f>
              <c:numCache>
                <c:formatCode>General</c:formatCode>
                <c:ptCount val="13"/>
                <c:pt idx="0">
                  <c:v>0.92669916306447164</c:v>
                </c:pt>
                <c:pt idx="1">
                  <c:v>0.91097187161918503</c:v>
                </c:pt>
                <c:pt idx="2">
                  <c:v>0.92499899570160282</c:v>
                </c:pt>
                <c:pt idx="3">
                  <c:v>0.9106142553602472</c:v>
                </c:pt>
                <c:pt idx="4">
                  <c:v>0.91386554621848737</c:v>
                </c:pt>
                <c:pt idx="5">
                  <c:v>0.91146902468550972</c:v>
                </c:pt>
                <c:pt idx="6">
                  <c:v>0.88350711387333714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E23-4BFD-A697-3DA5F19BD967}"/>
            </c:ext>
          </c:extLst>
        </c:ser>
        <c:ser>
          <c:idx val="6"/>
          <c:order val="6"/>
          <c:tx>
            <c:v>Obj COG</c:v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'Base de donnée'!$AG$6:$AS$6</c:f>
              <c:numCache>
                <c:formatCode>General</c:formatCode>
                <c:ptCount val="13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E23-4BFD-A697-3DA5F19BD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3512432"/>
        <c:axId val="1803517424"/>
      </c:lineChart>
      <c:catAx>
        <c:axId val="180351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3517424"/>
        <c:crosses val="autoZero"/>
        <c:auto val="1"/>
        <c:lblAlgn val="ctr"/>
        <c:lblOffset val="100"/>
        <c:noMultiLvlLbl val="0"/>
      </c:catAx>
      <c:valAx>
        <c:axId val="1803517424"/>
        <c:scaling>
          <c:orientation val="minMax"/>
          <c:min val="0"/>
        </c:scaling>
        <c:delete val="0"/>
        <c:axPos val="l"/>
        <c:majorGridlines>
          <c:spPr>
            <a:ln w="9525" cap="flat" cmpd="thickThin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3512432"/>
        <c:crosses val="autoZero"/>
        <c:crossBetween val="between"/>
      </c:valAx>
      <c:valAx>
        <c:axId val="181272737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2726960"/>
        <c:crosses val="max"/>
        <c:crossBetween val="between"/>
      </c:valAx>
      <c:catAx>
        <c:axId val="1812726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2727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694452104919895E-2"/>
          <c:y val="3.619090746997506E-2"/>
          <c:w val="0.9151923716421746"/>
          <c:h val="0.811128483570533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'Base de donnée'!$AE$63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2"/>
            <c:invertIfNegative val="0"/>
            <c:bubble3D val="0"/>
            <c:spPr>
              <a:solidFill>
                <a:schemeClr val="bg1"/>
              </a:solidFill>
              <a:ln w="25400" cmpd="sng">
                <a:solidFill>
                  <a:schemeClr val="tx1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1-2CA0-46C6-A884-681C1B82068A}"/>
              </c:ext>
            </c:extLst>
          </c:dPt>
          <c:dLbls>
            <c:dLbl>
              <c:idx val="12"/>
              <c:layout>
                <c:manualLayout>
                  <c:x val="-1.0488433405192579E-2"/>
                  <c:y val="4.86111097820672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A0-46C6-A884-681C1B82068A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donnée'!$AG$63:$AS$63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0.89449312056501318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A0-46C6-A884-681C1B82068A}"/>
            </c:ext>
          </c:extLst>
        </c:ser>
        <c:ser>
          <c:idx val="1"/>
          <c:order val="1"/>
          <c:tx>
            <c:strRef>
              <c:f>'Base de donnée'!$AE$64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E82059"/>
            </a:solidFill>
            <a:ln>
              <a:noFill/>
            </a:ln>
            <a:effectLst/>
          </c:spPr>
          <c:invertIfNegative val="0"/>
          <c:dLbls>
            <c:dLbl>
              <c:idx val="12"/>
              <c:layout>
                <c:manualLayout>
                  <c:x val="-2.3307629789316464E-3"/>
                  <c:y val="-4.13194433147571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CA0-46C6-A884-681C1B82068A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E82059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donnée'!$AG$64:$AS$64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0.91452591179594955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A0-46C6-A884-681C1B82068A}"/>
            </c:ext>
          </c:extLst>
        </c:ser>
        <c:ser>
          <c:idx val="2"/>
          <c:order val="2"/>
          <c:tx>
            <c:strRef>
              <c:f>'Base de donnée'!$AE$65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0593EB"/>
            </a:solidFill>
            <a:ln>
              <a:noFill/>
            </a:ln>
            <a:effectLst/>
          </c:spPr>
          <c:invertIfNegative val="0"/>
          <c:dLbls>
            <c:dLbl>
              <c:idx val="12"/>
              <c:layout>
                <c:manualLayout>
                  <c:x val="1.8646103831453171E-2"/>
                  <c:y val="-2.430555489103371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CA0-46C6-A884-681C1B82068A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593E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donnée'!$AG$65:$AS$65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0.91253872954244497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CA0-46C6-A884-681C1B820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2726960"/>
        <c:axId val="1812727376"/>
      </c:barChart>
      <c:lineChart>
        <c:grouping val="standard"/>
        <c:varyColors val="0"/>
        <c:ser>
          <c:idx val="3"/>
          <c:order val="3"/>
          <c:tx>
            <c:strRef>
              <c:f>'Base de donnée'!$AE$66</c:f>
              <c:strCache>
                <c:ptCount val="1"/>
                <c:pt idx="0">
                  <c:v>2013</c:v>
                </c:pt>
              </c:strCache>
            </c:strRef>
          </c:tx>
          <c:spPr>
            <a:ln w="25400" cap="rnd" cmpd="dbl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donnée'!$AG$66:$AS$66</c:f>
              <c:numCache>
                <c:formatCode>General</c:formatCode>
                <c:ptCount val="13"/>
                <c:pt idx="0">
                  <c:v>0.86612588436203952</c:v>
                </c:pt>
                <c:pt idx="1">
                  <c:v>0.83015198444140315</c:v>
                </c:pt>
                <c:pt idx="2">
                  <c:v>0.90897168865231814</c:v>
                </c:pt>
                <c:pt idx="3">
                  <c:v>0.89517088256284194</c:v>
                </c:pt>
                <c:pt idx="4">
                  <c:v>0.90718512256973793</c:v>
                </c:pt>
                <c:pt idx="5">
                  <c:v>0.9377688557499283</c:v>
                </c:pt>
                <c:pt idx="6">
                  <c:v>0.94146300495506841</c:v>
                </c:pt>
                <c:pt idx="7">
                  <c:v>0.88722426470588234</c:v>
                </c:pt>
                <c:pt idx="8">
                  <c:v>0.95662295336385506</c:v>
                </c:pt>
                <c:pt idx="9">
                  <c:v>0.9638293264024258</c:v>
                </c:pt>
                <c:pt idx="10">
                  <c:v>0.93521720792914387</c:v>
                </c:pt>
                <c:pt idx="11">
                  <c:v>0.94962606378406256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CA0-46C6-A884-681C1B82068A}"/>
            </c:ext>
          </c:extLst>
        </c:ser>
        <c:ser>
          <c:idx val="4"/>
          <c:order val="4"/>
          <c:tx>
            <c:strRef>
              <c:f>'Base de donnée'!$AE$67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rgbClr val="0593EB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593EB"/>
              </a:solidFill>
              <a:ln w="9525">
                <a:noFill/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593E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donnée'!$AG$67:$AS$67</c:f>
              <c:numCache>
                <c:formatCode>General</c:formatCode>
                <c:ptCount val="13"/>
                <c:pt idx="0">
                  <c:v>0.92045382918373775</c:v>
                </c:pt>
                <c:pt idx="1">
                  <c:v>0.87656747780112521</c:v>
                </c:pt>
                <c:pt idx="2">
                  <c:v>0.90414814814814815</c:v>
                </c:pt>
                <c:pt idx="3">
                  <c:v>0.9286193029490617</c:v>
                </c:pt>
                <c:pt idx="4">
                  <c:v>0.90657600596125187</c:v>
                </c:pt>
                <c:pt idx="5">
                  <c:v>0.91162878430632843</c:v>
                </c:pt>
                <c:pt idx="6">
                  <c:v>0.9690762261177861</c:v>
                </c:pt>
                <c:pt idx="7">
                  <c:v>0.93536559815629583</c:v>
                </c:pt>
                <c:pt idx="8">
                  <c:v>0.90707184092366899</c:v>
                </c:pt>
                <c:pt idx="9">
                  <c:v>0.95548254620123207</c:v>
                </c:pt>
                <c:pt idx="10">
                  <c:v>0.96367346938775511</c:v>
                </c:pt>
                <c:pt idx="11">
                  <c:v>0.95441078084679343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CA0-46C6-A884-681C1B82068A}"/>
            </c:ext>
          </c:extLst>
        </c:ser>
        <c:ser>
          <c:idx val="5"/>
          <c:order val="5"/>
          <c:tx>
            <c:strRef>
              <c:f>'Base de donnée'!$AE$68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rgbClr val="E82059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E82059"/>
              </a:solidFill>
              <a:ln w="9525">
                <a:noFill/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E82059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donnée'!$AG$68:$AS$68</c:f>
              <c:numCache>
                <c:formatCode>General</c:formatCode>
                <c:ptCount val="13"/>
                <c:pt idx="0">
                  <c:v>0.93856188098880744</c:v>
                </c:pt>
                <c:pt idx="1">
                  <c:v>0.90924512298558102</c:v>
                </c:pt>
                <c:pt idx="2">
                  <c:v>0.92567932337592229</c:v>
                </c:pt>
                <c:pt idx="3">
                  <c:v>0.89747116707226748</c:v>
                </c:pt>
                <c:pt idx="4">
                  <c:v>0.90667248146532931</c:v>
                </c:pt>
                <c:pt idx="5">
                  <c:v>0.92167411324883741</c:v>
                </c:pt>
                <c:pt idx="6">
                  <c:v>0.8842699512445471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CA0-46C6-A884-681C1B82068A}"/>
            </c:ext>
          </c:extLst>
        </c:ser>
        <c:ser>
          <c:idx val="6"/>
          <c:order val="6"/>
          <c:tx>
            <c:v>Obj COG</c:v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'Base de donnée'!$AG$7:$AS$7</c:f>
              <c:numCache>
                <c:formatCode>General</c:formatCode>
                <c:ptCount val="13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CA0-46C6-A884-681C1B820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3512432"/>
        <c:axId val="1803517424"/>
      </c:lineChart>
      <c:catAx>
        <c:axId val="180351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3517424"/>
        <c:crosses val="autoZero"/>
        <c:auto val="1"/>
        <c:lblAlgn val="ctr"/>
        <c:lblOffset val="100"/>
        <c:noMultiLvlLbl val="0"/>
      </c:catAx>
      <c:valAx>
        <c:axId val="1803517424"/>
        <c:scaling>
          <c:orientation val="minMax"/>
          <c:min val="0"/>
        </c:scaling>
        <c:delete val="0"/>
        <c:axPos val="l"/>
        <c:majorGridlines>
          <c:spPr>
            <a:ln w="9525" cap="flat" cmpd="thickThin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3512432"/>
        <c:crosses val="autoZero"/>
        <c:crossBetween val="between"/>
      </c:valAx>
      <c:valAx>
        <c:axId val="181272737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2726960"/>
        <c:crosses val="max"/>
        <c:crossBetween val="between"/>
      </c:valAx>
      <c:catAx>
        <c:axId val="1812726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2727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[1]Feuil1!$B$21</c:f>
              <c:strCache>
                <c:ptCount val="1"/>
                <c:pt idx="0">
                  <c:v>juil. 2014</c:v>
                </c:pt>
              </c:strCache>
            </c:strRef>
          </c:tx>
          <c:spPr>
            <a:solidFill>
              <a:srgbClr val="0593E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593E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[1]Feuil1!$A$22:$A$26</c:f>
              <c:strCache>
                <c:ptCount val="5"/>
                <c:pt idx="0">
                  <c:v>&lt;75</c:v>
                </c:pt>
                <c:pt idx="1">
                  <c:v>[75;85 [</c:v>
                </c:pt>
                <c:pt idx="2">
                  <c:v>[85;90 [</c:v>
                </c:pt>
                <c:pt idx="3">
                  <c:v>[90;95 [</c:v>
                </c:pt>
                <c:pt idx="4">
                  <c:v>[95;100]</c:v>
                </c:pt>
              </c:strCache>
            </c:strRef>
          </c:cat>
          <c:val>
            <c:numRef>
              <c:f>[1]Feuil1!$B$22:$B$26</c:f>
              <c:numCache>
                <c:formatCode>General</c:formatCode>
                <c:ptCount val="5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37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D-427A-B9C1-5802F38549CE}"/>
            </c:ext>
          </c:extLst>
        </c:ser>
        <c:ser>
          <c:idx val="1"/>
          <c:order val="1"/>
          <c:tx>
            <c:strRef>
              <c:f>[1]Feuil1!$C$21</c:f>
              <c:strCache>
                <c:ptCount val="1"/>
                <c:pt idx="0">
                  <c:v>juil. 2015</c:v>
                </c:pt>
              </c:strCache>
            </c:strRef>
          </c:tx>
          <c:spPr>
            <a:solidFill>
              <a:srgbClr val="E82059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2059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[1]Feuil1!$A$22:$A$26</c:f>
              <c:strCache>
                <c:ptCount val="5"/>
                <c:pt idx="0">
                  <c:v>&lt;75</c:v>
                </c:pt>
                <c:pt idx="1">
                  <c:v>[75;85 [</c:v>
                </c:pt>
                <c:pt idx="2">
                  <c:v>[85;90 [</c:v>
                </c:pt>
                <c:pt idx="3">
                  <c:v>[90;95 [</c:v>
                </c:pt>
                <c:pt idx="4">
                  <c:v>[95;100]</c:v>
                </c:pt>
              </c:strCache>
            </c:strRef>
          </c:cat>
          <c:val>
            <c:numRef>
              <c:f>[1]Feuil1!$C$22:$C$26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7</c:v>
                </c:pt>
                <c:pt idx="3">
                  <c:v>32</c:v>
                </c:pt>
                <c:pt idx="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AD-427A-B9C1-5802F3854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365184"/>
        <c:axId val="491362304"/>
      </c:barChart>
      <c:catAx>
        <c:axId val="49136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1362304"/>
        <c:crosses val="autoZero"/>
        <c:auto val="1"/>
        <c:lblAlgn val="ctr"/>
        <c:lblOffset val="100"/>
        <c:noMultiLvlLbl val="0"/>
      </c:catAx>
      <c:valAx>
        <c:axId val="49136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136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[1]Feuil2!$B$17</c:f>
              <c:strCache>
                <c:ptCount val="1"/>
                <c:pt idx="0">
                  <c:v>41821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593E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[1]Feuil2!$A$18:$A$21</c:f>
              <c:strCache>
                <c:ptCount val="4"/>
                <c:pt idx="0">
                  <c:v>[75;85 [</c:v>
                </c:pt>
                <c:pt idx="1">
                  <c:v>[85;90 [</c:v>
                </c:pt>
                <c:pt idx="2">
                  <c:v>[90;95 [</c:v>
                </c:pt>
                <c:pt idx="3">
                  <c:v>[95;100]</c:v>
                </c:pt>
              </c:strCache>
            </c:strRef>
          </c:cat>
          <c:val>
            <c:numRef>
              <c:f>[1]Feuil2!$B$18:$B$21</c:f>
              <c:numCache>
                <c:formatCode>General</c:formatCode>
                <c:ptCount val="4"/>
                <c:pt idx="0">
                  <c:v>3</c:v>
                </c:pt>
                <c:pt idx="1">
                  <c:v>44</c:v>
                </c:pt>
                <c:pt idx="2">
                  <c:v>52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A-4262-9288-C118BA01B726}"/>
            </c:ext>
          </c:extLst>
        </c:ser>
        <c:ser>
          <c:idx val="1"/>
          <c:order val="1"/>
          <c:tx>
            <c:strRef>
              <c:f>[1]Feuil2!$C$17</c:f>
              <c:strCache>
                <c:ptCount val="1"/>
                <c:pt idx="0">
                  <c:v>42186</c:v>
                </c:pt>
              </c:strCache>
            </c:strRef>
          </c:tx>
          <c:spPr>
            <a:solidFill>
              <a:srgbClr val="E8205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E82059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[1]Feuil2!$A$18:$A$21</c:f>
              <c:strCache>
                <c:ptCount val="4"/>
                <c:pt idx="0">
                  <c:v>[75;85 [</c:v>
                </c:pt>
                <c:pt idx="1">
                  <c:v>[85;90 [</c:v>
                </c:pt>
                <c:pt idx="2">
                  <c:v>[90;95 [</c:v>
                </c:pt>
                <c:pt idx="3">
                  <c:v>[95;100]</c:v>
                </c:pt>
              </c:strCache>
            </c:strRef>
          </c:cat>
          <c:val>
            <c:numRef>
              <c:f>[1]Feuil2!$C$18:$C$21</c:f>
              <c:numCache>
                <c:formatCode>General</c:formatCode>
                <c:ptCount val="4"/>
                <c:pt idx="0">
                  <c:v>18</c:v>
                </c:pt>
                <c:pt idx="1">
                  <c:v>45</c:v>
                </c:pt>
                <c:pt idx="2">
                  <c:v>38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EA-4262-9288-C118BA01B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324368"/>
        <c:axId val="624321968"/>
      </c:barChart>
      <c:catAx>
        <c:axId val="62432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4321968"/>
        <c:crosses val="autoZero"/>
        <c:auto val="1"/>
        <c:lblAlgn val="ctr"/>
        <c:lblOffset val="100"/>
        <c:noMultiLvlLbl val="0"/>
      </c:catAx>
      <c:valAx>
        <c:axId val="62432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432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[1]Feuil2!$B$26</c:f>
              <c:strCache>
                <c:ptCount val="1"/>
                <c:pt idx="0">
                  <c:v>41821</c:v>
                </c:pt>
              </c:strCache>
            </c:strRef>
          </c:tx>
          <c:spPr>
            <a:solidFill>
              <a:srgbClr val="0593EB"/>
            </a:solidFill>
            <a:ln>
              <a:noFill/>
            </a:ln>
            <a:effectLst/>
          </c:spPr>
          <c:invertIfNegative val="0"/>
          <c:cat>
            <c:strRef>
              <c:f>[1]Feuil2!$A$27:$A$31</c:f>
              <c:strCache>
                <c:ptCount val="5"/>
                <c:pt idx="0">
                  <c:v>&lt;75</c:v>
                </c:pt>
                <c:pt idx="1">
                  <c:v>[75;85 [</c:v>
                </c:pt>
                <c:pt idx="2">
                  <c:v>[85;90 [</c:v>
                </c:pt>
                <c:pt idx="3">
                  <c:v>[90;95 [</c:v>
                </c:pt>
                <c:pt idx="4">
                  <c:v>[95;100]</c:v>
                </c:pt>
              </c:strCache>
            </c:strRef>
          </c:cat>
          <c:val>
            <c:numRef>
              <c:f>[1]Feuil2!$B$27:$B$31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45</c:v>
                </c:pt>
                <c:pt idx="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9-429C-89C4-5C7495110129}"/>
            </c:ext>
          </c:extLst>
        </c:ser>
        <c:ser>
          <c:idx val="1"/>
          <c:order val="1"/>
          <c:tx>
            <c:strRef>
              <c:f>[1]Feuil2!$C$26</c:f>
              <c:strCache>
                <c:ptCount val="1"/>
                <c:pt idx="0">
                  <c:v>42186</c:v>
                </c:pt>
              </c:strCache>
            </c:strRef>
          </c:tx>
          <c:spPr>
            <a:solidFill>
              <a:srgbClr val="E82059"/>
            </a:solidFill>
            <a:ln>
              <a:noFill/>
            </a:ln>
            <a:effectLst/>
          </c:spPr>
          <c:invertIfNegative val="0"/>
          <c:cat>
            <c:strRef>
              <c:f>[1]Feuil2!$A$27:$A$31</c:f>
              <c:strCache>
                <c:ptCount val="5"/>
                <c:pt idx="0">
                  <c:v>&lt;75</c:v>
                </c:pt>
                <c:pt idx="1">
                  <c:v>[75;85 [</c:v>
                </c:pt>
                <c:pt idx="2">
                  <c:v>[85;90 [</c:v>
                </c:pt>
                <c:pt idx="3">
                  <c:v>[90;95 [</c:v>
                </c:pt>
                <c:pt idx="4">
                  <c:v>[95;100]</c:v>
                </c:pt>
              </c:strCache>
            </c:strRef>
          </c:cat>
          <c:val>
            <c:numRef>
              <c:f>[1]Feuil2!$C$27:$C$31</c:f>
              <c:numCache>
                <c:formatCode>General</c:formatCode>
                <c:ptCount val="5"/>
                <c:pt idx="0">
                  <c:v>5</c:v>
                </c:pt>
                <c:pt idx="1">
                  <c:v>23</c:v>
                </c:pt>
                <c:pt idx="2">
                  <c:v>27</c:v>
                </c:pt>
                <c:pt idx="3">
                  <c:v>39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89-429C-89C4-5C7495110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7852800"/>
        <c:axId val="407843680"/>
      </c:barChart>
      <c:catAx>
        <c:axId val="40785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7843680"/>
        <c:crosses val="autoZero"/>
        <c:auto val="1"/>
        <c:lblAlgn val="ctr"/>
        <c:lblOffset val="100"/>
        <c:noMultiLvlLbl val="0"/>
      </c:catAx>
      <c:valAx>
        <c:axId val="40784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785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19320967972473E-2"/>
          <c:y val="2.4101175129341911E-2"/>
          <c:w val="0.9151923716421746"/>
          <c:h val="0.811128483570533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'Base de donnée'!$AE$39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bg1"/>
            </a:solidFill>
            <a:ln w="25400" cmpd="sng">
              <a:solidFill>
                <a:schemeClr val="tx1"/>
              </a:solidFill>
              <a:prstDash val="sysDot"/>
            </a:ln>
            <a:effectLst/>
          </c:spPr>
          <c:invertIfNegative val="0"/>
          <c:dLbls>
            <c:dLbl>
              <c:idx val="12"/>
              <c:layout>
                <c:manualLayout>
                  <c:x val="-1.9384268135000386E-2"/>
                  <c:y val="5.752961926037293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009-4568-AD08-4868731D86C3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donnée'!$AG$39:$AS$39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341756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9-4568-AD08-4868731D86C3}"/>
            </c:ext>
          </c:extLst>
        </c:ser>
        <c:ser>
          <c:idx val="1"/>
          <c:order val="1"/>
          <c:tx>
            <c:strRef>
              <c:f>'Base de donnée'!$AE$40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E82059"/>
            </a:solidFill>
            <a:ln>
              <a:solidFill>
                <a:srgbClr val="E82059"/>
              </a:solidFill>
            </a:ln>
            <a:effectLst/>
          </c:spPr>
          <c:invertIfNegative val="0"/>
          <c:dPt>
            <c:idx val="12"/>
            <c:invertIfNegative val="0"/>
            <c:bubble3D val="0"/>
            <c:spPr>
              <a:solidFill>
                <a:srgbClr val="0593EB"/>
              </a:solidFill>
              <a:ln>
                <a:solidFill>
                  <a:srgbClr val="E82059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09-4568-AD08-4868731D86C3}"/>
              </c:ext>
            </c:extLst>
          </c:dPt>
          <c:dLbls>
            <c:dLbl>
              <c:idx val="12"/>
              <c:layout>
                <c:manualLayout>
                  <c:x val="-1.0338276338666873E-2"/>
                  <c:y val="-4.31472144452797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09-4568-AD08-4868731D86C3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593E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donnée'!$AG$40:$AS$40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325674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09-4568-AD08-4868731D86C3}"/>
            </c:ext>
          </c:extLst>
        </c:ser>
        <c:ser>
          <c:idx val="2"/>
          <c:order val="2"/>
          <c:tx>
            <c:strRef>
              <c:f>'Base de donnée'!$AE$41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E82059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E82059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donnée'!$AG$41:$AS$41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359288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09-4568-AD08-4868731D8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2726960"/>
        <c:axId val="1812727376"/>
      </c:barChart>
      <c:lineChart>
        <c:grouping val="standard"/>
        <c:varyColors val="0"/>
        <c:ser>
          <c:idx val="3"/>
          <c:order val="3"/>
          <c:tx>
            <c:strRef>
              <c:f>'Base de donnée'!$AE$42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 cmpd="sng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donnée'!$AG$42:$AS$42</c:f>
              <c:numCache>
                <c:formatCode>General</c:formatCode>
                <c:ptCount val="13"/>
                <c:pt idx="0">
                  <c:v>60546</c:v>
                </c:pt>
                <c:pt idx="1">
                  <c:v>51467</c:v>
                </c:pt>
                <c:pt idx="2">
                  <c:v>46712</c:v>
                </c:pt>
                <c:pt idx="3">
                  <c:v>43869</c:v>
                </c:pt>
                <c:pt idx="4">
                  <c:v>44750</c:v>
                </c:pt>
                <c:pt idx="5">
                  <c:v>47173</c:v>
                </c:pt>
                <c:pt idx="6">
                  <c:v>47239</c:v>
                </c:pt>
                <c:pt idx="7">
                  <c:v>39265</c:v>
                </c:pt>
                <c:pt idx="8">
                  <c:v>55571</c:v>
                </c:pt>
                <c:pt idx="9">
                  <c:v>58798</c:v>
                </c:pt>
                <c:pt idx="10">
                  <c:v>46970</c:v>
                </c:pt>
                <c:pt idx="11">
                  <c:v>50829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009-4568-AD08-4868731D86C3}"/>
            </c:ext>
          </c:extLst>
        </c:ser>
        <c:ser>
          <c:idx val="4"/>
          <c:order val="4"/>
          <c:tx>
            <c:strRef>
              <c:f>'Base de donnée'!$AE$43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rgbClr val="0593EB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593EB"/>
              </a:solidFill>
              <a:ln w="9525">
                <a:noFill/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593E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donnée'!$AG$43:$AS$43</c:f>
              <c:numCache>
                <c:formatCode>General</c:formatCode>
                <c:ptCount val="13"/>
                <c:pt idx="0">
                  <c:v>60699</c:v>
                </c:pt>
                <c:pt idx="1">
                  <c:v>48620</c:v>
                </c:pt>
                <c:pt idx="2">
                  <c:v>44324</c:v>
                </c:pt>
                <c:pt idx="3">
                  <c:v>43065</c:v>
                </c:pt>
                <c:pt idx="4">
                  <c:v>39977</c:v>
                </c:pt>
                <c:pt idx="5">
                  <c:v>43193</c:v>
                </c:pt>
                <c:pt idx="6">
                  <c:v>45796</c:v>
                </c:pt>
                <c:pt idx="7">
                  <c:v>45984</c:v>
                </c:pt>
                <c:pt idx="8">
                  <c:v>54518</c:v>
                </c:pt>
                <c:pt idx="9">
                  <c:v>56253</c:v>
                </c:pt>
                <c:pt idx="10">
                  <c:v>51013</c:v>
                </c:pt>
                <c:pt idx="11">
                  <c:v>55589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009-4568-AD08-4868731D86C3}"/>
            </c:ext>
          </c:extLst>
        </c:ser>
        <c:ser>
          <c:idx val="5"/>
          <c:order val="5"/>
          <c:tx>
            <c:strRef>
              <c:f>'Base de donnée'!$AE$44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rgbClr val="E82059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E82059"/>
              </a:solidFill>
              <a:ln w="9525">
                <a:noFill/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2059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donnée'!$AG$44:$AS$44</c:f>
              <c:numCache>
                <c:formatCode>General</c:formatCode>
                <c:ptCount val="13"/>
                <c:pt idx="0">
                  <c:v>61115</c:v>
                </c:pt>
                <c:pt idx="1">
                  <c:v>47115</c:v>
                </c:pt>
                <c:pt idx="2">
                  <c:v>53606</c:v>
                </c:pt>
                <c:pt idx="3">
                  <c:v>47226</c:v>
                </c:pt>
                <c:pt idx="4">
                  <c:v>43302</c:v>
                </c:pt>
                <c:pt idx="5">
                  <c:v>52687</c:v>
                </c:pt>
                <c:pt idx="6">
                  <c:v>54237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009-4568-AD08-4868731D8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3512432"/>
        <c:axId val="1803517424"/>
      </c:lineChart>
      <c:catAx>
        <c:axId val="180351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3517424"/>
        <c:crosses val="autoZero"/>
        <c:auto val="1"/>
        <c:lblAlgn val="ctr"/>
        <c:lblOffset val="100"/>
        <c:noMultiLvlLbl val="0"/>
      </c:catAx>
      <c:valAx>
        <c:axId val="180351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solidFill>
              <a:schemeClr val="tx1">
                <a:alpha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351243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valAx>
        <c:axId val="1812727376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2726960"/>
        <c:crosses val="max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catAx>
        <c:axId val="1812726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2727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19320967972473E-2"/>
          <c:y val="2.4101175129341911E-2"/>
          <c:w val="0.9151923716421746"/>
          <c:h val="0.811128483570533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'Base de donnée'!$AE$39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bg1"/>
            </a:solidFill>
            <a:ln w="25400" cmpd="sng">
              <a:solidFill>
                <a:schemeClr val="tx1"/>
              </a:solidFill>
              <a:prstDash val="sysDot"/>
            </a:ln>
            <a:effectLst/>
          </c:spPr>
          <c:invertIfNegative val="0"/>
          <c:dLbls>
            <c:dLbl>
              <c:idx val="12"/>
              <c:layout>
                <c:manualLayout>
                  <c:x val="-1.9384268135000386E-2"/>
                  <c:y val="5.752961926037293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09-4A98-8030-8A08925303F9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donnée'!$AG$39:$AS$39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341756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09-4A98-8030-8A08925303F9}"/>
            </c:ext>
          </c:extLst>
        </c:ser>
        <c:ser>
          <c:idx val="1"/>
          <c:order val="1"/>
          <c:tx>
            <c:strRef>
              <c:f>'Base de donnée'!$AE$40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E82059"/>
            </a:solidFill>
            <a:ln>
              <a:solidFill>
                <a:srgbClr val="E82059"/>
              </a:solidFill>
            </a:ln>
            <a:effectLst/>
          </c:spPr>
          <c:invertIfNegative val="0"/>
          <c:dPt>
            <c:idx val="12"/>
            <c:invertIfNegative val="0"/>
            <c:bubble3D val="0"/>
            <c:spPr>
              <a:solidFill>
                <a:srgbClr val="0593EB"/>
              </a:solidFill>
              <a:ln>
                <a:solidFill>
                  <a:srgbClr val="E82059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09-4A98-8030-8A08925303F9}"/>
              </c:ext>
            </c:extLst>
          </c:dPt>
          <c:dLbls>
            <c:dLbl>
              <c:idx val="12"/>
              <c:layout>
                <c:manualLayout>
                  <c:x val="-1.0338276338666873E-2"/>
                  <c:y val="-4.31472144452797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09-4A98-8030-8A08925303F9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593E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donnée'!$AG$40:$AS$40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325674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09-4A98-8030-8A08925303F9}"/>
            </c:ext>
          </c:extLst>
        </c:ser>
        <c:ser>
          <c:idx val="2"/>
          <c:order val="2"/>
          <c:tx>
            <c:strRef>
              <c:f>'Base de donnée'!$AE$41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E82059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E82059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donnée'!$AG$41:$AS$41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359288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09-4A98-8030-8A0892530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2726960"/>
        <c:axId val="1812727376"/>
      </c:barChart>
      <c:lineChart>
        <c:grouping val="standard"/>
        <c:varyColors val="0"/>
        <c:ser>
          <c:idx val="3"/>
          <c:order val="3"/>
          <c:tx>
            <c:strRef>
              <c:f>'Base de donnée'!$AE$42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 cmpd="sng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donnée'!$AG$42:$AS$42</c:f>
              <c:numCache>
                <c:formatCode>General</c:formatCode>
                <c:ptCount val="13"/>
                <c:pt idx="0">
                  <c:v>60546</c:v>
                </c:pt>
                <c:pt idx="1">
                  <c:v>51467</c:v>
                </c:pt>
                <c:pt idx="2">
                  <c:v>46712</c:v>
                </c:pt>
                <c:pt idx="3">
                  <c:v>43869</c:v>
                </c:pt>
                <c:pt idx="4">
                  <c:v>44750</c:v>
                </c:pt>
                <c:pt idx="5">
                  <c:v>47173</c:v>
                </c:pt>
                <c:pt idx="6">
                  <c:v>47239</c:v>
                </c:pt>
                <c:pt idx="7">
                  <c:v>39265</c:v>
                </c:pt>
                <c:pt idx="8">
                  <c:v>55571</c:v>
                </c:pt>
                <c:pt idx="9">
                  <c:v>58798</c:v>
                </c:pt>
                <c:pt idx="10">
                  <c:v>46970</c:v>
                </c:pt>
                <c:pt idx="11">
                  <c:v>50829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609-4A98-8030-8A08925303F9}"/>
            </c:ext>
          </c:extLst>
        </c:ser>
        <c:ser>
          <c:idx val="4"/>
          <c:order val="4"/>
          <c:tx>
            <c:strRef>
              <c:f>'Base de donnée'!$AE$43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rgbClr val="0593EB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593EB"/>
              </a:solidFill>
              <a:ln w="9525">
                <a:noFill/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593E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donnée'!$AG$43:$AS$43</c:f>
              <c:numCache>
                <c:formatCode>General</c:formatCode>
                <c:ptCount val="13"/>
                <c:pt idx="0">
                  <c:v>60699</c:v>
                </c:pt>
                <c:pt idx="1">
                  <c:v>48620</c:v>
                </c:pt>
                <c:pt idx="2">
                  <c:v>44324</c:v>
                </c:pt>
                <c:pt idx="3">
                  <c:v>43065</c:v>
                </c:pt>
                <c:pt idx="4">
                  <c:v>39977</c:v>
                </c:pt>
                <c:pt idx="5">
                  <c:v>43193</c:v>
                </c:pt>
                <c:pt idx="6">
                  <c:v>45796</c:v>
                </c:pt>
                <c:pt idx="7">
                  <c:v>45984</c:v>
                </c:pt>
                <c:pt idx="8">
                  <c:v>54518</c:v>
                </c:pt>
                <c:pt idx="9">
                  <c:v>56253</c:v>
                </c:pt>
                <c:pt idx="10">
                  <c:v>51013</c:v>
                </c:pt>
                <c:pt idx="11">
                  <c:v>55589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609-4A98-8030-8A08925303F9}"/>
            </c:ext>
          </c:extLst>
        </c:ser>
        <c:ser>
          <c:idx val="5"/>
          <c:order val="5"/>
          <c:tx>
            <c:strRef>
              <c:f>'Base de donnée'!$AE$44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rgbClr val="E82059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E82059"/>
              </a:solidFill>
              <a:ln w="9525">
                <a:noFill/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2059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donnée'!$AG$44:$AS$44</c:f>
              <c:numCache>
                <c:formatCode>General</c:formatCode>
                <c:ptCount val="13"/>
                <c:pt idx="0">
                  <c:v>61115</c:v>
                </c:pt>
                <c:pt idx="1">
                  <c:v>47115</c:v>
                </c:pt>
                <c:pt idx="2">
                  <c:v>53606</c:v>
                </c:pt>
                <c:pt idx="3">
                  <c:v>47226</c:v>
                </c:pt>
                <c:pt idx="4">
                  <c:v>43302</c:v>
                </c:pt>
                <c:pt idx="5">
                  <c:v>52687</c:v>
                </c:pt>
                <c:pt idx="6">
                  <c:v>54237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609-4A98-8030-8A0892530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3512432"/>
        <c:axId val="1803517424"/>
      </c:lineChart>
      <c:catAx>
        <c:axId val="180351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3517424"/>
        <c:crosses val="autoZero"/>
        <c:auto val="1"/>
        <c:lblAlgn val="ctr"/>
        <c:lblOffset val="100"/>
        <c:noMultiLvlLbl val="0"/>
      </c:catAx>
      <c:valAx>
        <c:axId val="18035174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solidFill>
              <a:schemeClr val="tx1">
                <a:alpha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3512432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valAx>
        <c:axId val="1812727376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2726960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catAx>
        <c:axId val="1812726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2727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694452104919895E-2"/>
          <c:y val="3.619090746997506E-2"/>
          <c:w val="0.9151923716421746"/>
          <c:h val="0.811128483570533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'Base de donnée'!$AE$21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bg1"/>
            </a:solidFill>
            <a:ln w="25400">
              <a:solidFill>
                <a:schemeClr val="tx1"/>
              </a:solidFill>
              <a:prstDash val="dash"/>
            </a:ln>
            <a:effectLst/>
          </c:spPr>
          <c:invertIfNegative val="0"/>
          <c:dLbls>
            <c:dLbl>
              <c:idx val="12"/>
              <c:layout>
                <c:manualLayout>
                  <c:x val="-1.758154787265943E-2"/>
                  <c:y val="-5.139833833623983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D1-43C3-8ED5-3812336F0B0E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donnée'!$AG$21:$AS$21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0.76167934115652458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D1-43C3-8ED5-3812336F0B0E}"/>
            </c:ext>
          </c:extLst>
        </c:ser>
        <c:ser>
          <c:idx val="1"/>
          <c:order val="1"/>
          <c:tx>
            <c:strRef>
              <c:f>'Base de donnée'!$AE$22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0593EB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593E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donnée'!$AG$22:$AS$22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0.92460310463730955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D1-43C3-8ED5-3812336F0B0E}"/>
            </c:ext>
          </c:extLst>
        </c:ser>
        <c:ser>
          <c:idx val="2"/>
          <c:order val="2"/>
          <c:tx>
            <c:strRef>
              <c:f>'Base de donnée'!$AE$23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E82059"/>
            </a:solidFill>
            <a:ln>
              <a:noFill/>
            </a:ln>
            <a:effectLst/>
          </c:spPr>
          <c:invertIfNegative val="0"/>
          <c:dLbls>
            <c:dLbl>
              <c:idx val="12"/>
              <c:layout>
                <c:manualLayout>
                  <c:x val="1.4876694353788664E-2"/>
                  <c:y val="-1.1778649800754019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D1-43C3-8ED5-3812336F0B0E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E82059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donnée'!$AG$23:$AS$23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0.95843991399896322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D1-43C3-8ED5-3812336F0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2726960"/>
        <c:axId val="1812727376"/>
      </c:barChart>
      <c:lineChart>
        <c:grouping val="standard"/>
        <c:varyColors val="0"/>
        <c:ser>
          <c:idx val="3"/>
          <c:order val="3"/>
          <c:tx>
            <c:strRef>
              <c:f>'Base de donnée'!$AE$24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 cmpd="sng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donnée'!$AG$24:$AS$24</c:f>
              <c:numCache>
                <c:formatCode>General</c:formatCode>
                <c:ptCount val="13"/>
                <c:pt idx="0">
                  <c:v>0.75779419715264007</c:v>
                </c:pt>
                <c:pt idx="1">
                  <c:v>0.7329475743608449</c:v>
                </c:pt>
                <c:pt idx="2">
                  <c:v>0.64295463924070728</c:v>
                </c:pt>
                <c:pt idx="3">
                  <c:v>0.62567981616238988</c:v>
                </c:pt>
                <c:pt idx="4">
                  <c:v>0.71577009075364983</c:v>
                </c:pt>
                <c:pt idx="5">
                  <c:v>0.88059859341124214</c:v>
                </c:pt>
                <c:pt idx="6">
                  <c:v>0.99009679821295604</c:v>
                </c:pt>
                <c:pt idx="7">
                  <c:v>0.81477499213259208</c:v>
                </c:pt>
                <c:pt idx="8">
                  <c:v>0.81363585266234495</c:v>
                </c:pt>
                <c:pt idx="9">
                  <c:v>0.72439908811334319</c:v>
                </c:pt>
                <c:pt idx="10">
                  <c:v>0.62040130473460509</c:v>
                </c:pt>
                <c:pt idx="11">
                  <c:v>0.74812255932712524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DD1-43C3-8ED5-3812336F0B0E}"/>
            </c:ext>
          </c:extLst>
        </c:ser>
        <c:ser>
          <c:idx val="4"/>
          <c:order val="4"/>
          <c:tx>
            <c:strRef>
              <c:f>'Base de donnée'!$AE$25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593EB"/>
              </a:solidFill>
              <a:ln w="9525">
                <a:noFill/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593E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donnée'!$AG$25:$AS$25</c:f>
              <c:numCache>
                <c:formatCode>General</c:formatCode>
                <c:ptCount val="13"/>
                <c:pt idx="0">
                  <c:v>0.95505539877385903</c:v>
                </c:pt>
                <c:pt idx="1">
                  <c:v>0.84958368317940103</c:v>
                </c:pt>
                <c:pt idx="2">
                  <c:v>0.72034254050877344</c:v>
                </c:pt>
                <c:pt idx="3">
                  <c:v>0.98442506893211124</c:v>
                </c:pt>
                <c:pt idx="4">
                  <c:v>0.99484409526147799</c:v>
                </c:pt>
                <c:pt idx="5">
                  <c:v>0.99573890418190736</c:v>
                </c:pt>
                <c:pt idx="6">
                  <c:v>0.99747977185303094</c:v>
                </c:pt>
                <c:pt idx="7">
                  <c:v>0.99614757741887683</c:v>
                </c:pt>
                <c:pt idx="8">
                  <c:v>0.99578025853789109</c:v>
                </c:pt>
                <c:pt idx="9">
                  <c:v>0.99505735904320236</c:v>
                </c:pt>
                <c:pt idx="10">
                  <c:v>0.98852438568042911</c:v>
                </c:pt>
                <c:pt idx="11">
                  <c:v>0.99509395392719557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D1-43C3-8ED5-3812336F0B0E}"/>
            </c:ext>
          </c:extLst>
        </c:ser>
        <c:ser>
          <c:idx val="5"/>
          <c:order val="5"/>
          <c:tx>
            <c:strRef>
              <c:f>'Base de donnée'!$AE$26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rgbClr val="E82059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E82059"/>
              </a:solidFill>
              <a:ln w="9525">
                <a:noFill/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E82059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donnée'!$AG$26:$AS$26</c:f>
              <c:numCache>
                <c:formatCode>General</c:formatCode>
                <c:ptCount val="13"/>
                <c:pt idx="0">
                  <c:v>0.98361270629623876</c:v>
                </c:pt>
                <c:pt idx="1">
                  <c:v>0.89302752594389889</c:v>
                </c:pt>
                <c:pt idx="2">
                  <c:v>0.89977712526974918</c:v>
                </c:pt>
                <c:pt idx="3">
                  <c:v>0.98977212905166578</c:v>
                </c:pt>
                <c:pt idx="4">
                  <c:v>0.96974426919795997</c:v>
                </c:pt>
                <c:pt idx="5">
                  <c:v>0.99185884929045665</c:v>
                </c:pt>
                <c:pt idx="6">
                  <c:v>0.99294636296840555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DD1-43C3-8ED5-3812336F0B0E}"/>
            </c:ext>
          </c:extLst>
        </c:ser>
        <c:ser>
          <c:idx val="6"/>
          <c:order val="6"/>
          <c:tx>
            <c:v>Obj COG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'Base de donnée'!$AG$4:$AS$4</c:f>
              <c:numCache>
                <c:formatCode>General</c:formatCode>
                <c:ptCount val="13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DD1-43C3-8ED5-3812336F0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3512432"/>
        <c:axId val="1803517424"/>
      </c:lineChart>
      <c:catAx>
        <c:axId val="180351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3517424"/>
        <c:crosses val="autoZero"/>
        <c:auto val="1"/>
        <c:lblAlgn val="ctr"/>
        <c:lblOffset val="100"/>
        <c:noMultiLvlLbl val="0"/>
      </c:catAx>
      <c:valAx>
        <c:axId val="1803517424"/>
        <c:scaling>
          <c:orientation val="minMax"/>
          <c:min val="0"/>
        </c:scaling>
        <c:delete val="0"/>
        <c:axPos val="l"/>
        <c:majorGridlines>
          <c:spPr>
            <a:ln w="9525" cap="flat" cmpd="thickThin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3512432"/>
        <c:crosses val="autoZero"/>
        <c:crossBetween val="between"/>
      </c:valAx>
      <c:valAx>
        <c:axId val="181272737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2726960"/>
        <c:crosses val="max"/>
        <c:crossBetween val="between"/>
      </c:valAx>
      <c:catAx>
        <c:axId val="1812726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2727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[1]Feuil2!$B$37</c:f>
              <c:strCache>
                <c:ptCount val="1"/>
                <c:pt idx="0">
                  <c:v>41821</c:v>
                </c:pt>
              </c:strCache>
            </c:strRef>
          </c:tx>
          <c:spPr>
            <a:solidFill>
              <a:srgbClr val="0593E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593E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[1]Feuil2!$A$38:$A$42</c:f>
              <c:strCache>
                <c:ptCount val="5"/>
                <c:pt idx="0">
                  <c:v>&lt;75</c:v>
                </c:pt>
                <c:pt idx="1">
                  <c:v>[75;85 [</c:v>
                </c:pt>
                <c:pt idx="2">
                  <c:v>[85;90 [</c:v>
                </c:pt>
                <c:pt idx="3">
                  <c:v>[90;95 [</c:v>
                </c:pt>
                <c:pt idx="4">
                  <c:v>[95;100]</c:v>
                </c:pt>
              </c:strCache>
            </c:strRef>
          </c:cat>
          <c:val>
            <c:numRef>
              <c:f>[1]Feuil2!$B$38:$B$42</c:f>
              <c:numCache>
                <c:formatCode>General</c:formatCode>
                <c:ptCount val="5"/>
                <c:pt idx="0">
                  <c:v>6</c:v>
                </c:pt>
                <c:pt idx="1">
                  <c:v>3</c:v>
                </c:pt>
                <c:pt idx="2">
                  <c:v>6</c:v>
                </c:pt>
                <c:pt idx="3">
                  <c:v>11</c:v>
                </c:pt>
                <c:pt idx="4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5-406D-8B56-4954883D7E4E}"/>
            </c:ext>
          </c:extLst>
        </c:ser>
        <c:ser>
          <c:idx val="1"/>
          <c:order val="1"/>
          <c:tx>
            <c:strRef>
              <c:f>[1]Feuil2!$C$37</c:f>
              <c:strCache>
                <c:ptCount val="1"/>
                <c:pt idx="0">
                  <c:v>42186</c:v>
                </c:pt>
              </c:strCache>
            </c:strRef>
          </c:tx>
          <c:spPr>
            <a:solidFill>
              <a:srgbClr val="E8205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2059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[1]Feuil2!$A$38:$A$42</c:f>
              <c:strCache>
                <c:ptCount val="5"/>
                <c:pt idx="0">
                  <c:v>&lt;75</c:v>
                </c:pt>
                <c:pt idx="1">
                  <c:v>[75;85 [</c:v>
                </c:pt>
                <c:pt idx="2">
                  <c:v>[85;90 [</c:v>
                </c:pt>
                <c:pt idx="3">
                  <c:v>[90;95 [</c:v>
                </c:pt>
                <c:pt idx="4">
                  <c:v>[95;100]</c:v>
                </c:pt>
              </c:strCache>
            </c:strRef>
          </c:cat>
          <c:val>
            <c:numRef>
              <c:f>[1]Feuil2!$C$38:$C$42</c:f>
              <c:numCache>
                <c:formatCode>General</c:formatCode>
                <c:ptCount val="5"/>
                <c:pt idx="0">
                  <c:v>2</c:v>
                </c:pt>
                <c:pt idx="1">
                  <c:v>10</c:v>
                </c:pt>
                <c:pt idx="2">
                  <c:v>6</c:v>
                </c:pt>
                <c:pt idx="3">
                  <c:v>13</c:v>
                </c:pt>
                <c:pt idx="4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C5-406D-8B56-4954883D7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397808"/>
        <c:axId val="624398288"/>
      </c:barChart>
      <c:catAx>
        <c:axId val="62439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4398288"/>
        <c:crosses val="autoZero"/>
        <c:auto val="1"/>
        <c:lblAlgn val="ctr"/>
        <c:lblOffset val="100"/>
        <c:noMultiLvlLbl val="0"/>
      </c:catAx>
      <c:valAx>
        <c:axId val="62439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439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694452104919895E-2"/>
          <c:y val="3.619090746997506E-2"/>
          <c:w val="0.9151923716421746"/>
          <c:h val="0.811128483570533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'Base de donnée'!$AE$27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bg1"/>
            </a:solidFill>
            <a:ln w="22225" cmpd="sng">
              <a:solidFill>
                <a:schemeClr val="tx1"/>
              </a:solidFill>
              <a:prstDash val="lgDash"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donnée'!$AG$27:$AS$27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0.85010516097718813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FA-484E-83F6-047984331A33}"/>
            </c:ext>
          </c:extLst>
        </c:ser>
        <c:ser>
          <c:idx val="1"/>
          <c:order val="1"/>
          <c:tx>
            <c:strRef>
              <c:f>'Base de donnée'!$AE$28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0593EB"/>
            </a:solidFill>
            <a:ln>
              <a:noFill/>
            </a:ln>
            <a:effectLst/>
          </c:spPr>
          <c:invertIfNegative val="0"/>
          <c:dLbls>
            <c:dLbl>
              <c:idx val="12"/>
              <c:layout>
                <c:manualLayout>
                  <c:x val="4.0572802783059988E-3"/>
                  <c:y val="-2.3557299601508039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3FA-484E-83F6-047984331A33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593E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donnée'!$AG$28:$AS$28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0.98991450248699198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FA-484E-83F6-047984331A33}"/>
            </c:ext>
          </c:extLst>
        </c:ser>
        <c:ser>
          <c:idx val="2"/>
          <c:order val="2"/>
          <c:tx>
            <c:strRef>
              <c:f>'Base de donnée'!$AE$29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E82059"/>
            </a:solidFill>
            <a:ln>
              <a:noFill/>
            </a:ln>
            <a:effectLst/>
          </c:spPr>
          <c:invertIfNegative val="0"/>
          <c:dLbls>
            <c:dLbl>
              <c:idx val="12"/>
              <c:layout>
                <c:manualLayout>
                  <c:x val="2.1638828150965329E-2"/>
                  <c:y val="5.13983383362395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3FA-484E-83F6-047984331A33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E82059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donnée'!$AG$29:$AS$29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0.98810694115152564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FA-484E-83F6-047984331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2726960"/>
        <c:axId val="1812727376"/>
      </c:barChart>
      <c:lineChart>
        <c:grouping val="standard"/>
        <c:varyColors val="0"/>
        <c:ser>
          <c:idx val="3"/>
          <c:order val="3"/>
          <c:tx>
            <c:strRef>
              <c:f>'Base de donnée'!$AE$30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donnée'!$AG$30:$AS$30</c:f>
              <c:numCache>
                <c:formatCode>General</c:formatCode>
                <c:ptCount val="13"/>
                <c:pt idx="0">
                  <c:v>0.88707090150786017</c:v>
                </c:pt>
                <c:pt idx="1">
                  <c:v>0.86396434634974528</c:v>
                </c:pt>
                <c:pt idx="2">
                  <c:v>0.6950741063644289</c:v>
                </c:pt>
                <c:pt idx="3">
                  <c:v>0.68631350569517269</c:v>
                </c:pt>
                <c:pt idx="4">
                  <c:v>0.81636400734543968</c:v>
                </c:pt>
                <c:pt idx="5">
                  <c:v>0.97558386411889597</c:v>
                </c:pt>
                <c:pt idx="6">
                  <c:v>0.98985959438377535</c:v>
                </c:pt>
                <c:pt idx="7">
                  <c:v>0.97808459346920884</c:v>
                </c:pt>
                <c:pt idx="8">
                  <c:v>0.97188190399678653</c:v>
                </c:pt>
                <c:pt idx="9">
                  <c:v>0.98241568175266647</c:v>
                </c:pt>
                <c:pt idx="10">
                  <c:v>0.97772377480761441</c:v>
                </c:pt>
                <c:pt idx="11">
                  <c:v>0.92562882392929979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3FA-484E-83F6-047984331A33}"/>
            </c:ext>
          </c:extLst>
        </c:ser>
        <c:ser>
          <c:idx val="4"/>
          <c:order val="4"/>
          <c:tx>
            <c:strRef>
              <c:f>'Base de donnée'!$AE$31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593EB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593E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donnée'!$AG$31:$AS$31</c:f>
              <c:numCache>
                <c:formatCode>General</c:formatCode>
                <c:ptCount val="13"/>
                <c:pt idx="0">
                  <c:v>0.98896084780688842</c:v>
                </c:pt>
                <c:pt idx="1">
                  <c:v>0.98746867167919794</c:v>
                </c:pt>
                <c:pt idx="2">
                  <c:v>0.98691816245816855</c:v>
                </c:pt>
                <c:pt idx="3">
                  <c:v>0.98537254304433952</c:v>
                </c:pt>
                <c:pt idx="4">
                  <c:v>0.98862461220268871</c:v>
                </c:pt>
                <c:pt idx="5">
                  <c:v>0.99733066399733061</c:v>
                </c:pt>
                <c:pt idx="6">
                  <c:v>0.9950902755780805</c:v>
                </c:pt>
                <c:pt idx="7">
                  <c:v>0.9945721583652618</c:v>
                </c:pt>
                <c:pt idx="8">
                  <c:v>0.99341257339252476</c:v>
                </c:pt>
                <c:pt idx="9">
                  <c:v>0.9924992499249925</c:v>
                </c:pt>
                <c:pt idx="10">
                  <c:v>0.97884552312233519</c:v>
                </c:pt>
                <c:pt idx="11">
                  <c:v>0.99218556189531137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FA-484E-83F6-047984331A33}"/>
            </c:ext>
          </c:extLst>
        </c:ser>
        <c:ser>
          <c:idx val="5"/>
          <c:order val="5"/>
          <c:tx>
            <c:strRef>
              <c:f>'Base de donnée'!$AE$32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rgbClr val="E82059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E82059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5.3221400673252955E-2"/>
                  <c:y val="1.82528854905728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3FA-484E-83F6-047984331A33}"/>
                </c:ext>
              </c:extLst>
            </c:dLbl>
            <c:dLbl>
              <c:idx val="1"/>
              <c:layout>
                <c:manualLayout>
                  <c:x val="-2.3468011965675648E-2"/>
                  <c:y val="9.0210559161308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3FA-484E-83F6-047984331A33}"/>
                </c:ext>
              </c:extLst>
            </c:dLbl>
            <c:dLbl>
              <c:idx val="2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rgbClr val="E82059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205922308726656E-2"/>
                      <c:h val="8.53341924005735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B3FA-484E-83F6-047984331A33}"/>
                </c:ext>
              </c:extLst>
            </c:dLbl>
            <c:dLbl>
              <c:idx val="3"/>
              <c:layout>
                <c:manualLayout>
                  <c:x val="-2.3468011965675623E-2"/>
                  <c:y val="7.47910576604366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3FA-484E-83F6-047984331A33}"/>
                </c:ext>
              </c:extLst>
            </c:dLbl>
            <c:dLbl>
              <c:idx val="4"/>
              <c:layout>
                <c:manualLayout>
                  <c:x val="-2.3468011965675672E-2"/>
                  <c:y val="8.50707253276846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3FA-484E-83F6-047984331A33}"/>
                </c:ext>
              </c:extLst>
            </c:dLbl>
            <c:dLbl>
              <c:idx val="5"/>
              <c:layout>
                <c:manualLayout>
                  <c:x val="-1.805830492793439E-2"/>
                  <c:y val="8.50707253276846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3FA-484E-83F6-047984331A33}"/>
                </c:ext>
              </c:extLst>
            </c:dLbl>
            <c:dLbl>
              <c:idx val="6"/>
              <c:layout>
                <c:manualLayout>
                  <c:x val="-1.9410731687369624E-2"/>
                  <c:y val="8.2500808410872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3FA-484E-83F6-047984331A33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E82059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de donnée'!$AG$10:$AS$10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Cumul</c:v>
                </c:pt>
              </c:strCache>
            </c:strRef>
          </c:cat>
          <c:val>
            <c:numRef>
              <c:f>'Base de donnée'!$AG$32:$AS$32</c:f>
              <c:numCache>
                <c:formatCode>General</c:formatCode>
                <c:ptCount val="13"/>
                <c:pt idx="0">
                  <c:v>0.98439375750300118</c:v>
                </c:pt>
                <c:pt idx="1">
                  <c:v>0.98565821256038644</c:v>
                </c:pt>
                <c:pt idx="2">
                  <c:v>0.98893669330055312</c:v>
                </c:pt>
                <c:pt idx="3">
                  <c:v>0.98886679920477139</c:v>
                </c:pt>
                <c:pt idx="4">
                  <c:v>0.99105601757414086</c:v>
                </c:pt>
                <c:pt idx="5">
                  <c:v>0.99003531786074672</c:v>
                </c:pt>
                <c:pt idx="6">
                  <c:v>0.98819124423963134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3FA-484E-83F6-047984331A33}"/>
            </c:ext>
          </c:extLst>
        </c:ser>
        <c:ser>
          <c:idx val="6"/>
          <c:order val="6"/>
          <c:tx>
            <c:v>Obj COG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'Base de donnée'!$AG$5:$AS$5</c:f>
              <c:numCache>
                <c:formatCode>General</c:formatCode>
                <c:ptCount val="13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3FA-484E-83F6-047984331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3512432"/>
        <c:axId val="1803517424"/>
      </c:lineChart>
      <c:catAx>
        <c:axId val="180351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3517424"/>
        <c:crosses val="autoZero"/>
        <c:auto val="1"/>
        <c:lblAlgn val="ctr"/>
        <c:lblOffset val="100"/>
        <c:noMultiLvlLbl val="0"/>
      </c:catAx>
      <c:valAx>
        <c:axId val="180351742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thickThin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3512432"/>
        <c:crosses val="autoZero"/>
        <c:crossBetween val="between"/>
      </c:valAx>
      <c:valAx>
        <c:axId val="181272737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2726960"/>
        <c:crosses val="max"/>
        <c:crossBetween val="between"/>
      </c:valAx>
      <c:catAx>
        <c:axId val="1812726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2727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[1]Feuil2!$B$47</c:f>
              <c:strCache>
                <c:ptCount val="1"/>
                <c:pt idx="0">
                  <c:v>41821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593E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[1]Feuil2!$A$48:$A$52</c:f>
              <c:strCache>
                <c:ptCount val="5"/>
                <c:pt idx="0">
                  <c:v>&lt;75</c:v>
                </c:pt>
                <c:pt idx="1">
                  <c:v>[75;85 [</c:v>
                </c:pt>
                <c:pt idx="2">
                  <c:v>[85;90 [</c:v>
                </c:pt>
                <c:pt idx="3">
                  <c:v>[90;95 [</c:v>
                </c:pt>
                <c:pt idx="4">
                  <c:v>[95;100]</c:v>
                </c:pt>
              </c:strCache>
            </c:strRef>
          </c:cat>
          <c:val>
            <c:numRef>
              <c:f>[1]Feuil2!$B$48:$B$52</c:f>
              <c:numCache>
                <c:formatCode>General</c:formatCode>
                <c:ptCount val="5"/>
                <c:pt idx="2">
                  <c:v>5</c:v>
                </c:pt>
                <c:pt idx="3">
                  <c:v>11</c:v>
                </c:pt>
                <c:pt idx="4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84-4D3F-B80C-037A406ABF5C}"/>
            </c:ext>
          </c:extLst>
        </c:ser>
        <c:ser>
          <c:idx val="1"/>
          <c:order val="1"/>
          <c:tx>
            <c:strRef>
              <c:f>[1]Feuil2!$C$47</c:f>
              <c:strCache>
                <c:ptCount val="1"/>
                <c:pt idx="0">
                  <c:v>42186</c:v>
                </c:pt>
              </c:strCache>
            </c:strRef>
          </c:tx>
          <c:spPr>
            <a:solidFill>
              <a:srgbClr val="E8205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E82059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[1]Feuil2!$A$48:$A$52</c:f>
              <c:strCache>
                <c:ptCount val="5"/>
                <c:pt idx="0">
                  <c:v>&lt;75</c:v>
                </c:pt>
                <c:pt idx="1">
                  <c:v>[75;85 [</c:v>
                </c:pt>
                <c:pt idx="2">
                  <c:v>[85;90 [</c:v>
                </c:pt>
                <c:pt idx="3">
                  <c:v>[90;95 [</c:v>
                </c:pt>
                <c:pt idx="4">
                  <c:v>[95;100]</c:v>
                </c:pt>
              </c:strCache>
            </c:strRef>
          </c:cat>
          <c:val>
            <c:numRef>
              <c:f>[1]Feuil2!$C$48:$C$52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8</c:v>
                </c:pt>
                <c:pt idx="3">
                  <c:v>13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84-4D3F-B80C-037A406AB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501280"/>
        <c:axId val="668496000"/>
      </c:barChart>
      <c:catAx>
        <c:axId val="66850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8496000"/>
        <c:crosses val="autoZero"/>
        <c:auto val="1"/>
        <c:lblAlgn val="ctr"/>
        <c:lblOffset val="100"/>
        <c:noMultiLvlLbl val="0"/>
      </c:catAx>
      <c:valAx>
        <c:axId val="66849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850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2" fmlaLink="$C$1" fmlaRange="'Base de donnée'!$X$15:$X$117" noThreeD="1" sel="2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28575</xdr:colOff>
          <xdr:row>1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243329</xdr:colOff>
      <xdr:row>229</xdr:row>
      <xdr:rowOff>116862</xdr:rowOff>
    </xdr:from>
    <xdr:to>
      <xdr:col>18</xdr:col>
      <xdr:colOff>56029</xdr:colOff>
      <xdr:row>254</xdr:row>
      <xdr:rowOff>11206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</xdr:colOff>
      <xdr:row>189</xdr:row>
      <xdr:rowOff>156882</xdr:rowOff>
    </xdr:from>
    <xdr:to>
      <xdr:col>18</xdr:col>
      <xdr:colOff>67235</xdr:colOff>
      <xdr:row>214</xdr:row>
      <xdr:rowOff>100854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324972</xdr:colOff>
      <xdr:row>313</xdr:row>
      <xdr:rowOff>123267</xdr:rowOff>
    </xdr:from>
    <xdr:to>
      <xdr:col>17</xdr:col>
      <xdr:colOff>313764</xdr:colOff>
      <xdr:row>337</xdr:row>
      <xdr:rowOff>44823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122465</xdr:colOff>
      <xdr:row>356</xdr:row>
      <xdr:rowOff>40021</xdr:rowOff>
    </xdr:from>
    <xdr:to>
      <xdr:col>18</xdr:col>
      <xdr:colOff>598713</xdr:colOff>
      <xdr:row>383</xdr:row>
      <xdr:rowOff>121664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156883</xdr:colOff>
      <xdr:row>443</xdr:row>
      <xdr:rowOff>78442</xdr:rowOff>
    </xdr:from>
    <xdr:to>
      <xdr:col>17</xdr:col>
      <xdr:colOff>683557</xdr:colOff>
      <xdr:row>469</xdr:row>
      <xdr:rowOff>67236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56029</xdr:colOff>
      <xdr:row>268</xdr:row>
      <xdr:rowOff>145675</xdr:rowOff>
    </xdr:from>
    <xdr:to>
      <xdr:col>18</xdr:col>
      <xdr:colOff>437030</xdr:colOff>
      <xdr:row>292</xdr:row>
      <xdr:rowOff>145676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324971</xdr:colOff>
      <xdr:row>402</xdr:row>
      <xdr:rowOff>134471</xdr:rowOff>
    </xdr:from>
    <xdr:to>
      <xdr:col>16</xdr:col>
      <xdr:colOff>481852</xdr:colOff>
      <xdr:row>422</xdr:row>
      <xdr:rowOff>145677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100852</xdr:colOff>
      <xdr:row>483</xdr:row>
      <xdr:rowOff>145676</xdr:rowOff>
    </xdr:from>
    <xdr:to>
      <xdr:col>16</xdr:col>
      <xdr:colOff>414617</xdr:colOff>
      <xdr:row>503</xdr:row>
      <xdr:rowOff>112057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156883</xdr:colOff>
      <xdr:row>576</xdr:row>
      <xdr:rowOff>123265</xdr:rowOff>
    </xdr:from>
    <xdr:to>
      <xdr:col>18</xdr:col>
      <xdr:colOff>78441</xdr:colOff>
      <xdr:row>602</xdr:row>
      <xdr:rowOff>89648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123266</xdr:colOff>
      <xdr:row>622</xdr:row>
      <xdr:rowOff>44825</xdr:rowOff>
    </xdr:from>
    <xdr:to>
      <xdr:col>18</xdr:col>
      <xdr:colOff>22411</xdr:colOff>
      <xdr:row>646</xdr:row>
      <xdr:rowOff>112059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268942</xdr:colOff>
      <xdr:row>705</xdr:row>
      <xdr:rowOff>179294</xdr:rowOff>
    </xdr:from>
    <xdr:to>
      <xdr:col>17</xdr:col>
      <xdr:colOff>179292</xdr:colOff>
      <xdr:row>733</xdr:row>
      <xdr:rowOff>179294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78441</xdr:colOff>
      <xdr:row>753</xdr:row>
      <xdr:rowOff>134471</xdr:rowOff>
    </xdr:from>
    <xdr:to>
      <xdr:col>17</xdr:col>
      <xdr:colOff>369793</xdr:colOff>
      <xdr:row>777</xdr:row>
      <xdr:rowOff>33617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257736</xdr:colOff>
      <xdr:row>838</xdr:row>
      <xdr:rowOff>78441</xdr:rowOff>
    </xdr:from>
    <xdr:to>
      <xdr:col>17</xdr:col>
      <xdr:colOff>437027</xdr:colOff>
      <xdr:row>864</xdr:row>
      <xdr:rowOff>67235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212911</xdr:colOff>
      <xdr:row>885</xdr:row>
      <xdr:rowOff>78440</xdr:rowOff>
    </xdr:from>
    <xdr:to>
      <xdr:col>17</xdr:col>
      <xdr:colOff>134470</xdr:colOff>
      <xdr:row>910</xdr:row>
      <xdr:rowOff>179293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p75-my.sharepoint.com/personal/naba_solly_etu_u-paris_fr/Documents/Attachments/reporting%201%20excel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2"/>
      <sheetName val="Base de donnée"/>
      <sheetName val="tdb1_ems"/>
      <sheetName val="tdb1_ems (2)"/>
    </sheetNames>
    <sheetDataSet>
      <sheetData sheetId="0">
        <row r="21">
          <cell r="B21" t="str">
            <v>juil. 2014</v>
          </cell>
          <cell r="C21" t="str">
            <v>juil. 2015</v>
          </cell>
        </row>
        <row r="22">
          <cell r="A22" t="str">
            <v>&lt;75</v>
          </cell>
          <cell r="B22">
            <v>2</v>
          </cell>
          <cell r="C22">
            <v>3</v>
          </cell>
        </row>
        <row r="23">
          <cell r="A23" t="str">
            <v>[75;85 [</v>
          </cell>
          <cell r="B23">
            <v>8</v>
          </cell>
          <cell r="C23">
            <v>2</v>
          </cell>
        </row>
        <row r="24">
          <cell r="A24" t="str">
            <v>[85;90 [</v>
          </cell>
          <cell r="B24">
            <v>15</v>
          </cell>
          <cell r="C24">
            <v>7</v>
          </cell>
        </row>
        <row r="25">
          <cell r="A25" t="str">
            <v>[90;95 [</v>
          </cell>
          <cell r="B25">
            <v>37</v>
          </cell>
          <cell r="C25">
            <v>32</v>
          </cell>
        </row>
        <row r="26">
          <cell r="A26" t="str">
            <v>[95;100]</v>
          </cell>
          <cell r="B26">
            <v>41</v>
          </cell>
          <cell r="C26">
            <v>59</v>
          </cell>
        </row>
      </sheetData>
      <sheetData sheetId="1">
        <row r="17">
          <cell r="B17">
            <v>41821</v>
          </cell>
          <cell r="C17">
            <v>42186</v>
          </cell>
        </row>
        <row r="18">
          <cell r="A18" t="str">
            <v>[75;85 [</v>
          </cell>
          <cell r="B18">
            <v>3</v>
          </cell>
          <cell r="C18">
            <v>18</v>
          </cell>
        </row>
        <row r="19">
          <cell r="A19" t="str">
            <v>[85;90 [</v>
          </cell>
          <cell r="B19">
            <v>44</v>
          </cell>
          <cell r="C19">
            <v>45</v>
          </cell>
        </row>
        <row r="20">
          <cell r="A20" t="str">
            <v>[90;95 [</v>
          </cell>
          <cell r="B20">
            <v>52</v>
          </cell>
          <cell r="C20">
            <v>38</v>
          </cell>
        </row>
        <row r="21">
          <cell r="A21" t="str">
            <v>[95;100]</v>
          </cell>
          <cell r="B21">
            <v>4</v>
          </cell>
          <cell r="C21">
            <v>2</v>
          </cell>
        </row>
        <row r="26">
          <cell r="B26">
            <v>41821</v>
          </cell>
          <cell r="C26">
            <v>42186</v>
          </cell>
        </row>
        <row r="27">
          <cell r="A27" t="str">
            <v>&lt;75</v>
          </cell>
          <cell r="B27">
            <v>2</v>
          </cell>
          <cell r="C27">
            <v>5</v>
          </cell>
        </row>
        <row r="28">
          <cell r="A28" t="str">
            <v>[75;85 [</v>
          </cell>
          <cell r="B28">
            <v>2</v>
          </cell>
          <cell r="C28">
            <v>23</v>
          </cell>
        </row>
        <row r="29">
          <cell r="A29" t="str">
            <v>[85;90 [</v>
          </cell>
          <cell r="B29">
            <v>6</v>
          </cell>
          <cell r="C29">
            <v>27</v>
          </cell>
        </row>
        <row r="30">
          <cell r="A30" t="str">
            <v>[90;95 [</v>
          </cell>
          <cell r="B30">
            <v>45</v>
          </cell>
          <cell r="C30">
            <v>39</v>
          </cell>
        </row>
        <row r="31">
          <cell r="A31" t="str">
            <v>[95;100]</v>
          </cell>
          <cell r="B31">
            <v>48</v>
          </cell>
          <cell r="C31">
            <v>9</v>
          </cell>
        </row>
        <row r="37">
          <cell r="B37">
            <v>41821</v>
          </cell>
          <cell r="C37">
            <v>42186</v>
          </cell>
        </row>
        <row r="38">
          <cell r="A38" t="str">
            <v>&lt;75</v>
          </cell>
          <cell r="B38">
            <v>6</v>
          </cell>
          <cell r="C38">
            <v>2</v>
          </cell>
        </row>
        <row r="39">
          <cell r="A39" t="str">
            <v>[75;85 [</v>
          </cell>
          <cell r="B39">
            <v>3</v>
          </cell>
          <cell r="C39">
            <v>10</v>
          </cell>
        </row>
        <row r="40">
          <cell r="A40" t="str">
            <v>[85;90 [</v>
          </cell>
          <cell r="B40">
            <v>6</v>
          </cell>
          <cell r="C40">
            <v>6</v>
          </cell>
        </row>
        <row r="41">
          <cell r="A41" t="str">
            <v>[90;95 [</v>
          </cell>
          <cell r="B41">
            <v>11</v>
          </cell>
          <cell r="C41">
            <v>13</v>
          </cell>
        </row>
        <row r="42">
          <cell r="A42" t="str">
            <v>[95;100]</v>
          </cell>
          <cell r="B42">
            <v>77</v>
          </cell>
          <cell r="C42">
            <v>72</v>
          </cell>
        </row>
        <row r="47">
          <cell r="B47">
            <v>41821</v>
          </cell>
          <cell r="C47">
            <v>42186</v>
          </cell>
        </row>
        <row r="48">
          <cell r="A48" t="str">
            <v>&lt;75</v>
          </cell>
          <cell r="C48">
            <v>1</v>
          </cell>
        </row>
        <row r="49">
          <cell r="A49" t="str">
            <v>[75;85 [</v>
          </cell>
          <cell r="C49">
            <v>1</v>
          </cell>
        </row>
        <row r="50">
          <cell r="A50" t="str">
            <v>[85;90 [</v>
          </cell>
          <cell r="B50">
            <v>5</v>
          </cell>
          <cell r="C50">
            <v>8</v>
          </cell>
        </row>
        <row r="51">
          <cell r="A51" t="str">
            <v>[90;95 [</v>
          </cell>
          <cell r="B51">
            <v>11</v>
          </cell>
          <cell r="C51">
            <v>13</v>
          </cell>
        </row>
        <row r="52">
          <cell r="A52" t="str">
            <v>[95;100]</v>
          </cell>
          <cell r="B52">
            <v>87</v>
          </cell>
          <cell r="C52">
            <v>80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F61B5-C5C3-4C1E-94B6-A960A523C26A}">
  <dimension ref="D4:AW5576"/>
  <sheetViews>
    <sheetView topLeftCell="AA52" zoomScaleNormal="100" workbookViewId="0">
      <selection activeCell="AX35" sqref="AX35"/>
    </sheetView>
  </sheetViews>
  <sheetFormatPr baseColWidth="10" defaultRowHeight="15" x14ac:dyDescent="0.25"/>
  <cols>
    <col min="32" max="32" width="15.5703125" bestFit="1" customWidth="1"/>
  </cols>
  <sheetData>
    <row r="4" spans="4:49" x14ac:dyDescent="0.25">
      <c r="AF4" t="s">
        <v>180</v>
      </c>
      <c r="AG4" s="7">
        <v>0.85</v>
      </c>
      <c r="AH4">
        <f>AG4</f>
        <v>0.85</v>
      </c>
      <c r="AI4">
        <f t="shared" ref="AI4:AS4" si="0">AH4</f>
        <v>0.85</v>
      </c>
      <c r="AJ4">
        <f t="shared" si="0"/>
        <v>0.85</v>
      </c>
      <c r="AK4">
        <f t="shared" si="0"/>
        <v>0.85</v>
      </c>
      <c r="AL4">
        <f t="shared" si="0"/>
        <v>0.85</v>
      </c>
      <c r="AM4">
        <f t="shared" si="0"/>
        <v>0.85</v>
      </c>
      <c r="AN4">
        <f t="shared" si="0"/>
        <v>0.85</v>
      </c>
      <c r="AO4">
        <f t="shared" si="0"/>
        <v>0.85</v>
      </c>
      <c r="AP4">
        <f t="shared" si="0"/>
        <v>0.85</v>
      </c>
      <c r="AQ4">
        <f t="shared" si="0"/>
        <v>0.85</v>
      </c>
      <c r="AR4">
        <f t="shared" si="0"/>
        <v>0.85</v>
      </c>
      <c r="AS4">
        <f t="shared" si="0"/>
        <v>0.85</v>
      </c>
    </row>
    <row r="5" spans="4:49" x14ac:dyDescent="0.25">
      <c r="X5">
        <v>1000000</v>
      </c>
      <c r="AF5" t="s">
        <v>181</v>
      </c>
      <c r="AG5" s="7">
        <v>0.9</v>
      </c>
      <c r="AH5">
        <f t="shared" ref="AH5:AS8" si="1">AG5</f>
        <v>0.9</v>
      </c>
      <c r="AI5">
        <f t="shared" si="1"/>
        <v>0.9</v>
      </c>
      <c r="AJ5">
        <f t="shared" si="1"/>
        <v>0.9</v>
      </c>
      <c r="AK5">
        <f t="shared" si="1"/>
        <v>0.9</v>
      </c>
      <c r="AL5">
        <f t="shared" si="1"/>
        <v>0.9</v>
      </c>
      <c r="AM5">
        <f t="shared" si="1"/>
        <v>0.9</v>
      </c>
      <c r="AN5">
        <f t="shared" si="1"/>
        <v>0.9</v>
      </c>
      <c r="AO5">
        <f t="shared" si="1"/>
        <v>0.9</v>
      </c>
      <c r="AP5">
        <f t="shared" si="1"/>
        <v>0.9</v>
      </c>
      <c r="AQ5">
        <f t="shared" si="1"/>
        <v>0.9</v>
      </c>
      <c r="AR5">
        <f t="shared" si="1"/>
        <v>0.9</v>
      </c>
      <c r="AS5">
        <f t="shared" si="1"/>
        <v>0.9</v>
      </c>
    </row>
    <row r="6" spans="4:49" x14ac:dyDescent="0.25">
      <c r="X6" t="str">
        <f>IF(X5=1000,"milliers","millions")</f>
        <v>millions</v>
      </c>
      <c r="AF6" t="s">
        <v>182</v>
      </c>
      <c r="AG6" s="7">
        <v>0.9</v>
      </c>
      <c r="AH6">
        <f t="shared" si="1"/>
        <v>0.9</v>
      </c>
      <c r="AI6">
        <f t="shared" si="1"/>
        <v>0.9</v>
      </c>
      <c r="AJ6">
        <f t="shared" si="1"/>
        <v>0.9</v>
      </c>
      <c r="AK6">
        <f t="shared" si="1"/>
        <v>0.9</v>
      </c>
      <c r="AL6">
        <f t="shared" si="1"/>
        <v>0.9</v>
      </c>
      <c r="AM6">
        <f t="shared" si="1"/>
        <v>0.9</v>
      </c>
      <c r="AN6">
        <f t="shared" si="1"/>
        <v>0.9</v>
      </c>
      <c r="AO6">
        <f t="shared" si="1"/>
        <v>0.9</v>
      </c>
      <c r="AP6">
        <f t="shared" si="1"/>
        <v>0.9</v>
      </c>
      <c r="AQ6">
        <f t="shared" si="1"/>
        <v>0.9</v>
      </c>
      <c r="AR6">
        <f t="shared" si="1"/>
        <v>0.9</v>
      </c>
      <c r="AS6">
        <f t="shared" si="1"/>
        <v>0.9</v>
      </c>
    </row>
    <row r="7" spans="4:49" x14ac:dyDescent="0.25">
      <c r="AF7" t="s">
        <v>183</v>
      </c>
      <c r="AG7" s="7">
        <v>0.9</v>
      </c>
      <c r="AH7">
        <f t="shared" si="1"/>
        <v>0.9</v>
      </c>
      <c r="AI7">
        <f t="shared" si="1"/>
        <v>0.9</v>
      </c>
      <c r="AJ7">
        <f t="shared" si="1"/>
        <v>0.9</v>
      </c>
      <c r="AK7">
        <f t="shared" si="1"/>
        <v>0.9</v>
      </c>
      <c r="AL7">
        <f t="shared" si="1"/>
        <v>0.9</v>
      </c>
      <c r="AM7">
        <f t="shared" si="1"/>
        <v>0.9</v>
      </c>
      <c r="AN7">
        <f t="shared" si="1"/>
        <v>0.9</v>
      </c>
      <c r="AO7">
        <f t="shared" si="1"/>
        <v>0.9</v>
      </c>
      <c r="AP7">
        <f t="shared" si="1"/>
        <v>0.9</v>
      </c>
      <c r="AQ7">
        <f t="shared" si="1"/>
        <v>0.9</v>
      </c>
      <c r="AR7">
        <f t="shared" si="1"/>
        <v>0.9</v>
      </c>
      <c r="AS7">
        <f t="shared" si="1"/>
        <v>0.9</v>
      </c>
    </row>
    <row r="8" spans="4:49" x14ac:dyDescent="0.25">
      <c r="AF8" t="s">
        <v>184</v>
      </c>
      <c r="AG8" s="7">
        <v>0.85</v>
      </c>
      <c r="AH8">
        <f t="shared" si="1"/>
        <v>0.85</v>
      </c>
      <c r="AI8">
        <f t="shared" si="1"/>
        <v>0.85</v>
      </c>
      <c r="AJ8">
        <f t="shared" si="1"/>
        <v>0.85</v>
      </c>
      <c r="AK8">
        <f t="shared" si="1"/>
        <v>0.85</v>
      </c>
      <c r="AL8">
        <f t="shared" si="1"/>
        <v>0.85</v>
      </c>
      <c r="AM8">
        <f t="shared" si="1"/>
        <v>0.85</v>
      </c>
      <c r="AN8">
        <f t="shared" si="1"/>
        <v>0.85</v>
      </c>
      <c r="AO8">
        <f t="shared" si="1"/>
        <v>0.85</v>
      </c>
      <c r="AP8">
        <f t="shared" si="1"/>
        <v>0.85</v>
      </c>
      <c r="AQ8">
        <f t="shared" si="1"/>
        <v>0.85</v>
      </c>
      <c r="AR8">
        <f t="shared" si="1"/>
        <v>0.85</v>
      </c>
      <c r="AS8">
        <f t="shared" si="1"/>
        <v>0.85</v>
      </c>
    </row>
    <row r="10" spans="4:49" x14ac:dyDescent="0.25">
      <c r="AG10" t="s">
        <v>157</v>
      </c>
      <c r="AH10" t="s">
        <v>158</v>
      </c>
      <c r="AI10" t="s">
        <v>159</v>
      </c>
      <c r="AJ10" t="s">
        <v>160</v>
      </c>
      <c r="AK10" t="s">
        <v>161</v>
      </c>
      <c r="AL10" t="s">
        <v>162</v>
      </c>
      <c r="AM10" t="s">
        <v>163</v>
      </c>
      <c r="AN10" t="s">
        <v>164</v>
      </c>
      <c r="AO10" t="s">
        <v>165</v>
      </c>
      <c r="AP10" t="s">
        <v>166</v>
      </c>
      <c r="AQ10" t="s">
        <v>167</v>
      </c>
      <c r="AR10" t="s">
        <v>168</v>
      </c>
      <c r="AS10" t="s">
        <v>169</v>
      </c>
      <c r="AV10">
        <v>1</v>
      </c>
      <c r="AW10" t="s">
        <v>172</v>
      </c>
    </row>
    <row r="11" spans="4:49" x14ac:dyDescent="0.25">
      <c r="AV11">
        <v>2</v>
      </c>
      <c r="AW11" t="s">
        <v>246</v>
      </c>
    </row>
    <row r="12" spans="4:49" x14ac:dyDescent="0.25">
      <c r="AV12">
        <v>3</v>
      </c>
      <c r="AW12" t="s">
        <v>159</v>
      </c>
    </row>
    <row r="13" spans="4:49" x14ac:dyDescent="0.25">
      <c r="AD13" s="1" t="s">
        <v>139</v>
      </c>
      <c r="AE13" s="1" t="s">
        <v>140</v>
      </c>
      <c r="AF13" s="1" t="s">
        <v>141</v>
      </c>
      <c r="AG13" s="1" t="s">
        <v>142</v>
      </c>
      <c r="AH13" s="1" t="s">
        <v>143</v>
      </c>
      <c r="AI13" s="1" t="s">
        <v>144</v>
      </c>
      <c r="AJ13" s="1" t="s">
        <v>145</v>
      </c>
      <c r="AK13" s="1" t="s">
        <v>146</v>
      </c>
      <c r="AL13" s="1" t="s">
        <v>147</v>
      </c>
      <c r="AM13" s="1" t="s">
        <v>148</v>
      </c>
      <c r="AN13" s="1" t="s">
        <v>149</v>
      </c>
      <c r="AO13" s="1" t="s">
        <v>150</v>
      </c>
      <c r="AP13" s="1" t="s">
        <v>151</v>
      </c>
      <c r="AQ13" s="1" t="s">
        <v>152</v>
      </c>
      <c r="AR13" s="1" t="s">
        <v>153</v>
      </c>
      <c r="AS13" s="1" t="s">
        <v>154</v>
      </c>
      <c r="AV13">
        <v>4</v>
      </c>
      <c r="AW13" t="s">
        <v>174</v>
      </c>
    </row>
    <row r="14" spans="4:49" x14ac:dyDescent="0.25">
      <c r="D14" t="s">
        <v>0</v>
      </c>
      <c r="E14" t="s">
        <v>1</v>
      </c>
      <c r="F14" t="s">
        <v>2</v>
      </c>
      <c r="G14" t="s">
        <v>3</v>
      </c>
      <c r="H14" t="s">
        <v>4</v>
      </c>
      <c r="I14" t="s">
        <v>5</v>
      </c>
      <c r="J14" t="s">
        <v>6</v>
      </c>
      <c r="K14" t="s">
        <v>7</v>
      </c>
      <c r="L14" t="s">
        <v>8</v>
      </c>
      <c r="M14" t="s">
        <v>9</v>
      </c>
      <c r="N14" t="s">
        <v>10</v>
      </c>
      <c r="O14" t="s">
        <v>11</v>
      </c>
      <c r="P14" t="s">
        <v>12</v>
      </c>
      <c r="Q14" t="s">
        <v>13</v>
      </c>
      <c r="R14" t="s">
        <v>14</v>
      </c>
      <c r="S14" t="s">
        <v>15</v>
      </c>
      <c r="W14" t="s">
        <v>138</v>
      </c>
      <c r="X14" t="s">
        <v>137</v>
      </c>
      <c r="Y14" t="s">
        <v>155</v>
      </c>
      <c r="Z14" t="s">
        <v>156</v>
      </c>
      <c r="AD14" t="s">
        <v>0</v>
      </c>
      <c r="AE14" t="s">
        <v>1</v>
      </c>
      <c r="AF14" t="s">
        <v>2</v>
      </c>
      <c r="AG14" t="s">
        <v>3</v>
      </c>
      <c r="AH14" t="s">
        <v>4</v>
      </c>
      <c r="AI14" t="s">
        <v>5</v>
      </c>
      <c r="AJ14" t="s">
        <v>6</v>
      </c>
      <c r="AK14" t="s">
        <v>7</v>
      </c>
      <c r="AL14" t="s">
        <v>8</v>
      </c>
      <c r="AM14" t="s">
        <v>9</v>
      </c>
      <c r="AN14" t="s">
        <v>10</v>
      </c>
      <c r="AO14" t="s">
        <v>11</v>
      </c>
      <c r="AP14" t="s">
        <v>12</v>
      </c>
      <c r="AQ14" t="s">
        <v>13</v>
      </c>
      <c r="AR14" t="s">
        <v>14</v>
      </c>
      <c r="AS14" t="s">
        <v>15</v>
      </c>
      <c r="AV14">
        <v>5</v>
      </c>
      <c r="AW14" t="s">
        <v>161</v>
      </c>
    </row>
    <row r="15" spans="4:49" x14ac:dyDescent="0.25">
      <c r="D15" t="s">
        <v>16</v>
      </c>
      <c r="E15">
        <v>2013</v>
      </c>
      <c r="F15" t="s">
        <v>17</v>
      </c>
      <c r="S15">
        <v>0.86826408862272975</v>
      </c>
      <c r="W15">
        <v>1</v>
      </c>
      <c r="X15" t="s">
        <v>16</v>
      </c>
      <c r="Y15" s="2">
        <v>15</v>
      </c>
      <c r="Z15" s="2">
        <v>68</v>
      </c>
      <c r="AC15" s="3">
        <f>VLOOKUP(tdb1_ems!C1,'Base de donnée'!W15:Z117,3)</f>
        <v>69</v>
      </c>
      <c r="AD15" t="str" cm="1">
        <f t="array" aca="1" ref="AD15" ca="1">IF(INDIRECT(AD$13&amp;$AC15)=0,NA(),INDIRECT(AD$13&amp;$AC15))</f>
        <v>01a</v>
      </c>
      <c r="AE15" cm="1">
        <f t="array" aca="1" ref="AE15" ca="1">IF(INDIRECT(AE$13&amp;$AC15)=0,NA(),INDIRECT(AE$13&amp;$AC15))</f>
        <v>2013</v>
      </c>
      <c r="AF15" t="str" cm="1">
        <f t="array" aca="1" ref="AF15" ca="1">IF(INDIRECT(AF$13&amp;$AC15)=0,NA(),INDIRECT(AF$13&amp;$AC15))</f>
        <v>VIS20_cc</v>
      </c>
      <c r="AG15" t="e" cm="1">
        <f t="array" aca="1" ref="AG15" ca="1">IF(INDIRECT(AG$13&amp;$AC15)=0,NA(),INDIRECT(AG$13&amp;$AC15))</f>
        <v>#N/A</v>
      </c>
      <c r="AH15" t="e" cm="1">
        <f t="array" aca="1" ref="AH15" ca="1">IF(INDIRECT(AH$13&amp;$AC15)=0,NA(),INDIRECT(AH$13&amp;$AC15))</f>
        <v>#N/A</v>
      </c>
      <c r="AI15" t="e" cm="1">
        <f t="array" aca="1" ref="AI15" ca="1">IF(INDIRECT(AI$13&amp;$AC15)=0,NA(),INDIRECT(AI$13&amp;$AC15))</f>
        <v>#N/A</v>
      </c>
      <c r="AJ15" t="e" cm="1">
        <f t="array" aca="1" ref="AJ15" ca="1">IF(INDIRECT(AJ$13&amp;$AC15)=0,NA(),INDIRECT(AJ$13&amp;$AC15))</f>
        <v>#N/A</v>
      </c>
      <c r="AK15" t="e" cm="1">
        <f t="array" aca="1" ref="AK15" ca="1">IF(INDIRECT(AK$13&amp;$AC15)=0,NA(),INDIRECT(AK$13&amp;$AC15))</f>
        <v>#N/A</v>
      </c>
      <c r="AL15" t="e" cm="1">
        <f t="array" aca="1" ref="AL15" ca="1">IF(INDIRECT(AL$13&amp;$AC15)=0,NA(),INDIRECT(AL$13&amp;$AC15))</f>
        <v>#N/A</v>
      </c>
      <c r="AM15" t="e" cm="1">
        <f t="array" aca="1" ref="AM15" ca="1">IF(INDIRECT(AM$13&amp;$AC15)=0,NA(),INDIRECT(AM$13&amp;$AC15))</f>
        <v>#N/A</v>
      </c>
      <c r="AN15" t="e" cm="1">
        <f t="array" aca="1" ref="AN15" ca="1">IF(INDIRECT(AN$13&amp;$AC15)=0,NA(),INDIRECT(AN$13&amp;$AC15))</f>
        <v>#N/A</v>
      </c>
      <c r="AO15" t="e" cm="1">
        <f t="array" aca="1" ref="AO15" ca="1">IF(INDIRECT(AO$13&amp;$AC15)=0,NA(),INDIRECT(AO$13&amp;$AC15))</f>
        <v>#N/A</v>
      </c>
      <c r="AP15" t="e" cm="1">
        <f t="array" aca="1" ref="AP15" ca="1">IF(INDIRECT(AP$13&amp;$AC15)=0,NA(),INDIRECT(AP$13&amp;$AC15))</f>
        <v>#N/A</v>
      </c>
      <c r="AQ15" t="e" cm="1">
        <f t="array" aca="1" ref="AQ15" ca="1">IF(INDIRECT(AQ$13&amp;$AC15)=0,NA(),INDIRECT(AQ$13&amp;$AC15))</f>
        <v>#N/A</v>
      </c>
      <c r="AR15" t="e" cm="1">
        <f t="array" aca="1" ref="AR15" ca="1">IF(INDIRECT(AR$13&amp;$AC15)=0,NA(),INDIRECT(AR$13&amp;$AC15))</f>
        <v>#N/A</v>
      </c>
      <c r="AS15" cm="1">
        <f t="array" aca="1" ref="AS15" ca="1">IF(INDIRECT(AS$13&amp;$AC15)=0,NA(),INDIRECT(AS$13&amp;$AC15))</f>
        <v>0.83363363363363363</v>
      </c>
      <c r="AV15">
        <v>6</v>
      </c>
      <c r="AW15" t="s">
        <v>162</v>
      </c>
    </row>
    <row r="16" spans="4:49" x14ac:dyDescent="0.25">
      <c r="D16" t="s">
        <v>16</v>
      </c>
      <c r="E16">
        <v>2014</v>
      </c>
      <c r="F16" t="s">
        <v>17</v>
      </c>
      <c r="S16">
        <v>0.88626276311503016</v>
      </c>
      <c r="W16">
        <v>2</v>
      </c>
      <c r="X16" t="s">
        <v>35</v>
      </c>
      <c r="Y16">
        <f>Z15+1</f>
        <v>69</v>
      </c>
      <c r="Z16">
        <f>Y16+(Z15-Y15)</f>
        <v>122</v>
      </c>
      <c r="AC16" s="3">
        <f>AC15+1</f>
        <v>70</v>
      </c>
      <c r="AD16" t="str" cm="1">
        <f t="array" aca="1" ref="AD16" ca="1">IF(INDIRECT(AD$13&amp;$AC16)=0,NA(),INDIRECT(AD$13&amp;$AC16))</f>
        <v>01a</v>
      </c>
      <c r="AE16" cm="1">
        <f t="array" aca="1" ref="AE16" ca="1">IF(INDIRECT(AE$13&amp;$AC16)=0,NA(),INDIRECT(AE$13&amp;$AC16))</f>
        <v>2014</v>
      </c>
      <c r="AF16" t="str" cm="1">
        <f t="array" aca="1" ref="AF16" ca="1">IF(INDIRECT(AF$13&amp;$AC16)=0,NA(),INDIRECT(AF$13&amp;$AC16))</f>
        <v>VIS20_cc</v>
      </c>
      <c r="AG16" t="e" cm="1">
        <f t="array" aca="1" ref="AG16" ca="1">IF(INDIRECT(AG$13&amp;$AC16)=0,NA(),INDIRECT(AG$13&amp;$AC16))</f>
        <v>#N/A</v>
      </c>
      <c r="AH16" t="e" cm="1">
        <f t="array" aca="1" ref="AH16" ca="1">IF(INDIRECT(AH$13&amp;$AC16)=0,NA(),INDIRECT(AH$13&amp;$AC16))</f>
        <v>#N/A</v>
      </c>
      <c r="AI16" t="e" cm="1">
        <f t="array" aca="1" ref="AI16" ca="1">IF(INDIRECT(AI$13&amp;$AC16)=0,NA(),INDIRECT(AI$13&amp;$AC16))</f>
        <v>#N/A</v>
      </c>
      <c r="AJ16" t="e" cm="1">
        <f t="array" aca="1" ref="AJ16" ca="1">IF(INDIRECT(AJ$13&amp;$AC16)=0,NA(),INDIRECT(AJ$13&amp;$AC16))</f>
        <v>#N/A</v>
      </c>
      <c r="AK16" t="e" cm="1">
        <f t="array" aca="1" ref="AK16" ca="1">IF(INDIRECT(AK$13&amp;$AC16)=0,NA(),INDIRECT(AK$13&amp;$AC16))</f>
        <v>#N/A</v>
      </c>
      <c r="AL16" t="e" cm="1">
        <f t="array" aca="1" ref="AL16" ca="1">IF(INDIRECT(AL$13&amp;$AC16)=0,NA(),INDIRECT(AL$13&amp;$AC16))</f>
        <v>#N/A</v>
      </c>
      <c r="AM16" t="e" cm="1">
        <f t="array" aca="1" ref="AM16" ca="1">IF(INDIRECT(AM$13&amp;$AC16)=0,NA(),INDIRECT(AM$13&amp;$AC16))</f>
        <v>#N/A</v>
      </c>
      <c r="AN16" t="e" cm="1">
        <f t="array" aca="1" ref="AN16" ca="1">IF(INDIRECT(AN$13&amp;$AC16)=0,NA(),INDIRECT(AN$13&amp;$AC16))</f>
        <v>#N/A</v>
      </c>
      <c r="AO16" t="e" cm="1">
        <f t="array" aca="1" ref="AO16" ca="1">IF(INDIRECT(AO$13&amp;$AC16)=0,NA(),INDIRECT(AO$13&amp;$AC16))</f>
        <v>#N/A</v>
      </c>
      <c r="AP16" t="e" cm="1">
        <f t="array" aca="1" ref="AP16" ca="1">IF(INDIRECT(AP$13&amp;$AC16)=0,NA(),INDIRECT(AP$13&amp;$AC16))</f>
        <v>#N/A</v>
      </c>
      <c r="AQ16" t="e" cm="1">
        <f t="array" aca="1" ref="AQ16" ca="1">IF(INDIRECT(AQ$13&amp;$AC16)=0,NA(),INDIRECT(AQ$13&amp;$AC16))</f>
        <v>#N/A</v>
      </c>
      <c r="AR16" t="e" cm="1">
        <f t="array" aca="1" ref="AR16" ca="1">IF(INDIRECT(AR$13&amp;$AC16)=0,NA(),INDIRECT(AR$13&amp;$AC16))</f>
        <v>#N/A</v>
      </c>
      <c r="AS16" cm="1">
        <f t="array" aca="1" ref="AS16" ca="1">IF(INDIRECT(AS$13&amp;$AC16)=0,NA(),INDIRECT(AS$13&amp;$AC16))</f>
        <v>0.81313633565373866</v>
      </c>
      <c r="AV16">
        <v>7</v>
      </c>
      <c r="AW16" t="s">
        <v>175</v>
      </c>
    </row>
    <row r="17" spans="4:49" x14ac:dyDescent="0.25">
      <c r="D17" t="s">
        <v>16</v>
      </c>
      <c r="E17">
        <v>2015</v>
      </c>
      <c r="F17" t="s">
        <v>17</v>
      </c>
      <c r="S17">
        <v>0.91326401770898002</v>
      </c>
      <c r="W17">
        <v>3</v>
      </c>
      <c r="X17" t="s">
        <v>36</v>
      </c>
      <c r="Y17">
        <f t="shared" ref="Y17:Y80" si="2">Z16+1</f>
        <v>123</v>
      </c>
      <c r="Z17">
        <f t="shared" ref="Z17:Z80" si="3">Y17+(Z16-Y16)</f>
        <v>176</v>
      </c>
      <c r="AC17" s="3">
        <f t="shared" ref="AC17:AC68" si="4">AC16+1</f>
        <v>71</v>
      </c>
      <c r="AD17" t="str" cm="1">
        <f t="array" aca="1" ref="AD17" ca="1">IF(INDIRECT(AD$13&amp;$AC17)=0,NA(),INDIRECT(AD$13&amp;$AC17))</f>
        <v>01a</v>
      </c>
      <c r="AE17" cm="1">
        <f t="array" aca="1" ref="AE17" ca="1">IF(INDIRECT(AE$13&amp;$AC17)=0,NA(),INDIRECT(AE$13&amp;$AC17))</f>
        <v>2015</v>
      </c>
      <c r="AF17" t="str" cm="1">
        <f t="array" aca="1" ref="AF17" ca="1">IF(INDIRECT(AF$13&amp;$AC17)=0,NA(),INDIRECT(AF$13&amp;$AC17))</f>
        <v>VIS20_cc</v>
      </c>
      <c r="AG17" t="e" cm="1">
        <f t="array" aca="1" ref="AG17" ca="1">IF(INDIRECT(AG$13&amp;$AC17)=0,NA(),INDIRECT(AG$13&amp;$AC17))</f>
        <v>#N/A</v>
      </c>
      <c r="AH17" t="e" cm="1">
        <f t="array" aca="1" ref="AH17" ca="1">IF(INDIRECT(AH$13&amp;$AC17)=0,NA(),INDIRECT(AH$13&amp;$AC17))</f>
        <v>#N/A</v>
      </c>
      <c r="AI17" t="e" cm="1">
        <f t="array" aca="1" ref="AI17" ca="1">IF(INDIRECT(AI$13&amp;$AC17)=0,NA(),INDIRECT(AI$13&amp;$AC17))</f>
        <v>#N/A</v>
      </c>
      <c r="AJ17" t="e" cm="1">
        <f t="array" aca="1" ref="AJ17" ca="1">IF(INDIRECT(AJ$13&amp;$AC17)=0,NA(),INDIRECT(AJ$13&amp;$AC17))</f>
        <v>#N/A</v>
      </c>
      <c r="AK17" t="e" cm="1">
        <f t="array" aca="1" ref="AK17" ca="1">IF(INDIRECT(AK$13&amp;$AC17)=0,NA(),INDIRECT(AK$13&amp;$AC17))</f>
        <v>#N/A</v>
      </c>
      <c r="AL17" t="e" cm="1">
        <f t="array" aca="1" ref="AL17" ca="1">IF(INDIRECT(AL$13&amp;$AC17)=0,NA(),INDIRECT(AL$13&amp;$AC17))</f>
        <v>#N/A</v>
      </c>
      <c r="AM17" t="e" cm="1">
        <f t="array" aca="1" ref="AM17" ca="1">IF(INDIRECT(AM$13&amp;$AC17)=0,NA(),INDIRECT(AM$13&amp;$AC17))</f>
        <v>#N/A</v>
      </c>
      <c r="AN17" t="e" cm="1">
        <f t="array" aca="1" ref="AN17" ca="1">IF(INDIRECT(AN$13&amp;$AC17)=0,NA(),INDIRECT(AN$13&amp;$AC17))</f>
        <v>#N/A</v>
      </c>
      <c r="AO17" t="e" cm="1">
        <f t="array" aca="1" ref="AO17" ca="1">IF(INDIRECT(AO$13&amp;$AC17)=0,NA(),INDIRECT(AO$13&amp;$AC17))</f>
        <v>#N/A</v>
      </c>
      <c r="AP17" t="e" cm="1">
        <f t="array" aca="1" ref="AP17" ca="1">IF(INDIRECT(AP$13&amp;$AC17)=0,NA(),INDIRECT(AP$13&amp;$AC17))</f>
        <v>#N/A</v>
      </c>
      <c r="AQ17" t="e" cm="1">
        <f t="array" aca="1" ref="AQ17" ca="1">IF(INDIRECT(AQ$13&amp;$AC17)=0,NA(),INDIRECT(AQ$13&amp;$AC17))</f>
        <v>#N/A</v>
      </c>
      <c r="AR17" t="e" cm="1">
        <f t="array" aca="1" ref="AR17" ca="1">IF(INDIRECT(AR$13&amp;$AC17)=0,NA(),INDIRECT(AR$13&amp;$AC17))</f>
        <v>#N/A</v>
      </c>
      <c r="AS17" cm="1">
        <f t="array" aca="1" ref="AS17" ca="1">IF(INDIRECT(AS$13&amp;$AC17)=0,NA(),INDIRECT(AS$13&amp;$AC17))</f>
        <v>0.99590293098014493</v>
      </c>
      <c r="AV17">
        <v>8</v>
      </c>
      <c r="AW17" t="s">
        <v>164</v>
      </c>
    </row>
    <row r="18" spans="4:49" x14ac:dyDescent="0.25">
      <c r="D18" t="s">
        <v>16</v>
      </c>
      <c r="E18">
        <v>2013</v>
      </c>
      <c r="F18" t="s">
        <v>18</v>
      </c>
      <c r="G18">
        <v>0.8387085267907568</v>
      </c>
      <c r="H18">
        <v>0.83457651293893909</v>
      </c>
      <c r="I18">
        <v>0.86192914789951736</v>
      </c>
      <c r="J18">
        <v>0.87448043659986407</v>
      </c>
      <c r="K18">
        <v>0.86620474025569349</v>
      </c>
      <c r="L18">
        <v>0.90259832126649697</v>
      </c>
      <c r="M18">
        <v>0.91205997185991483</v>
      </c>
      <c r="N18">
        <v>0.90539301204653122</v>
      </c>
      <c r="O18">
        <v>0.88406400916091665</v>
      </c>
      <c r="P18">
        <v>0.89550736377831786</v>
      </c>
      <c r="Q18">
        <v>0.87003179679151388</v>
      </c>
      <c r="R18">
        <v>0.87931004901686538</v>
      </c>
      <c r="U18">
        <v>1</v>
      </c>
      <c r="V18" t="s">
        <v>172</v>
      </c>
      <c r="W18">
        <v>4</v>
      </c>
      <c r="X18" t="s">
        <v>37</v>
      </c>
      <c r="Y18">
        <f t="shared" si="2"/>
        <v>177</v>
      </c>
      <c r="Z18">
        <f t="shared" si="3"/>
        <v>230</v>
      </c>
      <c r="AC18" s="3">
        <f t="shared" si="4"/>
        <v>72</v>
      </c>
      <c r="AD18" t="str" cm="1">
        <f t="array" aca="1" ref="AD18" ca="1">IF(INDIRECT(AD$13&amp;$AC18)=0,NA(),INDIRECT(AD$13&amp;$AC18))</f>
        <v>01a</v>
      </c>
      <c r="AE18" cm="1">
        <f t="array" aca="1" ref="AE18" ca="1">IF(INDIRECT(AE$13&amp;$AC18)=0,NA(),INDIRECT(AE$13&amp;$AC18))</f>
        <v>2013</v>
      </c>
      <c r="AF18" t="str" cm="1">
        <f t="array" aca="1" ref="AF18" ca="1">IF(INDIRECT(AF$13&amp;$AC18)=0,NA(),INDIRECT(AF$13&amp;$AC18))</f>
        <v>VIS20_mm</v>
      </c>
      <c r="AG18" cm="1">
        <f t="array" aca="1" ref="AG18" ca="1">IF(INDIRECT(AG$13&amp;$AC18)=0,NA(),INDIRECT(AG$13&amp;$AC18))</f>
        <v>0.76309399930627819</v>
      </c>
      <c r="AH18" cm="1">
        <f t="array" aca="1" ref="AH18" ca="1">IF(INDIRECT(AH$13&amp;$AC18)=0,NA(),INDIRECT(AH$13&amp;$AC18))</f>
        <v>0.82007056056448446</v>
      </c>
      <c r="AI18" cm="1">
        <f t="array" aca="1" ref="AI18" ca="1">IF(INDIRECT(AI$13&amp;$AC18)=0,NA(),INDIRECT(AI$13&amp;$AC18))</f>
        <v>0.82967255086915515</v>
      </c>
      <c r="AJ18" cm="1">
        <f t="array" aca="1" ref="AJ18" ca="1">IF(INDIRECT(AJ$13&amp;$AC18)=0,NA(),INDIRECT(AJ$13&amp;$AC18))</f>
        <v>0.82321941871606519</v>
      </c>
      <c r="AK18" cm="1">
        <f t="array" aca="1" ref="AK18" ca="1">IF(INDIRECT(AK$13&amp;$AC18)=0,NA(),INDIRECT(AK$13&amp;$AC18))</f>
        <v>0.82439900525006904</v>
      </c>
      <c r="AL18" cm="1">
        <f t="array" aca="1" ref="AL18" ca="1">IF(INDIRECT(AL$13&amp;$AC18)=0,NA(),INDIRECT(AL$13&amp;$AC18))</f>
        <v>0.89501976284584983</v>
      </c>
      <c r="AM18" cm="1">
        <f t="array" aca="1" ref="AM18" ca="1">IF(INDIRECT(AM$13&amp;$AC18)=0,NA(),INDIRECT(AM$13&amp;$AC18))</f>
        <v>0.90971571383942518</v>
      </c>
      <c r="AN18" s="5" cm="1">
        <f t="array" aca="1" ref="AN18" ca="1">IF(INDIRECT(AN$13&amp;$AC18)=0,NA(),INDIRECT(AN$13&amp;$AC18))</f>
        <v>0.90856286303166578</v>
      </c>
      <c r="AO18" s="5" cm="1">
        <f t="array" aca="1" ref="AO18" ca="1">IF(INDIRECT(AO$13&amp;$AC18)=0,NA(),INDIRECT(AO$13&amp;$AC18))</f>
        <v>0.80214033807612795</v>
      </c>
      <c r="AP18" s="5" cm="1">
        <f t="array" aca="1" ref="AP18" ca="1">IF(INDIRECT(AP$13&amp;$AC18)=0,NA(),INDIRECT(AP$13&amp;$AC18))</f>
        <v>0.80253860246008901</v>
      </c>
      <c r="AQ18" s="5" cm="1">
        <f t="array" aca="1" ref="AQ18" ca="1">IF(INDIRECT(AQ$13&amp;$AC18)=0,NA(),INDIRECT(AQ$13&amp;$AC18))</f>
        <v>0.79484457922668683</v>
      </c>
      <c r="AR18" s="5" cm="1">
        <f t="array" aca="1" ref="AR18" ca="1">IF(INDIRECT(AR$13&amp;$AC18)=0,NA(),INDIRECT(AR$13&amp;$AC18))</f>
        <v>0.78377576746255373</v>
      </c>
      <c r="AS18" t="e" cm="1">
        <f t="array" aca="1" ref="AS18" ca="1">IF(INDIRECT(AS$13&amp;$AC18)=0,NA(),INDIRECT(AS$13&amp;$AC18))</f>
        <v>#N/A</v>
      </c>
      <c r="AV18">
        <v>9</v>
      </c>
      <c r="AW18" t="s">
        <v>176</v>
      </c>
    </row>
    <row r="19" spans="4:49" x14ac:dyDescent="0.25">
      <c r="D19" t="s">
        <v>16</v>
      </c>
      <c r="E19">
        <v>2014</v>
      </c>
      <c r="F19" t="s">
        <v>18</v>
      </c>
      <c r="G19">
        <v>0.85340000231067237</v>
      </c>
      <c r="H19">
        <v>0.86229020913212051</v>
      </c>
      <c r="I19">
        <v>0.87654246644440315</v>
      </c>
      <c r="J19">
        <v>0.90438852811747361</v>
      </c>
      <c r="K19">
        <v>0.89862291339511058</v>
      </c>
      <c r="L19">
        <v>0.90962159925657871</v>
      </c>
      <c r="M19">
        <v>0.91786177187367612</v>
      </c>
      <c r="N19">
        <v>0.91594487082046194</v>
      </c>
      <c r="O19">
        <v>0.89933996939882499</v>
      </c>
      <c r="P19">
        <v>0.90851698773480694</v>
      </c>
      <c r="Q19">
        <v>0.899897059546659</v>
      </c>
      <c r="R19">
        <v>0.90270635359604778</v>
      </c>
      <c r="W19">
        <v>5</v>
      </c>
      <c r="X19" t="s">
        <v>38</v>
      </c>
      <c r="Y19">
        <f t="shared" si="2"/>
        <v>231</v>
      </c>
      <c r="Z19">
        <f t="shared" si="3"/>
        <v>284</v>
      </c>
      <c r="AC19" s="3">
        <f t="shared" si="4"/>
        <v>73</v>
      </c>
      <c r="AD19" t="str" cm="1">
        <f t="array" aca="1" ref="AD19" ca="1">IF(INDIRECT(AD$13&amp;$AC19)=0,NA(),INDIRECT(AD$13&amp;$AC19))</f>
        <v>01a</v>
      </c>
      <c r="AE19" cm="1">
        <f t="array" aca="1" ref="AE19" ca="1">IF(INDIRECT(AE$13&amp;$AC19)=0,NA(),INDIRECT(AE$13&amp;$AC19))</f>
        <v>2014</v>
      </c>
      <c r="AF19" t="str" cm="1">
        <f t="array" aca="1" ref="AF19" ca="1">IF(INDIRECT(AF$13&amp;$AC19)=0,NA(),INDIRECT(AF$13&amp;$AC19))</f>
        <v>VIS20_mm</v>
      </c>
      <c r="AG19" s="5" cm="1">
        <f t="array" aca="1" ref="AG19" ca="1">IF(INDIRECT(AG$13&amp;$AC19)=0,NA(),INDIRECT(AG$13&amp;$AC19))</f>
        <v>0.72525015967638917</v>
      </c>
      <c r="AH19" s="5" cm="1">
        <f t="array" aca="1" ref="AH19" ca="1">IF(INDIRECT(AH$13&amp;$AC19)=0,NA(),INDIRECT(AH$13&amp;$AC19))</f>
        <v>0.76704055220017253</v>
      </c>
      <c r="AI19" s="5" cm="1">
        <f t="array" aca="1" ref="AI19" ca="1">IF(INDIRECT(AI$13&amp;$AC19)=0,NA(),INDIRECT(AI$13&amp;$AC19))</f>
        <v>0.76099453866053468</v>
      </c>
      <c r="AJ19" s="5" cm="1">
        <f t="array" aca="1" ref="AJ19" ca="1">IF(INDIRECT(AJ$13&amp;$AC19)=0,NA(),INDIRECT(AJ$13&amp;$AC19))</f>
        <v>0.81193798449612398</v>
      </c>
      <c r="AK19" s="5" cm="1">
        <f t="array" aca="1" ref="AK19" ca="1">IF(INDIRECT(AK$13&amp;$AC19)=0,NA(),INDIRECT(AK$13&amp;$AC19))</f>
        <v>0.88894575230296824</v>
      </c>
      <c r="AL19" s="5" cm="1">
        <f t="array" aca="1" ref="AL19" ca="1">IF(INDIRECT(AL$13&amp;$AC19)=0,NA(),INDIRECT(AL$13&amp;$AC19))</f>
        <v>0.975830078125</v>
      </c>
      <c r="AM19" s="5" cm="1">
        <f t="array" aca="1" ref="AM19" ca="1">IF(INDIRECT(AM$13&amp;$AC19)=0,NA(),INDIRECT(AM$13&amp;$AC19))</f>
        <v>0.99638009049773757</v>
      </c>
      <c r="AN19" cm="1">
        <f t="array" aca="1" ref="AN19" ca="1">IF(INDIRECT(AN$13&amp;$AC19)=0,NA(),INDIRECT(AN$13&amp;$AC19))</f>
        <v>0.99453053783044665</v>
      </c>
      <c r="AO19" cm="1">
        <f t="array" aca="1" ref="AO19" ca="1">IF(INDIRECT(AO$13&amp;$AC19)=0,NA(),INDIRECT(AO$13&amp;$AC19))</f>
        <v>0.99615992771628648</v>
      </c>
      <c r="AP19" cm="1">
        <f t="array" aca="1" ref="AP19" ca="1">IF(INDIRECT(AP$13&amp;$AC19)=0,NA(),INDIRECT(AP$13&amp;$AC19))</f>
        <v>0.99908925318761388</v>
      </c>
      <c r="AQ19" cm="1">
        <f t="array" aca="1" ref="AQ19" ca="1">IF(INDIRECT(AQ$13&amp;$AC19)=0,NA(),INDIRECT(AQ$13&amp;$AC19))</f>
        <v>0.99805194805194808</v>
      </c>
      <c r="AR19" cm="1">
        <f t="array" aca="1" ref="AR19" ca="1">IF(INDIRECT(AR$13&amp;$AC19)=0,NA(),INDIRECT(AR$13&amp;$AC19))</f>
        <v>0.95098468271334791</v>
      </c>
      <c r="AS19" t="e" cm="1">
        <f t="array" aca="1" ref="AS19" ca="1">IF(INDIRECT(AS$13&amp;$AC19)=0,NA(),INDIRECT(AS$13&amp;$AC19))</f>
        <v>#N/A</v>
      </c>
      <c r="AV19">
        <v>10</v>
      </c>
      <c r="AW19" t="s">
        <v>177</v>
      </c>
    </row>
    <row r="20" spans="4:49" x14ac:dyDescent="0.25">
      <c r="D20" t="s">
        <v>16</v>
      </c>
      <c r="E20">
        <v>2015</v>
      </c>
      <c r="F20" t="s">
        <v>18</v>
      </c>
      <c r="G20">
        <v>0.88834140481986967</v>
      </c>
      <c r="H20">
        <v>0.89679390515187907</v>
      </c>
      <c r="I20">
        <v>0.90097010624621343</v>
      </c>
      <c r="J20">
        <v>0.92095795536188352</v>
      </c>
      <c r="K20">
        <v>0.91328976405045659</v>
      </c>
      <c r="L20">
        <v>0.94029241136630726</v>
      </c>
      <c r="M20">
        <v>0.94343430947116091</v>
      </c>
      <c r="W20">
        <v>6</v>
      </c>
      <c r="X20" t="s">
        <v>39</v>
      </c>
      <c r="Y20">
        <f t="shared" si="2"/>
        <v>285</v>
      </c>
      <c r="Z20">
        <f t="shared" si="3"/>
        <v>338</v>
      </c>
      <c r="AC20" s="3">
        <f t="shared" si="4"/>
        <v>74</v>
      </c>
      <c r="AD20" t="str" cm="1">
        <f t="array" aca="1" ref="AD20" ca="1">IF(INDIRECT(AD$13&amp;$AC20)=0,NA(),INDIRECT(AD$13&amp;$AC20))</f>
        <v>01a</v>
      </c>
      <c r="AE20" cm="1">
        <f t="array" aca="1" ref="AE20" ca="1">IF(INDIRECT(AE$13&amp;$AC20)=0,NA(),INDIRECT(AE$13&amp;$AC20))</f>
        <v>2015</v>
      </c>
      <c r="AF20" t="str" cm="1">
        <f t="array" aca="1" ref="AF20" ca="1">IF(INDIRECT(AF$13&amp;$AC20)=0,NA(),INDIRECT(AF$13&amp;$AC20))</f>
        <v>VIS20_mm</v>
      </c>
      <c r="AG20" s="18" cm="1">
        <f t="array" aca="1" ref="AG20" ca="1">IF(INDIRECT(AG$13&amp;$AC20)=0,NA(),INDIRECT(AG$13&amp;$AC20))</f>
        <v>0.99510726383138881</v>
      </c>
      <c r="AH20" s="18" cm="1">
        <f t="array" aca="1" ref="AH20" ca="1">IF(INDIRECT(AH$13&amp;$AC20)=0,NA(),INDIRECT(AH$13&amp;$AC20))</f>
        <v>0.99567333693888593</v>
      </c>
      <c r="AI20" s="18" cm="1">
        <f t="array" aca="1" ref="AI20" ca="1">IF(INDIRECT(AI$13&amp;$AC20)=0,NA(),INDIRECT(AI$13&amp;$AC20))</f>
        <v>0.99630801687763715</v>
      </c>
      <c r="AJ20" s="18" cm="1">
        <f t="array" aca="1" ref="AJ20" ca="1">IF(INDIRECT(AJ$13&amp;$AC20)=0,NA(),INDIRECT(AJ$13&amp;$AC20))</f>
        <v>0.99634591961023145</v>
      </c>
      <c r="AK20" s="18" cm="1">
        <f t="array" aca="1" ref="AK20" ca="1">IF(INDIRECT(AK$13&amp;$AC20)=0,NA(),INDIRECT(AK$13&amp;$AC20))</f>
        <v>0.9980532121998702</v>
      </c>
      <c r="AL20" s="18" cm="1">
        <f t="array" aca="1" ref="AL20" ca="1">IF(INDIRECT(AL$13&amp;$AC20)=0,NA(),INDIRECT(AL$13&amp;$AC20))</f>
        <v>0.99508733624454149</v>
      </c>
      <c r="AM20" s="18" cm="1">
        <f t="array" aca="1" ref="AM20" ca="1">IF(INDIRECT(AM$13&amp;$AC20)=0,NA(),INDIRECT(AM$13&amp;$AC20))</f>
        <v>0.99529411764705877</v>
      </c>
      <c r="AN20" t="e" cm="1">
        <f t="array" aca="1" ref="AN20" ca="1">IF(INDIRECT(AN$13&amp;$AC20)=0,NA(),INDIRECT(AN$13&amp;$AC20))</f>
        <v>#N/A</v>
      </c>
      <c r="AO20" t="e" cm="1">
        <f t="array" aca="1" ref="AO20" ca="1">IF(INDIRECT(AO$13&amp;$AC20)=0,NA(),INDIRECT(AO$13&amp;$AC20))</f>
        <v>#N/A</v>
      </c>
      <c r="AP20" t="e" cm="1">
        <f t="array" aca="1" ref="AP20" ca="1">IF(INDIRECT(AP$13&amp;$AC20)=0,NA(),INDIRECT(AP$13&amp;$AC20))</f>
        <v>#N/A</v>
      </c>
      <c r="AQ20" t="e" cm="1">
        <f t="array" aca="1" ref="AQ20" ca="1">IF(INDIRECT(AQ$13&amp;$AC20)=0,NA(),INDIRECT(AQ$13&amp;$AC20))</f>
        <v>#N/A</v>
      </c>
      <c r="AR20" t="e" cm="1">
        <f t="array" aca="1" ref="AR20" ca="1">IF(INDIRECT(AR$13&amp;$AC20)=0,NA(),INDIRECT(AR$13&amp;$AC20))</f>
        <v>#N/A</v>
      </c>
      <c r="AS20" t="e" cm="1">
        <f t="array" aca="1" ref="AS20" ca="1">IF(INDIRECT(AS$13&amp;$AC20)=0,NA(),INDIRECT(AS$13&amp;$AC20))</f>
        <v>#N/A</v>
      </c>
      <c r="AV20">
        <v>11</v>
      </c>
      <c r="AW20" t="s">
        <v>178</v>
      </c>
    </row>
    <row r="21" spans="4:49" x14ac:dyDescent="0.25">
      <c r="D21" t="s">
        <v>16</v>
      </c>
      <c r="E21">
        <v>2013</v>
      </c>
      <c r="F21" t="s">
        <v>19</v>
      </c>
      <c r="S21">
        <v>0.70591279382538519</v>
      </c>
      <c r="W21">
        <v>7</v>
      </c>
      <c r="X21" t="s">
        <v>40</v>
      </c>
      <c r="Y21">
        <f t="shared" si="2"/>
        <v>339</v>
      </c>
      <c r="Z21">
        <f t="shared" si="3"/>
        <v>392</v>
      </c>
      <c r="AC21" s="3">
        <f t="shared" si="4"/>
        <v>75</v>
      </c>
      <c r="AD21" t="str" cm="1">
        <f t="array" aca="1" ref="AD21" ca="1">IF(INDIRECT(AD$13&amp;$AC21)=0,NA(),INDIRECT(AD$13&amp;$AC21))</f>
        <v>01a</v>
      </c>
      <c r="AE21" cm="1">
        <f t="array" aca="1" ref="AE21" ca="1">IF(INDIRECT(AE$13&amp;$AC21)=0,NA(),INDIRECT(AE$13&amp;$AC21))</f>
        <v>2013</v>
      </c>
      <c r="AF21" t="str" cm="1">
        <f t="array" aca="1" ref="AF21" ca="1">IF(INDIRECT(AF$13&amp;$AC21)=0,NA(),INDIRECT(AF$13&amp;$AC21))</f>
        <v>del15_cc</v>
      </c>
      <c r="AG21" t="e" cm="1">
        <f t="array" aca="1" ref="AG21" ca="1">IF(INDIRECT(AG$13&amp;$AC21)=0,NA(),INDIRECT(AG$13&amp;$AC21))</f>
        <v>#N/A</v>
      </c>
      <c r="AH21" t="e" cm="1">
        <f t="array" aca="1" ref="AH21" ca="1">IF(INDIRECT(AH$13&amp;$AC21)=0,NA(),INDIRECT(AH$13&amp;$AC21))</f>
        <v>#N/A</v>
      </c>
      <c r="AI21" t="e" cm="1">
        <f t="array" aca="1" ref="AI21" ca="1">IF(INDIRECT(AI$13&amp;$AC21)=0,NA(),INDIRECT(AI$13&amp;$AC21))</f>
        <v>#N/A</v>
      </c>
      <c r="AJ21" t="e" cm="1">
        <f t="array" aca="1" ref="AJ21" ca="1">IF(INDIRECT(AJ$13&amp;$AC21)=0,NA(),INDIRECT(AJ$13&amp;$AC21))</f>
        <v>#N/A</v>
      </c>
      <c r="AK21" t="e" cm="1">
        <f t="array" aca="1" ref="AK21" ca="1">IF(INDIRECT(AK$13&amp;$AC21)=0,NA(),INDIRECT(AK$13&amp;$AC21))</f>
        <v>#N/A</v>
      </c>
      <c r="AL21" t="e" cm="1">
        <f t="array" aca="1" ref="AL21" ca="1">IF(INDIRECT(AL$13&amp;$AC21)=0,NA(),INDIRECT(AL$13&amp;$AC21))</f>
        <v>#N/A</v>
      </c>
      <c r="AM21" t="e" cm="1">
        <f t="array" aca="1" ref="AM21" ca="1">IF(INDIRECT(AM$13&amp;$AC21)=0,NA(),INDIRECT(AM$13&amp;$AC21))</f>
        <v>#N/A</v>
      </c>
      <c r="AN21" t="e" cm="1">
        <f t="array" aca="1" ref="AN21" ca="1">IF(INDIRECT(AN$13&amp;$AC21)=0,NA(),INDIRECT(AN$13&amp;$AC21))</f>
        <v>#N/A</v>
      </c>
      <c r="AO21" t="e" cm="1">
        <f t="array" aca="1" ref="AO21" ca="1">IF(INDIRECT(AO$13&amp;$AC21)=0,NA(),INDIRECT(AO$13&amp;$AC21))</f>
        <v>#N/A</v>
      </c>
      <c r="AP21" t="e" cm="1">
        <f t="array" aca="1" ref="AP21" ca="1">IF(INDIRECT(AP$13&amp;$AC21)=0,NA(),INDIRECT(AP$13&amp;$AC21))</f>
        <v>#N/A</v>
      </c>
      <c r="AQ21" t="e" cm="1">
        <f t="array" aca="1" ref="AQ21" ca="1">IF(INDIRECT(AQ$13&amp;$AC21)=0,NA(),INDIRECT(AQ$13&amp;$AC21))</f>
        <v>#N/A</v>
      </c>
      <c r="AR21" t="e" cm="1">
        <f t="array" aca="1" ref="AR21" ca="1">IF(INDIRECT(AR$13&amp;$AC21)=0,NA(),INDIRECT(AR$13&amp;$AC21))</f>
        <v>#N/A</v>
      </c>
      <c r="AS21" cm="1">
        <f t="array" aca="1" ref="AS21" ca="1">IF(INDIRECT(AS$13&amp;$AC21)=0,NA(),INDIRECT(AS$13&amp;$AC21))</f>
        <v>0.76167934115652458</v>
      </c>
      <c r="AV21">
        <v>12</v>
      </c>
      <c r="AW21" t="s">
        <v>179</v>
      </c>
    </row>
    <row r="22" spans="4:49" x14ac:dyDescent="0.25">
      <c r="D22" t="s">
        <v>16</v>
      </c>
      <c r="E22">
        <v>2014</v>
      </c>
      <c r="F22" t="s">
        <v>19</v>
      </c>
      <c r="S22">
        <v>0.87761211011199003</v>
      </c>
      <c r="W22">
        <v>8</v>
      </c>
      <c r="X22" t="s">
        <v>41</v>
      </c>
      <c r="Y22">
        <f t="shared" si="2"/>
        <v>393</v>
      </c>
      <c r="Z22">
        <f t="shared" si="3"/>
        <v>446</v>
      </c>
      <c r="AC22" s="3">
        <f t="shared" si="4"/>
        <v>76</v>
      </c>
      <c r="AD22" t="str" cm="1">
        <f t="array" aca="1" ref="AD22" ca="1">IF(INDIRECT(AD$13&amp;$AC22)=0,NA(),INDIRECT(AD$13&amp;$AC22))</f>
        <v>01a</v>
      </c>
      <c r="AE22" cm="1">
        <f t="array" aca="1" ref="AE22" ca="1">IF(INDIRECT(AE$13&amp;$AC22)=0,NA(),INDIRECT(AE$13&amp;$AC22))</f>
        <v>2014</v>
      </c>
      <c r="AF22" t="str" cm="1">
        <f t="array" aca="1" ref="AF22" ca="1">IF(INDIRECT(AF$13&amp;$AC22)=0,NA(),INDIRECT(AF$13&amp;$AC22))</f>
        <v>del15_cc</v>
      </c>
      <c r="AG22" t="e" cm="1">
        <f t="array" aca="1" ref="AG22" ca="1">IF(INDIRECT(AG$13&amp;$AC22)=0,NA(),INDIRECT(AG$13&amp;$AC22))</f>
        <v>#N/A</v>
      </c>
      <c r="AH22" t="e" cm="1">
        <f t="array" aca="1" ref="AH22" ca="1">IF(INDIRECT(AH$13&amp;$AC22)=0,NA(),INDIRECT(AH$13&amp;$AC22))</f>
        <v>#N/A</v>
      </c>
      <c r="AI22" t="e" cm="1">
        <f t="array" aca="1" ref="AI22" ca="1">IF(INDIRECT(AI$13&amp;$AC22)=0,NA(),INDIRECT(AI$13&amp;$AC22))</f>
        <v>#N/A</v>
      </c>
      <c r="AJ22" t="e" cm="1">
        <f t="array" aca="1" ref="AJ22" ca="1">IF(INDIRECT(AJ$13&amp;$AC22)=0,NA(),INDIRECT(AJ$13&amp;$AC22))</f>
        <v>#N/A</v>
      </c>
      <c r="AK22" t="e" cm="1">
        <f t="array" aca="1" ref="AK22" ca="1">IF(INDIRECT(AK$13&amp;$AC22)=0,NA(),INDIRECT(AK$13&amp;$AC22))</f>
        <v>#N/A</v>
      </c>
      <c r="AL22" t="e" cm="1">
        <f t="array" aca="1" ref="AL22" ca="1">IF(INDIRECT(AL$13&amp;$AC22)=0,NA(),INDIRECT(AL$13&amp;$AC22))</f>
        <v>#N/A</v>
      </c>
      <c r="AM22" t="e" cm="1">
        <f t="array" aca="1" ref="AM22" ca="1">IF(INDIRECT(AM$13&amp;$AC22)=0,NA(),INDIRECT(AM$13&amp;$AC22))</f>
        <v>#N/A</v>
      </c>
      <c r="AN22" t="e" cm="1">
        <f t="array" aca="1" ref="AN22" ca="1">IF(INDIRECT(AN$13&amp;$AC22)=0,NA(),INDIRECT(AN$13&amp;$AC22))</f>
        <v>#N/A</v>
      </c>
      <c r="AO22" t="e" cm="1">
        <f t="array" aca="1" ref="AO22" ca="1">IF(INDIRECT(AO$13&amp;$AC22)=0,NA(),INDIRECT(AO$13&amp;$AC22))</f>
        <v>#N/A</v>
      </c>
      <c r="AP22" t="e" cm="1">
        <f t="array" aca="1" ref="AP22" ca="1">IF(INDIRECT(AP$13&amp;$AC22)=0,NA(),INDIRECT(AP$13&amp;$AC22))</f>
        <v>#N/A</v>
      </c>
      <c r="AQ22" t="e" cm="1">
        <f t="array" aca="1" ref="AQ22" ca="1">IF(INDIRECT(AQ$13&amp;$AC22)=0,NA(),INDIRECT(AQ$13&amp;$AC22))</f>
        <v>#N/A</v>
      </c>
      <c r="AR22" t="e" cm="1">
        <f t="array" aca="1" ref="AR22" ca="1">IF(INDIRECT(AR$13&amp;$AC22)=0,NA(),INDIRECT(AR$13&amp;$AC22))</f>
        <v>#N/A</v>
      </c>
      <c r="AS22" cm="1">
        <f t="array" aca="1" ref="AS22" ca="1">IF(INDIRECT(AS$13&amp;$AC22)=0,NA(),INDIRECT(AS$13&amp;$AC22))</f>
        <v>0.92460310463730955</v>
      </c>
    </row>
    <row r="23" spans="4:49" x14ac:dyDescent="0.25">
      <c r="D23" t="s">
        <v>16</v>
      </c>
      <c r="E23">
        <v>2015</v>
      </c>
      <c r="F23" t="s">
        <v>19</v>
      </c>
      <c r="S23">
        <v>0.88970316373896674</v>
      </c>
      <c r="W23">
        <v>9</v>
      </c>
      <c r="X23" t="s">
        <v>42</v>
      </c>
      <c r="Y23">
        <f t="shared" si="2"/>
        <v>447</v>
      </c>
      <c r="Z23">
        <f t="shared" si="3"/>
        <v>500</v>
      </c>
      <c r="AC23" s="3">
        <f t="shared" si="4"/>
        <v>77</v>
      </c>
      <c r="AD23" t="str" cm="1">
        <f t="array" aca="1" ref="AD23" ca="1">IF(INDIRECT(AD$13&amp;$AC23)=0,NA(),INDIRECT(AD$13&amp;$AC23))</f>
        <v>01a</v>
      </c>
      <c r="AE23" cm="1">
        <f t="array" aca="1" ref="AE23" ca="1">IF(INDIRECT(AE$13&amp;$AC23)=0,NA(),INDIRECT(AE$13&amp;$AC23))</f>
        <v>2015</v>
      </c>
      <c r="AF23" t="str" cm="1">
        <f t="array" aca="1" ref="AF23" ca="1">IF(INDIRECT(AF$13&amp;$AC23)=0,NA(),INDIRECT(AF$13&amp;$AC23))</f>
        <v>del15_cc</v>
      </c>
      <c r="AG23" t="e" cm="1">
        <f t="array" aca="1" ref="AG23" ca="1">IF(INDIRECT(AG$13&amp;$AC23)=0,NA(),INDIRECT(AG$13&amp;$AC23))</f>
        <v>#N/A</v>
      </c>
      <c r="AH23" t="e" cm="1">
        <f t="array" aca="1" ref="AH23" ca="1">IF(INDIRECT(AH$13&amp;$AC23)=0,NA(),INDIRECT(AH$13&amp;$AC23))</f>
        <v>#N/A</v>
      </c>
      <c r="AI23" t="e" cm="1">
        <f t="array" aca="1" ref="AI23" ca="1">IF(INDIRECT(AI$13&amp;$AC23)=0,NA(),INDIRECT(AI$13&amp;$AC23))</f>
        <v>#N/A</v>
      </c>
      <c r="AJ23" t="e" cm="1">
        <f t="array" aca="1" ref="AJ23" ca="1">IF(INDIRECT(AJ$13&amp;$AC23)=0,NA(),INDIRECT(AJ$13&amp;$AC23))</f>
        <v>#N/A</v>
      </c>
      <c r="AK23" t="e" cm="1">
        <f t="array" aca="1" ref="AK23" ca="1">IF(INDIRECT(AK$13&amp;$AC23)=0,NA(),INDIRECT(AK$13&amp;$AC23))</f>
        <v>#N/A</v>
      </c>
      <c r="AL23" t="e" cm="1">
        <f t="array" aca="1" ref="AL23" ca="1">IF(INDIRECT(AL$13&amp;$AC23)=0,NA(),INDIRECT(AL$13&amp;$AC23))</f>
        <v>#N/A</v>
      </c>
      <c r="AM23" t="e" cm="1">
        <f t="array" aca="1" ref="AM23" ca="1">IF(INDIRECT(AM$13&amp;$AC23)=0,NA(),INDIRECT(AM$13&amp;$AC23))</f>
        <v>#N/A</v>
      </c>
      <c r="AN23" t="e" cm="1">
        <f t="array" aca="1" ref="AN23" ca="1">IF(INDIRECT(AN$13&amp;$AC23)=0,NA(),INDIRECT(AN$13&amp;$AC23))</f>
        <v>#N/A</v>
      </c>
      <c r="AO23" t="e" cm="1">
        <f t="array" aca="1" ref="AO23" ca="1">IF(INDIRECT(AO$13&amp;$AC23)=0,NA(),INDIRECT(AO$13&amp;$AC23))</f>
        <v>#N/A</v>
      </c>
      <c r="AP23" t="e" cm="1">
        <f t="array" aca="1" ref="AP23" ca="1">IF(INDIRECT(AP$13&amp;$AC23)=0,NA(),INDIRECT(AP$13&amp;$AC23))</f>
        <v>#N/A</v>
      </c>
      <c r="AQ23" t="e" cm="1">
        <f t="array" aca="1" ref="AQ23" ca="1">IF(INDIRECT(AQ$13&amp;$AC23)=0,NA(),INDIRECT(AQ$13&amp;$AC23))</f>
        <v>#N/A</v>
      </c>
      <c r="AR23" t="e" cm="1">
        <f t="array" aca="1" ref="AR23" ca="1">IF(INDIRECT(AR$13&amp;$AC23)=0,NA(),INDIRECT(AR$13&amp;$AC23))</f>
        <v>#N/A</v>
      </c>
      <c r="AS23" cm="1">
        <f t="array" aca="1" ref="AS23" ca="1">IF(INDIRECT(AS$13&amp;$AC23)=0,NA(),INDIRECT(AS$13&amp;$AC23))</f>
        <v>0.95843991399896322</v>
      </c>
    </row>
    <row r="24" spans="4:49" x14ac:dyDescent="0.25">
      <c r="D24" t="s">
        <v>16</v>
      </c>
      <c r="E24">
        <v>2013</v>
      </c>
      <c r="F24" t="s">
        <v>20</v>
      </c>
      <c r="G24">
        <v>0.67084785765827493</v>
      </c>
      <c r="H24">
        <v>0.68142371728204154</v>
      </c>
      <c r="I24">
        <v>0.63974581241837902</v>
      </c>
      <c r="J24">
        <v>0.65656709638385735</v>
      </c>
      <c r="K24">
        <v>0.62938869214490445</v>
      </c>
      <c r="L24">
        <v>0.79576299864502542</v>
      </c>
      <c r="M24">
        <v>0.86475952314560389</v>
      </c>
      <c r="N24">
        <v>0.84611036056673306</v>
      </c>
      <c r="O24">
        <v>0.84786838014352273</v>
      </c>
      <c r="P24">
        <v>0.84146989241219039</v>
      </c>
      <c r="Q24">
        <v>0.77592954462062469</v>
      </c>
      <c r="R24">
        <v>0.83092439981580413</v>
      </c>
      <c r="W24">
        <v>10</v>
      </c>
      <c r="X24" t="s">
        <v>43</v>
      </c>
      <c r="Y24">
        <f t="shared" si="2"/>
        <v>501</v>
      </c>
      <c r="Z24">
        <f t="shared" si="3"/>
        <v>554</v>
      </c>
      <c r="AC24" s="3">
        <f t="shared" si="4"/>
        <v>78</v>
      </c>
      <c r="AD24" t="str" cm="1">
        <f t="array" aca="1" ref="AD24" ca="1">IF(INDIRECT(AD$13&amp;$AC24)=0,NA(),INDIRECT(AD$13&amp;$AC24))</f>
        <v>01a</v>
      </c>
      <c r="AE24" cm="1">
        <f t="array" aca="1" ref="AE24" ca="1">IF(INDIRECT(AE$13&amp;$AC24)=0,NA(),INDIRECT(AE$13&amp;$AC24))</f>
        <v>2013</v>
      </c>
      <c r="AF24" t="str" cm="1">
        <f t="array" aca="1" ref="AF24" ca="1">IF(INDIRECT(AF$13&amp;$AC24)=0,NA(),INDIRECT(AF$13&amp;$AC24))</f>
        <v>del15_mm</v>
      </c>
      <c r="AG24" cm="1">
        <f t="array" aca="1" ref="AG24" ca="1">IF(INDIRECT(AG$13&amp;$AC24)=0,NA(),INDIRECT(AG$13&amp;$AC24))</f>
        <v>0.75779419715264007</v>
      </c>
      <c r="AH24" cm="1">
        <f t="array" aca="1" ref="AH24" ca="1">IF(INDIRECT(AH$13&amp;$AC24)=0,NA(),INDIRECT(AH$13&amp;$AC24))</f>
        <v>0.7329475743608449</v>
      </c>
      <c r="AI24" cm="1">
        <f t="array" aca="1" ref="AI24" ca="1">IF(INDIRECT(AI$13&amp;$AC24)=0,NA(),INDIRECT(AI$13&amp;$AC24))</f>
        <v>0.64295463924070728</v>
      </c>
      <c r="AJ24" cm="1">
        <f t="array" aca="1" ref="AJ24" ca="1">IF(INDIRECT(AJ$13&amp;$AC24)=0,NA(),INDIRECT(AJ$13&amp;$AC24))</f>
        <v>0.62567981616238988</v>
      </c>
      <c r="AK24" cm="1">
        <f t="array" aca="1" ref="AK24" ca="1">IF(INDIRECT(AK$13&amp;$AC24)=0,NA(),INDIRECT(AK$13&amp;$AC24))</f>
        <v>0.71577009075364983</v>
      </c>
      <c r="AL24" cm="1">
        <f t="array" aca="1" ref="AL24" ca="1">IF(INDIRECT(AL$13&amp;$AC24)=0,NA(),INDIRECT(AL$13&amp;$AC24))</f>
        <v>0.88059859341124214</v>
      </c>
      <c r="AM24" cm="1">
        <f t="array" aca="1" ref="AM24" ca="1">IF(INDIRECT(AM$13&amp;$AC24)=0,NA(),INDIRECT(AM$13&amp;$AC24))</f>
        <v>0.99009679821295604</v>
      </c>
      <c r="AN24" s="5" cm="1">
        <f t="array" aca="1" ref="AN24" ca="1">IF(INDIRECT(AN$13&amp;$AC24)=0,NA(),INDIRECT(AN$13&amp;$AC24))</f>
        <v>0.81477499213259208</v>
      </c>
      <c r="AO24" s="5" cm="1">
        <f t="array" aca="1" ref="AO24" ca="1">IF(INDIRECT(AO$13&amp;$AC24)=0,NA(),INDIRECT(AO$13&amp;$AC24))</f>
        <v>0.81363585266234495</v>
      </c>
      <c r="AP24" s="5" cm="1">
        <f t="array" aca="1" ref="AP24" ca="1">IF(INDIRECT(AP$13&amp;$AC24)=0,NA(),INDIRECT(AP$13&amp;$AC24))</f>
        <v>0.72439908811334319</v>
      </c>
      <c r="AQ24" s="5" cm="1">
        <f t="array" aca="1" ref="AQ24" ca="1">IF(INDIRECT(AQ$13&amp;$AC24)=0,NA(),INDIRECT(AQ$13&amp;$AC24))</f>
        <v>0.62040130473460509</v>
      </c>
      <c r="AR24" s="5" cm="1">
        <f t="array" aca="1" ref="AR24" ca="1">IF(INDIRECT(AR$13&amp;$AC24)=0,NA(),INDIRECT(AR$13&amp;$AC24))</f>
        <v>0.74812255932712524</v>
      </c>
      <c r="AS24" t="e" cm="1">
        <f t="array" aca="1" ref="AS24" ca="1">IF(INDIRECT(AS$13&amp;$AC24)=0,NA(),INDIRECT(AS$13&amp;$AC24))</f>
        <v>#N/A</v>
      </c>
    </row>
    <row r="25" spans="4:49" x14ac:dyDescent="0.25">
      <c r="D25" t="s">
        <v>16</v>
      </c>
      <c r="E25">
        <v>2014</v>
      </c>
      <c r="F25" t="s">
        <v>20</v>
      </c>
      <c r="G25">
        <v>0.88318406568099916</v>
      </c>
      <c r="H25">
        <v>0.89068083353130156</v>
      </c>
      <c r="I25">
        <v>0.84317485824267924</v>
      </c>
      <c r="J25">
        <v>0.8598152856531639</v>
      </c>
      <c r="K25">
        <v>0.83864919133795823</v>
      </c>
      <c r="L25">
        <v>0.89595798538835247</v>
      </c>
      <c r="M25">
        <v>0.92545028567093435</v>
      </c>
      <c r="N25">
        <v>0.91442735800092334</v>
      </c>
      <c r="O25">
        <v>0.90610496499199866</v>
      </c>
      <c r="P25">
        <v>0.93707503448447627</v>
      </c>
      <c r="Q25">
        <v>0.90474764743744707</v>
      </c>
      <c r="R25">
        <v>0.93255978274014162</v>
      </c>
      <c r="W25">
        <v>11</v>
      </c>
      <c r="X25" t="s">
        <v>44</v>
      </c>
      <c r="Y25">
        <f t="shared" si="2"/>
        <v>555</v>
      </c>
      <c r="Z25">
        <f t="shared" si="3"/>
        <v>608</v>
      </c>
      <c r="AC25" s="3">
        <f t="shared" si="4"/>
        <v>79</v>
      </c>
      <c r="AD25" t="str" cm="1">
        <f t="array" aca="1" ref="AD25" ca="1">IF(INDIRECT(AD$13&amp;$AC25)=0,NA(),INDIRECT(AD$13&amp;$AC25))</f>
        <v>01a</v>
      </c>
      <c r="AE25" cm="1">
        <f t="array" aca="1" ref="AE25" ca="1">IF(INDIRECT(AE$13&amp;$AC25)=0,NA(),INDIRECT(AE$13&amp;$AC25))</f>
        <v>2014</v>
      </c>
      <c r="AF25" t="str" cm="1">
        <f t="array" aca="1" ref="AF25" ca="1">IF(INDIRECT(AF$13&amp;$AC25)=0,NA(),INDIRECT(AF$13&amp;$AC25))</f>
        <v>del15_mm</v>
      </c>
      <c r="AG25" s="5" cm="1">
        <f t="array" aca="1" ref="AG25" ca="1">IF(INDIRECT(AG$13&amp;$AC25)=0,NA(),INDIRECT(AG$13&amp;$AC25))</f>
        <v>0.95505539877385903</v>
      </c>
      <c r="AH25" s="5" cm="1">
        <f t="array" aca="1" ref="AH25" ca="1">IF(INDIRECT(AH$13&amp;$AC25)=0,NA(),INDIRECT(AH$13&amp;$AC25))</f>
        <v>0.84958368317940103</v>
      </c>
      <c r="AI25" s="5" cm="1">
        <f t="array" aca="1" ref="AI25" ca="1">IF(INDIRECT(AI$13&amp;$AC25)=0,NA(),INDIRECT(AI$13&amp;$AC25))</f>
        <v>0.72034254050877344</v>
      </c>
      <c r="AJ25" s="5" cm="1">
        <f t="array" aca="1" ref="AJ25" ca="1">IF(INDIRECT(AJ$13&amp;$AC25)=0,NA(),INDIRECT(AJ$13&amp;$AC25))</f>
        <v>0.98442506893211124</v>
      </c>
      <c r="AK25" s="5" cm="1">
        <f t="array" aca="1" ref="AK25" ca="1">IF(INDIRECT(AK$13&amp;$AC25)=0,NA(),INDIRECT(AK$13&amp;$AC25))</f>
        <v>0.99484409526147799</v>
      </c>
      <c r="AL25" s="5" cm="1">
        <f t="array" aca="1" ref="AL25" ca="1">IF(INDIRECT(AL$13&amp;$AC25)=0,NA(),INDIRECT(AL$13&amp;$AC25))</f>
        <v>0.99573890418190736</v>
      </c>
      <c r="AM25" s="5" cm="1">
        <f t="array" aca="1" ref="AM25" ca="1">IF(INDIRECT(AM$13&amp;$AC25)=0,NA(),INDIRECT(AM$13&amp;$AC25))</f>
        <v>0.99747977185303094</v>
      </c>
      <c r="AN25" s="18" cm="1">
        <f t="array" aca="1" ref="AN25" ca="1">IF(INDIRECT(AN$13&amp;$AC25)=0,NA(),INDIRECT(AN$13&amp;$AC25))</f>
        <v>0.99614757741887683</v>
      </c>
      <c r="AO25" s="18" cm="1">
        <f t="array" aca="1" ref="AO25" ca="1">IF(INDIRECT(AO$13&amp;$AC25)=0,NA(),INDIRECT(AO$13&amp;$AC25))</f>
        <v>0.99578025853789109</v>
      </c>
      <c r="AP25" s="18" cm="1">
        <f t="array" aca="1" ref="AP25" ca="1">IF(INDIRECT(AP$13&amp;$AC25)=0,NA(),INDIRECT(AP$13&amp;$AC25))</f>
        <v>0.99505735904320236</v>
      </c>
      <c r="AQ25" s="18" cm="1">
        <f t="array" aca="1" ref="AQ25" ca="1">IF(INDIRECT(AQ$13&amp;$AC25)=0,NA(),INDIRECT(AQ$13&amp;$AC25))</f>
        <v>0.98852438568042911</v>
      </c>
      <c r="AR25" s="18" cm="1">
        <f t="array" aca="1" ref="AR25" ca="1">IF(INDIRECT(AR$13&amp;$AC25)=0,NA(),INDIRECT(AR$13&amp;$AC25))</f>
        <v>0.99509395392719557</v>
      </c>
      <c r="AS25" t="e" cm="1">
        <f t="array" aca="1" ref="AS25" ca="1">IF(INDIRECT(AS$13&amp;$AC25)=0,NA(),INDIRECT(AS$13&amp;$AC25))</f>
        <v>#N/A</v>
      </c>
    </row>
    <row r="26" spans="4:49" x14ac:dyDescent="0.25">
      <c r="D26" t="s">
        <v>16</v>
      </c>
      <c r="E26">
        <v>2015</v>
      </c>
      <c r="F26" t="s">
        <v>20</v>
      </c>
      <c r="G26">
        <v>0.90239780393250679</v>
      </c>
      <c r="H26">
        <v>0.89945448107977344</v>
      </c>
      <c r="I26">
        <v>0.86764088293531749</v>
      </c>
      <c r="J26">
        <v>0.87989604624696371</v>
      </c>
      <c r="K26">
        <v>0.84540451491734747</v>
      </c>
      <c r="L26">
        <v>0.89343015432019035</v>
      </c>
      <c r="M26">
        <v>0.9321576392668296</v>
      </c>
      <c r="W26">
        <v>12</v>
      </c>
      <c r="X26" t="s">
        <v>45</v>
      </c>
      <c r="Y26">
        <f t="shared" si="2"/>
        <v>609</v>
      </c>
      <c r="Z26">
        <f t="shared" si="3"/>
        <v>662</v>
      </c>
      <c r="AC26" s="3">
        <f t="shared" si="4"/>
        <v>80</v>
      </c>
      <c r="AD26" t="str" cm="1">
        <f t="array" aca="1" ref="AD26" ca="1">IF(INDIRECT(AD$13&amp;$AC26)=0,NA(),INDIRECT(AD$13&amp;$AC26))</f>
        <v>01a</v>
      </c>
      <c r="AE26" cm="1">
        <f t="array" aca="1" ref="AE26" ca="1">IF(INDIRECT(AE$13&amp;$AC26)=0,NA(),INDIRECT(AE$13&amp;$AC26))</f>
        <v>2015</v>
      </c>
      <c r="AF26" t="str" cm="1">
        <f t="array" aca="1" ref="AF26" ca="1">IF(INDIRECT(AF$13&amp;$AC26)=0,NA(),INDIRECT(AF$13&amp;$AC26))</f>
        <v>del15_mm</v>
      </c>
      <c r="AG26" s="18" cm="1">
        <f t="array" aca="1" ref="AG26" ca="1">IF(INDIRECT(AG$13&amp;$AC26)=0,NA(),INDIRECT(AG$13&amp;$AC26))</f>
        <v>0.98361270629623876</v>
      </c>
      <c r="AH26" s="18" cm="1">
        <f t="array" aca="1" ref="AH26" ca="1">IF(INDIRECT(AH$13&amp;$AC26)=0,NA(),INDIRECT(AH$13&amp;$AC26))</f>
        <v>0.89302752594389889</v>
      </c>
      <c r="AI26" s="18" cm="1">
        <f t="array" aca="1" ref="AI26" ca="1">IF(INDIRECT(AI$13&amp;$AC26)=0,NA(),INDIRECT(AI$13&amp;$AC26))</f>
        <v>0.89977712526974918</v>
      </c>
      <c r="AJ26" s="18" cm="1">
        <f t="array" aca="1" ref="AJ26" ca="1">IF(INDIRECT(AJ$13&amp;$AC26)=0,NA(),INDIRECT(AJ$13&amp;$AC26))</f>
        <v>0.98977212905166578</v>
      </c>
      <c r="AK26" s="18" cm="1">
        <f t="array" aca="1" ref="AK26" ca="1">IF(INDIRECT(AK$13&amp;$AC26)=0,NA(),INDIRECT(AK$13&amp;$AC26))</f>
        <v>0.96974426919795997</v>
      </c>
      <c r="AL26" s="18" cm="1">
        <f t="array" aca="1" ref="AL26" ca="1">IF(INDIRECT(AL$13&amp;$AC26)=0,NA(),INDIRECT(AL$13&amp;$AC26))</f>
        <v>0.99185884929045665</v>
      </c>
      <c r="AM26" s="18" cm="1">
        <f t="array" aca="1" ref="AM26" ca="1">IF(INDIRECT(AM$13&amp;$AC26)=0,NA(),INDIRECT(AM$13&amp;$AC26))</f>
        <v>0.99294636296840555</v>
      </c>
      <c r="AN26" t="e" cm="1">
        <f t="array" aca="1" ref="AN26" ca="1">IF(INDIRECT(AN$13&amp;$AC26)=0,NA(),INDIRECT(AN$13&amp;$AC26))</f>
        <v>#N/A</v>
      </c>
      <c r="AO26" t="e" cm="1">
        <f t="array" aca="1" ref="AO26" ca="1">IF(INDIRECT(AO$13&amp;$AC26)=0,NA(),INDIRECT(AO$13&amp;$AC26))</f>
        <v>#N/A</v>
      </c>
      <c r="AP26" t="e" cm="1">
        <f t="array" aca="1" ref="AP26" ca="1">IF(INDIRECT(AP$13&amp;$AC26)=0,NA(),INDIRECT(AP$13&amp;$AC26))</f>
        <v>#N/A</v>
      </c>
      <c r="AQ26" t="e" cm="1">
        <f t="array" aca="1" ref="AQ26" ca="1">IF(INDIRECT(AQ$13&amp;$AC26)=0,NA(),INDIRECT(AQ$13&amp;$AC26))</f>
        <v>#N/A</v>
      </c>
      <c r="AR26" t="e" cm="1">
        <f t="array" aca="1" ref="AR26" ca="1">IF(INDIRECT(AR$13&amp;$AC26)=0,NA(),INDIRECT(AR$13&amp;$AC26))</f>
        <v>#N/A</v>
      </c>
      <c r="AS26" t="e" cm="1">
        <f t="array" aca="1" ref="AS26" ca="1">IF(INDIRECT(AS$13&amp;$AC26)=0,NA(),INDIRECT(AS$13&amp;$AC26))</f>
        <v>#N/A</v>
      </c>
    </row>
    <row r="27" spans="4:49" x14ac:dyDescent="0.25">
      <c r="D27" t="s">
        <v>16</v>
      </c>
      <c r="E27">
        <v>2013</v>
      </c>
      <c r="F27" t="s">
        <v>21</v>
      </c>
      <c r="S27">
        <v>0.92382296901470251</v>
      </c>
      <c r="W27">
        <v>13</v>
      </c>
      <c r="X27" t="s">
        <v>46</v>
      </c>
      <c r="Y27">
        <f t="shared" si="2"/>
        <v>663</v>
      </c>
      <c r="Z27">
        <f t="shared" si="3"/>
        <v>716</v>
      </c>
      <c r="AC27" s="3">
        <f t="shared" si="4"/>
        <v>81</v>
      </c>
      <c r="AD27" t="str" cm="1">
        <f t="array" aca="1" ref="AD27" ca="1">IF(INDIRECT(AD$13&amp;$AC27)=0,NA(),INDIRECT(AD$13&amp;$AC27))</f>
        <v>01a</v>
      </c>
      <c r="AE27" cm="1">
        <f t="array" aca="1" ref="AE27" ca="1">IF(INDIRECT(AE$13&amp;$AC27)=0,NA(),INDIRECT(AE$13&amp;$AC27))</f>
        <v>2013</v>
      </c>
      <c r="AF27" t="str" cm="1">
        <f t="array" aca="1" ref="AF27" ca="1">IF(INDIRECT(AF$13&amp;$AC27)=0,NA(),INDIRECT(AF$13&amp;$AC27))</f>
        <v>minima_cc</v>
      </c>
      <c r="AG27" t="e" cm="1">
        <f t="array" aca="1" ref="AG27" ca="1">IF(INDIRECT(AG$13&amp;$AC27)=0,NA(),INDIRECT(AG$13&amp;$AC27))</f>
        <v>#N/A</v>
      </c>
      <c r="AH27" t="e" cm="1">
        <f t="array" aca="1" ref="AH27" ca="1">IF(INDIRECT(AH$13&amp;$AC27)=0,NA(),INDIRECT(AH$13&amp;$AC27))</f>
        <v>#N/A</v>
      </c>
      <c r="AI27" t="e" cm="1">
        <f t="array" aca="1" ref="AI27" ca="1">IF(INDIRECT(AI$13&amp;$AC27)=0,NA(),INDIRECT(AI$13&amp;$AC27))</f>
        <v>#N/A</v>
      </c>
      <c r="AJ27" t="e" cm="1">
        <f t="array" aca="1" ref="AJ27" ca="1">IF(INDIRECT(AJ$13&amp;$AC27)=0,NA(),INDIRECT(AJ$13&amp;$AC27))</f>
        <v>#N/A</v>
      </c>
      <c r="AK27" t="e" cm="1">
        <f t="array" aca="1" ref="AK27" ca="1">IF(INDIRECT(AK$13&amp;$AC27)=0,NA(),INDIRECT(AK$13&amp;$AC27))</f>
        <v>#N/A</v>
      </c>
      <c r="AL27" t="e" cm="1">
        <f t="array" aca="1" ref="AL27" ca="1">IF(INDIRECT(AL$13&amp;$AC27)=0,NA(),INDIRECT(AL$13&amp;$AC27))</f>
        <v>#N/A</v>
      </c>
      <c r="AM27" t="e" cm="1">
        <f t="array" aca="1" ref="AM27" ca="1">IF(INDIRECT(AM$13&amp;$AC27)=0,NA(),INDIRECT(AM$13&amp;$AC27))</f>
        <v>#N/A</v>
      </c>
      <c r="AN27" t="e" cm="1">
        <f t="array" aca="1" ref="AN27" ca="1">IF(INDIRECT(AN$13&amp;$AC27)=0,NA(),INDIRECT(AN$13&amp;$AC27))</f>
        <v>#N/A</v>
      </c>
      <c r="AO27" t="e" cm="1">
        <f t="array" aca="1" ref="AO27" ca="1">IF(INDIRECT(AO$13&amp;$AC27)=0,NA(),INDIRECT(AO$13&amp;$AC27))</f>
        <v>#N/A</v>
      </c>
      <c r="AP27" t="e" cm="1">
        <f t="array" aca="1" ref="AP27" ca="1">IF(INDIRECT(AP$13&amp;$AC27)=0,NA(),INDIRECT(AP$13&amp;$AC27))</f>
        <v>#N/A</v>
      </c>
      <c r="AQ27" t="e" cm="1">
        <f t="array" aca="1" ref="AQ27" ca="1">IF(INDIRECT(AQ$13&amp;$AC27)=0,NA(),INDIRECT(AQ$13&amp;$AC27))</f>
        <v>#N/A</v>
      </c>
      <c r="AR27" t="e" cm="1">
        <f t="array" aca="1" ref="AR27" ca="1">IF(INDIRECT(AR$13&amp;$AC27)=0,NA(),INDIRECT(AR$13&amp;$AC27))</f>
        <v>#N/A</v>
      </c>
      <c r="AS27" cm="1">
        <f t="array" aca="1" ref="AS27" ca="1">IF(INDIRECT(AS$13&amp;$AC27)=0,NA(),INDIRECT(AS$13&amp;$AC27))</f>
        <v>0.85010516097718813</v>
      </c>
    </row>
    <row r="28" spans="4:49" x14ac:dyDescent="0.25">
      <c r="D28" t="s">
        <v>16</v>
      </c>
      <c r="E28">
        <v>2014</v>
      </c>
      <c r="F28" t="s">
        <v>21</v>
      </c>
      <c r="S28">
        <v>0.96591765913179906</v>
      </c>
      <c r="W28">
        <v>14</v>
      </c>
      <c r="X28" t="s">
        <v>47</v>
      </c>
      <c r="Y28">
        <f t="shared" si="2"/>
        <v>717</v>
      </c>
      <c r="Z28">
        <f t="shared" si="3"/>
        <v>770</v>
      </c>
      <c r="AC28" s="3">
        <f t="shared" si="4"/>
        <v>82</v>
      </c>
      <c r="AD28" t="str" cm="1">
        <f t="array" aca="1" ref="AD28" ca="1">IF(INDIRECT(AD$13&amp;$AC28)=0,NA(),INDIRECT(AD$13&amp;$AC28))</f>
        <v>01a</v>
      </c>
      <c r="AE28" cm="1">
        <f t="array" aca="1" ref="AE28" ca="1">IF(INDIRECT(AE$13&amp;$AC28)=0,NA(),INDIRECT(AE$13&amp;$AC28))</f>
        <v>2014</v>
      </c>
      <c r="AF28" t="str" cm="1">
        <f t="array" aca="1" ref="AF28" ca="1">IF(INDIRECT(AF$13&amp;$AC28)=0,NA(),INDIRECT(AF$13&amp;$AC28))</f>
        <v>minima_cc</v>
      </c>
      <c r="AG28" t="e" cm="1">
        <f t="array" aca="1" ref="AG28" ca="1">IF(INDIRECT(AG$13&amp;$AC28)=0,NA(),INDIRECT(AG$13&amp;$AC28))</f>
        <v>#N/A</v>
      </c>
      <c r="AH28" t="e" cm="1">
        <f t="array" aca="1" ref="AH28" ca="1">IF(INDIRECT(AH$13&amp;$AC28)=0,NA(),INDIRECT(AH$13&amp;$AC28))</f>
        <v>#N/A</v>
      </c>
      <c r="AI28" t="e" cm="1">
        <f t="array" aca="1" ref="AI28" ca="1">IF(INDIRECT(AI$13&amp;$AC28)=0,NA(),INDIRECT(AI$13&amp;$AC28))</f>
        <v>#N/A</v>
      </c>
      <c r="AJ28" t="e" cm="1">
        <f t="array" aca="1" ref="AJ28" ca="1">IF(INDIRECT(AJ$13&amp;$AC28)=0,NA(),INDIRECT(AJ$13&amp;$AC28))</f>
        <v>#N/A</v>
      </c>
      <c r="AK28" t="e" cm="1">
        <f t="array" aca="1" ref="AK28" ca="1">IF(INDIRECT(AK$13&amp;$AC28)=0,NA(),INDIRECT(AK$13&amp;$AC28))</f>
        <v>#N/A</v>
      </c>
      <c r="AL28" t="e" cm="1">
        <f t="array" aca="1" ref="AL28" ca="1">IF(INDIRECT(AL$13&amp;$AC28)=0,NA(),INDIRECT(AL$13&amp;$AC28))</f>
        <v>#N/A</v>
      </c>
      <c r="AM28" t="e" cm="1">
        <f t="array" aca="1" ref="AM28" ca="1">IF(INDIRECT(AM$13&amp;$AC28)=0,NA(),INDIRECT(AM$13&amp;$AC28))</f>
        <v>#N/A</v>
      </c>
      <c r="AN28" t="e" cm="1">
        <f t="array" aca="1" ref="AN28" ca="1">IF(INDIRECT(AN$13&amp;$AC28)=0,NA(),INDIRECT(AN$13&amp;$AC28))</f>
        <v>#N/A</v>
      </c>
      <c r="AO28" t="e" cm="1">
        <f t="array" aca="1" ref="AO28" ca="1">IF(INDIRECT(AO$13&amp;$AC28)=0,NA(),INDIRECT(AO$13&amp;$AC28))</f>
        <v>#N/A</v>
      </c>
      <c r="AP28" t="e" cm="1">
        <f t="array" aca="1" ref="AP28" ca="1">IF(INDIRECT(AP$13&amp;$AC28)=0,NA(),INDIRECT(AP$13&amp;$AC28))</f>
        <v>#N/A</v>
      </c>
      <c r="AQ28" t="e" cm="1">
        <f t="array" aca="1" ref="AQ28" ca="1">IF(INDIRECT(AQ$13&amp;$AC28)=0,NA(),INDIRECT(AQ$13&amp;$AC28))</f>
        <v>#N/A</v>
      </c>
      <c r="AR28" t="e" cm="1">
        <f t="array" aca="1" ref="AR28" ca="1">IF(INDIRECT(AR$13&amp;$AC28)=0,NA(),INDIRECT(AR$13&amp;$AC28))</f>
        <v>#N/A</v>
      </c>
      <c r="AS28" cm="1">
        <f t="array" aca="1" ref="AS28" ca="1">IF(INDIRECT(AS$13&amp;$AC28)=0,NA(),INDIRECT(AS$13&amp;$AC28))</f>
        <v>0.98991450248699198</v>
      </c>
    </row>
    <row r="29" spans="4:49" x14ac:dyDescent="0.25">
      <c r="D29" t="s">
        <v>16</v>
      </c>
      <c r="E29">
        <v>2015</v>
      </c>
      <c r="F29" t="s">
        <v>21</v>
      </c>
      <c r="S29">
        <v>0.95042381027065326</v>
      </c>
      <c r="W29">
        <v>15</v>
      </c>
      <c r="X29" t="s">
        <v>48</v>
      </c>
      <c r="Y29">
        <f t="shared" si="2"/>
        <v>771</v>
      </c>
      <c r="Z29">
        <f t="shared" si="3"/>
        <v>824</v>
      </c>
      <c r="AC29" s="3">
        <f t="shared" si="4"/>
        <v>83</v>
      </c>
      <c r="AD29" t="str" cm="1">
        <f t="array" aca="1" ref="AD29" ca="1">IF(INDIRECT(AD$13&amp;$AC29)=0,NA(),INDIRECT(AD$13&amp;$AC29))</f>
        <v>01a</v>
      </c>
      <c r="AE29" cm="1">
        <f t="array" aca="1" ref="AE29" ca="1">IF(INDIRECT(AE$13&amp;$AC29)=0,NA(),INDIRECT(AE$13&amp;$AC29))</f>
        <v>2015</v>
      </c>
      <c r="AF29" t="str" cm="1">
        <f t="array" aca="1" ref="AF29" ca="1">IF(INDIRECT(AF$13&amp;$AC29)=0,NA(),INDIRECT(AF$13&amp;$AC29))</f>
        <v>minima_cc</v>
      </c>
      <c r="AG29" t="e" cm="1">
        <f t="array" aca="1" ref="AG29" ca="1">IF(INDIRECT(AG$13&amp;$AC29)=0,NA(),INDIRECT(AG$13&amp;$AC29))</f>
        <v>#N/A</v>
      </c>
      <c r="AH29" t="e" cm="1">
        <f t="array" aca="1" ref="AH29" ca="1">IF(INDIRECT(AH$13&amp;$AC29)=0,NA(),INDIRECT(AH$13&amp;$AC29))</f>
        <v>#N/A</v>
      </c>
      <c r="AI29" t="e" cm="1">
        <f t="array" aca="1" ref="AI29" ca="1">IF(INDIRECT(AI$13&amp;$AC29)=0,NA(),INDIRECT(AI$13&amp;$AC29))</f>
        <v>#N/A</v>
      </c>
      <c r="AJ29" t="e" cm="1">
        <f t="array" aca="1" ref="AJ29" ca="1">IF(INDIRECT(AJ$13&amp;$AC29)=0,NA(),INDIRECT(AJ$13&amp;$AC29))</f>
        <v>#N/A</v>
      </c>
      <c r="AK29" t="e" cm="1">
        <f t="array" aca="1" ref="AK29" ca="1">IF(INDIRECT(AK$13&amp;$AC29)=0,NA(),INDIRECT(AK$13&amp;$AC29))</f>
        <v>#N/A</v>
      </c>
      <c r="AL29" t="e" cm="1">
        <f t="array" aca="1" ref="AL29" ca="1">IF(INDIRECT(AL$13&amp;$AC29)=0,NA(),INDIRECT(AL$13&amp;$AC29))</f>
        <v>#N/A</v>
      </c>
      <c r="AM29" t="e" cm="1">
        <f t="array" aca="1" ref="AM29" ca="1">IF(INDIRECT(AM$13&amp;$AC29)=0,NA(),INDIRECT(AM$13&amp;$AC29))</f>
        <v>#N/A</v>
      </c>
      <c r="AN29" t="e" cm="1">
        <f t="array" aca="1" ref="AN29" ca="1">IF(INDIRECT(AN$13&amp;$AC29)=0,NA(),INDIRECT(AN$13&amp;$AC29))</f>
        <v>#N/A</v>
      </c>
      <c r="AO29" t="e" cm="1">
        <f t="array" aca="1" ref="AO29" ca="1">IF(INDIRECT(AO$13&amp;$AC29)=0,NA(),INDIRECT(AO$13&amp;$AC29))</f>
        <v>#N/A</v>
      </c>
      <c r="AP29" t="e" cm="1">
        <f t="array" aca="1" ref="AP29" ca="1">IF(INDIRECT(AP$13&amp;$AC29)=0,NA(),INDIRECT(AP$13&amp;$AC29))</f>
        <v>#N/A</v>
      </c>
      <c r="AQ29" t="e" cm="1">
        <f t="array" aca="1" ref="AQ29" ca="1">IF(INDIRECT(AQ$13&amp;$AC29)=0,NA(),INDIRECT(AQ$13&amp;$AC29))</f>
        <v>#N/A</v>
      </c>
      <c r="AR29" t="e" cm="1">
        <f t="array" aca="1" ref="AR29" ca="1">IF(INDIRECT(AR$13&amp;$AC29)=0,NA(),INDIRECT(AR$13&amp;$AC29))</f>
        <v>#N/A</v>
      </c>
      <c r="AS29" cm="1">
        <f t="array" aca="1" ref="AS29" ca="1">IF(INDIRECT(AS$13&amp;$AC29)=0,NA(),INDIRECT(AS$13&amp;$AC29))</f>
        <v>0.98810694115152564</v>
      </c>
    </row>
    <row r="30" spans="4:49" x14ac:dyDescent="0.25">
      <c r="D30" t="s">
        <v>16</v>
      </c>
      <c r="E30">
        <v>2013</v>
      </c>
      <c r="F30" t="s">
        <v>22</v>
      </c>
      <c r="G30">
        <v>0.88438482629535686</v>
      </c>
      <c r="H30">
        <v>0.9180765419866237</v>
      </c>
      <c r="I30">
        <v>0.92600857845908224</v>
      </c>
      <c r="J30">
        <v>0.92167164523162337</v>
      </c>
      <c r="K30">
        <v>0.90007516738865012</v>
      </c>
      <c r="L30">
        <v>0.95158496287292882</v>
      </c>
      <c r="M30">
        <v>0.96509678272629917</v>
      </c>
      <c r="N30">
        <v>0.94678850699917905</v>
      </c>
      <c r="O30">
        <v>0.93640140355523194</v>
      </c>
      <c r="P30">
        <v>0.9469769528314137</v>
      </c>
      <c r="Q30">
        <v>0.93796867468979195</v>
      </c>
      <c r="R30">
        <v>0.94702835026463739</v>
      </c>
      <c r="W30">
        <v>16</v>
      </c>
      <c r="X30" t="s">
        <v>49</v>
      </c>
      <c r="Y30">
        <f t="shared" si="2"/>
        <v>825</v>
      </c>
      <c r="Z30">
        <f t="shared" si="3"/>
        <v>878</v>
      </c>
      <c r="AC30" s="3">
        <f t="shared" si="4"/>
        <v>84</v>
      </c>
      <c r="AD30" t="str" cm="1">
        <f t="array" aca="1" ref="AD30" ca="1">IF(INDIRECT(AD$13&amp;$AC30)=0,NA(),INDIRECT(AD$13&amp;$AC30))</f>
        <v>01a</v>
      </c>
      <c r="AE30" cm="1">
        <f t="array" aca="1" ref="AE30" ca="1">IF(INDIRECT(AE$13&amp;$AC30)=0,NA(),INDIRECT(AE$13&amp;$AC30))</f>
        <v>2013</v>
      </c>
      <c r="AF30" t="str" cm="1">
        <f t="array" aca="1" ref="AF30" ca="1">IF(INDIRECT(AF$13&amp;$AC30)=0,NA(),INDIRECT(AF$13&amp;$AC30))</f>
        <v>minima_mm</v>
      </c>
      <c r="AG30" cm="1">
        <f t="array" aca="1" ref="AG30" ca="1">IF(INDIRECT(AG$13&amp;$AC30)=0,NA(),INDIRECT(AG$13&amp;$AC30))</f>
        <v>0.88707090150786017</v>
      </c>
      <c r="AH30" cm="1">
        <f t="array" aca="1" ref="AH30" ca="1">IF(INDIRECT(AH$13&amp;$AC30)=0,NA(),INDIRECT(AH$13&amp;$AC30))</f>
        <v>0.86396434634974528</v>
      </c>
      <c r="AI30" cm="1">
        <f t="array" aca="1" ref="AI30" ca="1">IF(INDIRECT(AI$13&amp;$AC30)=0,NA(),INDIRECT(AI$13&amp;$AC30))</f>
        <v>0.6950741063644289</v>
      </c>
      <c r="AJ30" cm="1">
        <f t="array" aca="1" ref="AJ30" ca="1">IF(INDIRECT(AJ$13&amp;$AC30)=0,NA(),INDIRECT(AJ$13&amp;$AC30))</f>
        <v>0.68631350569517269</v>
      </c>
      <c r="AK30" cm="1">
        <f t="array" aca="1" ref="AK30" ca="1">IF(INDIRECT(AK$13&amp;$AC30)=0,NA(),INDIRECT(AK$13&amp;$AC30))</f>
        <v>0.81636400734543968</v>
      </c>
      <c r="AL30" cm="1">
        <f t="array" aca="1" ref="AL30" ca="1">IF(INDIRECT(AL$13&amp;$AC30)=0,NA(),INDIRECT(AL$13&amp;$AC30))</f>
        <v>0.97558386411889597</v>
      </c>
      <c r="AM30" cm="1">
        <f t="array" aca="1" ref="AM30" ca="1">IF(INDIRECT(AM$13&amp;$AC30)=0,NA(),INDIRECT(AM$13&amp;$AC30))</f>
        <v>0.98985959438377535</v>
      </c>
      <c r="AN30" s="5" cm="1">
        <f t="array" aca="1" ref="AN30" ca="1">IF(INDIRECT(AN$13&amp;$AC30)=0,NA(),INDIRECT(AN$13&amp;$AC30))</f>
        <v>0.97808459346920884</v>
      </c>
      <c r="AO30" s="5" cm="1">
        <f t="array" aca="1" ref="AO30" ca="1">IF(INDIRECT(AO$13&amp;$AC30)=0,NA(),INDIRECT(AO$13&amp;$AC30))</f>
        <v>0.97188190399678653</v>
      </c>
      <c r="AP30" s="5" cm="1">
        <f t="array" aca="1" ref="AP30" ca="1">IF(INDIRECT(AP$13&amp;$AC30)=0,NA(),INDIRECT(AP$13&amp;$AC30))</f>
        <v>0.98241568175266647</v>
      </c>
      <c r="AQ30" s="5" cm="1">
        <f t="array" aca="1" ref="AQ30" ca="1">IF(INDIRECT(AQ$13&amp;$AC30)=0,NA(),INDIRECT(AQ$13&amp;$AC30))</f>
        <v>0.97772377480761441</v>
      </c>
      <c r="AR30" s="5" cm="1">
        <f t="array" aca="1" ref="AR30" ca="1">IF(INDIRECT(AR$13&amp;$AC30)=0,NA(),INDIRECT(AR$13&amp;$AC30))</f>
        <v>0.92562882392929979</v>
      </c>
      <c r="AS30" t="e" cm="1">
        <f t="array" aca="1" ref="AS30" ca="1">IF(INDIRECT(AS$13&amp;$AC30)=0,NA(),INDIRECT(AS$13&amp;$AC30))</f>
        <v>#N/A</v>
      </c>
    </row>
    <row r="31" spans="4:49" x14ac:dyDescent="0.25">
      <c r="D31" t="s">
        <v>16</v>
      </c>
      <c r="E31">
        <v>2014</v>
      </c>
      <c r="F31" t="s">
        <v>22</v>
      </c>
      <c r="G31">
        <v>0.9706186648123567</v>
      </c>
      <c r="H31">
        <v>0.97126657749037892</v>
      </c>
      <c r="I31">
        <v>0.95729041694742556</v>
      </c>
      <c r="J31">
        <v>0.96356317692841487</v>
      </c>
      <c r="K31">
        <v>0.96324364747536007</v>
      </c>
      <c r="L31">
        <v>0.96723487909543393</v>
      </c>
      <c r="M31">
        <v>0.96767887625903559</v>
      </c>
      <c r="N31">
        <v>0.96790869682250802</v>
      </c>
      <c r="O31">
        <v>0.96561424112349115</v>
      </c>
      <c r="P31">
        <v>0.97225354365577465</v>
      </c>
      <c r="Q31">
        <v>0.95947513053036548</v>
      </c>
      <c r="R31">
        <v>0.96857975590931356</v>
      </c>
      <c r="W31">
        <v>17</v>
      </c>
      <c r="X31" t="s">
        <v>50</v>
      </c>
      <c r="Y31">
        <f t="shared" si="2"/>
        <v>879</v>
      </c>
      <c r="Z31">
        <f t="shared" si="3"/>
        <v>932</v>
      </c>
      <c r="AC31" s="3">
        <f t="shared" si="4"/>
        <v>85</v>
      </c>
      <c r="AD31" t="str" cm="1">
        <f t="array" aca="1" ref="AD31" ca="1">IF(INDIRECT(AD$13&amp;$AC31)=0,NA(),INDIRECT(AD$13&amp;$AC31))</f>
        <v>01a</v>
      </c>
      <c r="AE31" cm="1">
        <f t="array" aca="1" ref="AE31" ca="1">IF(INDIRECT(AE$13&amp;$AC31)=0,NA(),INDIRECT(AE$13&amp;$AC31))</f>
        <v>2014</v>
      </c>
      <c r="AF31" t="str" cm="1">
        <f t="array" aca="1" ref="AF31" ca="1">IF(INDIRECT(AF$13&amp;$AC31)=0,NA(),INDIRECT(AF$13&amp;$AC31))</f>
        <v>minima_mm</v>
      </c>
      <c r="AG31" s="5" cm="1">
        <f t="array" aca="1" ref="AG31" ca="1">IF(INDIRECT(AG$13&amp;$AC31)=0,NA(),INDIRECT(AG$13&amp;$AC31))</f>
        <v>0.98896084780688842</v>
      </c>
      <c r="AH31" s="5" cm="1">
        <f t="array" aca="1" ref="AH31" ca="1">IF(INDIRECT(AH$13&amp;$AC31)=0,NA(),INDIRECT(AH$13&amp;$AC31))</f>
        <v>0.98746867167919794</v>
      </c>
      <c r="AI31" s="5" cm="1">
        <f t="array" aca="1" ref="AI31" ca="1">IF(INDIRECT(AI$13&amp;$AC31)=0,NA(),INDIRECT(AI$13&amp;$AC31))</f>
        <v>0.98691816245816855</v>
      </c>
      <c r="AJ31" s="5" cm="1">
        <f t="array" aca="1" ref="AJ31" ca="1">IF(INDIRECT(AJ$13&amp;$AC31)=0,NA(),INDIRECT(AJ$13&amp;$AC31))</f>
        <v>0.98537254304433952</v>
      </c>
      <c r="AK31" s="5" cm="1">
        <f t="array" aca="1" ref="AK31" ca="1">IF(INDIRECT(AK$13&amp;$AC31)=0,NA(),INDIRECT(AK$13&amp;$AC31))</f>
        <v>0.98862461220268871</v>
      </c>
      <c r="AL31" s="5" cm="1">
        <f t="array" aca="1" ref="AL31" ca="1">IF(INDIRECT(AL$13&amp;$AC31)=0,NA(),INDIRECT(AL$13&amp;$AC31))</f>
        <v>0.99733066399733061</v>
      </c>
      <c r="AM31" s="5" cm="1">
        <f t="array" aca="1" ref="AM31" ca="1">IF(INDIRECT(AM$13&amp;$AC31)=0,NA(),INDIRECT(AM$13&amp;$AC31))</f>
        <v>0.9950902755780805</v>
      </c>
      <c r="AN31" s="18" cm="1">
        <f t="array" aca="1" ref="AN31" ca="1">IF(INDIRECT(AN$13&amp;$AC31)=0,NA(),INDIRECT(AN$13&amp;$AC31))</f>
        <v>0.9945721583652618</v>
      </c>
      <c r="AO31" s="18" cm="1">
        <f t="array" aca="1" ref="AO31" ca="1">IF(INDIRECT(AO$13&amp;$AC31)=0,NA(),INDIRECT(AO$13&amp;$AC31))</f>
        <v>0.99341257339252476</v>
      </c>
      <c r="AP31" s="18" cm="1">
        <f t="array" aca="1" ref="AP31" ca="1">IF(INDIRECT(AP$13&amp;$AC31)=0,NA(),INDIRECT(AP$13&amp;$AC31))</f>
        <v>0.9924992499249925</v>
      </c>
      <c r="AQ31" s="18" cm="1">
        <f t="array" aca="1" ref="AQ31" ca="1">IF(INDIRECT(AQ$13&amp;$AC31)=0,NA(),INDIRECT(AQ$13&amp;$AC31))</f>
        <v>0.97884552312233519</v>
      </c>
      <c r="AR31" s="18" cm="1">
        <f t="array" aca="1" ref="AR31" ca="1">IF(INDIRECT(AR$13&amp;$AC31)=0,NA(),INDIRECT(AR$13&amp;$AC31))</f>
        <v>0.99218556189531137</v>
      </c>
      <c r="AS31" t="e" cm="1">
        <f t="array" aca="1" ref="AS31" ca="1">IF(INDIRECT(AS$13&amp;$AC31)=0,NA(),INDIRECT(AS$13&amp;$AC31))</f>
        <v>#N/A</v>
      </c>
    </row>
    <row r="32" spans="4:49" x14ac:dyDescent="0.25">
      <c r="D32" t="s">
        <v>16</v>
      </c>
      <c r="E32">
        <v>2015</v>
      </c>
      <c r="F32" t="s">
        <v>22</v>
      </c>
      <c r="G32">
        <v>0.9445707651876275</v>
      </c>
      <c r="H32">
        <v>0.9516680251876003</v>
      </c>
      <c r="I32">
        <v>0.94452262709991608</v>
      </c>
      <c r="J32">
        <v>0.949828809421016</v>
      </c>
      <c r="K32">
        <v>0.94181851693601759</v>
      </c>
      <c r="L32">
        <v>0.95904850934475727</v>
      </c>
      <c r="M32">
        <v>0.96065736908765587</v>
      </c>
      <c r="W32">
        <v>18</v>
      </c>
      <c r="X32" t="s">
        <v>51</v>
      </c>
      <c r="Y32">
        <f t="shared" si="2"/>
        <v>933</v>
      </c>
      <c r="Z32">
        <f t="shared" si="3"/>
        <v>986</v>
      </c>
      <c r="AC32" s="3">
        <f t="shared" si="4"/>
        <v>86</v>
      </c>
      <c r="AD32" t="str" cm="1">
        <f t="array" aca="1" ref="AD32" ca="1">IF(INDIRECT(AD$13&amp;$AC32)=0,NA(),INDIRECT(AD$13&amp;$AC32))</f>
        <v>01a</v>
      </c>
      <c r="AE32" cm="1">
        <f t="array" aca="1" ref="AE32" ca="1">IF(INDIRECT(AE$13&amp;$AC32)=0,NA(),INDIRECT(AE$13&amp;$AC32))</f>
        <v>2015</v>
      </c>
      <c r="AF32" t="str" cm="1">
        <f t="array" aca="1" ref="AF32" ca="1">IF(INDIRECT(AF$13&amp;$AC32)=0,NA(),INDIRECT(AF$13&amp;$AC32))</f>
        <v>minima_mm</v>
      </c>
      <c r="AG32" s="18" cm="1">
        <f t="array" aca="1" ref="AG32" ca="1">IF(INDIRECT(AG$13&amp;$AC32)=0,NA(),INDIRECT(AG$13&amp;$AC32))</f>
        <v>0.98439375750300118</v>
      </c>
      <c r="AH32" s="18" cm="1">
        <f t="array" aca="1" ref="AH32" ca="1">IF(INDIRECT(AH$13&amp;$AC32)=0,NA(),INDIRECT(AH$13&amp;$AC32))</f>
        <v>0.98565821256038644</v>
      </c>
      <c r="AI32" s="18" cm="1">
        <f t="array" aca="1" ref="AI32" ca="1">IF(INDIRECT(AI$13&amp;$AC32)=0,NA(),INDIRECT(AI$13&amp;$AC32))</f>
        <v>0.98893669330055312</v>
      </c>
      <c r="AJ32" s="18" cm="1">
        <f t="array" aca="1" ref="AJ32" ca="1">IF(INDIRECT(AJ$13&amp;$AC32)=0,NA(),INDIRECT(AJ$13&amp;$AC32))</f>
        <v>0.98886679920477139</v>
      </c>
      <c r="AK32" s="18" cm="1">
        <f t="array" aca="1" ref="AK32" ca="1">IF(INDIRECT(AK$13&amp;$AC32)=0,NA(),INDIRECT(AK$13&amp;$AC32))</f>
        <v>0.99105601757414086</v>
      </c>
      <c r="AL32" s="18" cm="1">
        <f t="array" aca="1" ref="AL32" ca="1">IF(INDIRECT(AL$13&amp;$AC32)=0,NA(),INDIRECT(AL$13&amp;$AC32))</f>
        <v>0.99003531786074672</v>
      </c>
      <c r="AM32" s="18" cm="1">
        <f t="array" aca="1" ref="AM32" ca="1">IF(INDIRECT(AM$13&amp;$AC32)=0,NA(),INDIRECT(AM$13&amp;$AC32))</f>
        <v>0.98819124423963134</v>
      </c>
      <c r="AN32" t="e" cm="1">
        <f t="array" aca="1" ref="AN32" ca="1">IF(INDIRECT(AN$13&amp;$AC32)=0,NA(),INDIRECT(AN$13&amp;$AC32))</f>
        <v>#N/A</v>
      </c>
      <c r="AO32" t="e" cm="1">
        <f t="array" aca="1" ref="AO32" ca="1">IF(INDIRECT(AO$13&amp;$AC32)=0,NA(),INDIRECT(AO$13&amp;$AC32))</f>
        <v>#N/A</v>
      </c>
      <c r="AP32" t="e" cm="1">
        <f t="array" aca="1" ref="AP32" ca="1">IF(INDIRECT(AP$13&amp;$AC32)=0,NA(),INDIRECT(AP$13&amp;$AC32))</f>
        <v>#N/A</v>
      </c>
      <c r="AQ32" t="e" cm="1">
        <f t="array" aca="1" ref="AQ32" ca="1">IF(INDIRECT(AQ$13&amp;$AC32)=0,NA(),INDIRECT(AQ$13&amp;$AC32))</f>
        <v>#N/A</v>
      </c>
      <c r="AR32" t="e" cm="1">
        <f t="array" aca="1" ref="AR32" ca="1">IF(INDIRECT(AR$13&amp;$AC32)=0,NA(),INDIRECT(AR$13&amp;$AC32))</f>
        <v>#N/A</v>
      </c>
      <c r="AS32" t="e" cm="1">
        <f t="array" aca="1" ref="AS32" ca="1">IF(INDIRECT(AS$13&amp;$AC32)=0,NA(),INDIRECT(AS$13&amp;$AC32))</f>
        <v>#N/A</v>
      </c>
    </row>
    <row r="33" spans="4:45" x14ac:dyDescent="0.25">
      <c r="D33" t="s">
        <v>16</v>
      </c>
      <c r="E33">
        <v>2013</v>
      </c>
      <c r="F33" t="s">
        <v>23</v>
      </c>
      <c r="S33">
        <v>21022545</v>
      </c>
      <c r="W33">
        <v>19</v>
      </c>
      <c r="X33" t="s">
        <v>52</v>
      </c>
      <c r="Y33">
        <f t="shared" si="2"/>
        <v>987</v>
      </c>
      <c r="Z33">
        <f t="shared" si="3"/>
        <v>1040</v>
      </c>
      <c r="AC33" s="3">
        <f t="shared" si="4"/>
        <v>87</v>
      </c>
      <c r="AD33" t="str" cm="1">
        <f t="array" aca="1" ref="AD33" ca="1">IF(INDIRECT(AD$13&amp;$AC33)=0,NA(),INDIRECT(AD$13&amp;$AC33))</f>
        <v>01a</v>
      </c>
      <c r="AE33" cm="1">
        <f t="array" aca="1" ref="AE33" ca="1">IF(INDIRECT(AE$13&amp;$AC33)=0,NA(),INDIRECT(AE$13&amp;$AC33))</f>
        <v>2013</v>
      </c>
      <c r="AF33" t="str" cm="1">
        <f t="array" aca="1" ref="AF33" ca="1">IF(INDIRECT(AF$13&amp;$AC33)=0,NA(),INDIRECT(AF$13&amp;$AC33))</f>
        <v>nbappabo_cc</v>
      </c>
      <c r="AG33" t="e" cm="1">
        <f t="array" aca="1" ref="AG33" ca="1">IF(INDIRECT(AG$13&amp;$AC33)=0,NA(),INDIRECT(AG$13&amp;$AC33))</f>
        <v>#N/A</v>
      </c>
      <c r="AH33" t="e" cm="1">
        <f t="array" aca="1" ref="AH33" ca="1">IF(INDIRECT(AH$13&amp;$AC33)=0,NA(),INDIRECT(AH$13&amp;$AC33))</f>
        <v>#N/A</v>
      </c>
      <c r="AI33" t="e" cm="1">
        <f t="array" aca="1" ref="AI33" ca="1">IF(INDIRECT(AI$13&amp;$AC33)=0,NA(),INDIRECT(AI$13&amp;$AC33))</f>
        <v>#N/A</v>
      </c>
      <c r="AJ33" t="e" cm="1">
        <f t="array" aca="1" ref="AJ33" ca="1">IF(INDIRECT(AJ$13&amp;$AC33)=0,NA(),INDIRECT(AJ$13&amp;$AC33))</f>
        <v>#N/A</v>
      </c>
      <c r="AK33" t="e" cm="1">
        <f t="array" aca="1" ref="AK33" ca="1">IF(INDIRECT(AK$13&amp;$AC33)=0,NA(),INDIRECT(AK$13&amp;$AC33))</f>
        <v>#N/A</v>
      </c>
      <c r="AL33" t="e" cm="1">
        <f t="array" aca="1" ref="AL33" ca="1">IF(INDIRECT(AL$13&amp;$AC33)=0,NA(),INDIRECT(AL$13&amp;$AC33))</f>
        <v>#N/A</v>
      </c>
      <c r="AM33" t="e" cm="1">
        <f t="array" aca="1" ref="AM33" ca="1">IF(INDIRECT(AM$13&amp;$AC33)=0,NA(),INDIRECT(AM$13&amp;$AC33))</f>
        <v>#N/A</v>
      </c>
      <c r="AN33" t="e" cm="1">
        <f t="array" aca="1" ref="AN33" ca="1">IF(INDIRECT(AN$13&amp;$AC33)=0,NA(),INDIRECT(AN$13&amp;$AC33))</f>
        <v>#N/A</v>
      </c>
      <c r="AO33" t="e" cm="1">
        <f t="array" aca="1" ref="AO33" ca="1">IF(INDIRECT(AO$13&amp;$AC33)=0,NA(),INDIRECT(AO$13&amp;$AC33))</f>
        <v>#N/A</v>
      </c>
      <c r="AP33" t="e" cm="1">
        <f t="array" aca="1" ref="AP33" ca="1">IF(INDIRECT(AP$13&amp;$AC33)=0,NA(),INDIRECT(AP$13&amp;$AC33))</f>
        <v>#N/A</v>
      </c>
      <c r="AQ33" t="e" cm="1">
        <f t="array" aca="1" ref="AQ33" ca="1">IF(INDIRECT(AQ$13&amp;$AC33)=0,NA(),INDIRECT(AQ$13&amp;$AC33))</f>
        <v>#N/A</v>
      </c>
      <c r="AR33" t="e" cm="1">
        <f t="array" aca="1" ref="AR33" ca="1">IF(INDIRECT(AR$13&amp;$AC33)=0,NA(),INDIRECT(AR$13&amp;$AC33))</f>
        <v>#N/A</v>
      </c>
      <c r="AS33" cm="1">
        <f t="array" aca="1" ref="AS33" ca="1">IF(INDIRECT(AS$13&amp;$AC33)=0,NA(),INDIRECT(AS$13&amp;$AC33))</f>
        <v>138538</v>
      </c>
    </row>
    <row r="34" spans="4:45" x14ac:dyDescent="0.25">
      <c r="D34" t="s">
        <v>16</v>
      </c>
      <c r="E34">
        <v>2014</v>
      </c>
      <c r="F34" t="s">
        <v>23</v>
      </c>
      <c r="S34">
        <v>18914874</v>
      </c>
      <c r="W34">
        <v>20</v>
      </c>
      <c r="X34" t="s">
        <v>53</v>
      </c>
      <c r="Y34">
        <f t="shared" si="2"/>
        <v>1041</v>
      </c>
      <c r="Z34">
        <f t="shared" si="3"/>
        <v>1094</v>
      </c>
      <c r="AC34" s="3">
        <f t="shared" si="4"/>
        <v>88</v>
      </c>
      <c r="AD34" t="str" cm="1">
        <f t="array" aca="1" ref="AD34" ca="1">IF(INDIRECT(AD$13&amp;$AC34)=0,NA(),INDIRECT(AD$13&amp;$AC34))</f>
        <v>01a</v>
      </c>
      <c r="AE34" cm="1">
        <f t="array" aca="1" ref="AE34" ca="1">IF(INDIRECT(AE$13&amp;$AC34)=0,NA(),INDIRECT(AE$13&amp;$AC34))</f>
        <v>2014</v>
      </c>
      <c r="AF34" t="str" cm="1">
        <f t="array" aca="1" ref="AF34" ca="1">IF(INDIRECT(AF$13&amp;$AC34)=0,NA(),INDIRECT(AF$13&amp;$AC34))</f>
        <v>nbappabo_cc</v>
      </c>
      <c r="AG34" t="e" cm="1">
        <f t="array" aca="1" ref="AG34" ca="1">IF(INDIRECT(AG$13&amp;$AC34)=0,NA(),INDIRECT(AG$13&amp;$AC34))</f>
        <v>#N/A</v>
      </c>
      <c r="AH34" t="e" cm="1">
        <f t="array" aca="1" ref="AH34" ca="1">IF(INDIRECT(AH$13&amp;$AC34)=0,NA(),INDIRECT(AH$13&amp;$AC34))</f>
        <v>#N/A</v>
      </c>
      <c r="AI34" t="e" cm="1">
        <f t="array" aca="1" ref="AI34" ca="1">IF(INDIRECT(AI$13&amp;$AC34)=0,NA(),INDIRECT(AI$13&amp;$AC34))</f>
        <v>#N/A</v>
      </c>
      <c r="AJ34" t="e" cm="1">
        <f t="array" aca="1" ref="AJ34" ca="1">IF(INDIRECT(AJ$13&amp;$AC34)=0,NA(),INDIRECT(AJ$13&amp;$AC34))</f>
        <v>#N/A</v>
      </c>
      <c r="AK34" t="e" cm="1">
        <f t="array" aca="1" ref="AK34" ca="1">IF(INDIRECT(AK$13&amp;$AC34)=0,NA(),INDIRECT(AK$13&amp;$AC34))</f>
        <v>#N/A</v>
      </c>
      <c r="AL34" t="e" cm="1">
        <f t="array" aca="1" ref="AL34" ca="1">IF(INDIRECT(AL$13&amp;$AC34)=0,NA(),INDIRECT(AL$13&amp;$AC34))</f>
        <v>#N/A</v>
      </c>
      <c r="AM34" t="e" cm="1">
        <f t="array" aca="1" ref="AM34" ca="1">IF(INDIRECT(AM$13&amp;$AC34)=0,NA(),INDIRECT(AM$13&amp;$AC34))</f>
        <v>#N/A</v>
      </c>
      <c r="AN34" t="e" cm="1">
        <f t="array" aca="1" ref="AN34" ca="1">IF(INDIRECT(AN$13&amp;$AC34)=0,NA(),INDIRECT(AN$13&amp;$AC34))</f>
        <v>#N/A</v>
      </c>
      <c r="AO34" t="e" cm="1">
        <f t="array" aca="1" ref="AO34" ca="1">IF(INDIRECT(AO$13&amp;$AC34)=0,NA(),INDIRECT(AO$13&amp;$AC34))</f>
        <v>#N/A</v>
      </c>
      <c r="AP34" t="e" cm="1">
        <f t="array" aca="1" ref="AP34" ca="1">IF(INDIRECT(AP$13&amp;$AC34)=0,NA(),INDIRECT(AP$13&amp;$AC34))</f>
        <v>#N/A</v>
      </c>
      <c r="AQ34" t="e" cm="1">
        <f t="array" aca="1" ref="AQ34" ca="1">IF(INDIRECT(AQ$13&amp;$AC34)=0,NA(),INDIRECT(AQ$13&amp;$AC34))</f>
        <v>#N/A</v>
      </c>
      <c r="AR34" t="e" cm="1">
        <f t="array" aca="1" ref="AR34" ca="1">IF(INDIRECT(AR$13&amp;$AC34)=0,NA(),INDIRECT(AR$13&amp;$AC34))</f>
        <v>#N/A</v>
      </c>
      <c r="AS34" cm="1">
        <f t="array" aca="1" ref="AS34" ca="1">IF(INDIRECT(AS$13&amp;$AC34)=0,NA(),INDIRECT(AS$13&amp;$AC34))</f>
        <v>138479</v>
      </c>
    </row>
    <row r="35" spans="4:45" x14ac:dyDescent="0.25">
      <c r="D35" t="s">
        <v>16</v>
      </c>
      <c r="E35">
        <v>2015</v>
      </c>
      <c r="F35" t="s">
        <v>23</v>
      </c>
      <c r="S35">
        <v>18116096</v>
      </c>
      <c r="W35">
        <v>21</v>
      </c>
      <c r="X35" t="s">
        <v>54</v>
      </c>
      <c r="Y35">
        <f t="shared" si="2"/>
        <v>1095</v>
      </c>
      <c r="Z35">
        <f t="shared" si="3"/>
        <v>1148</v>
      </c>
      <c r="AC35" s="3">
        <f t="shared" si="4"/>
        <v>89</v>
      </c>
      <c r="AD35" t="str" cm="1">
        <f t="array" aca="1" ref="AD35" ca="1">IF(INDIRECT(AD$13&amp;$AC35)=0,NA(),INDIRECT(AD$13&amp;$AC35))</f>
        <v>01a</v>
      </c>
      <c r="AE35" cm="1">
        <f t="array" aca="1" ref="AE35" ca="1">IF(INDIRECT(AE$13&amp;$AC35)=0,NA(),INDIRECT(AE$13&amp;$AC35))</f>
        <v>2015</v>
      </c>
      <c r="AF35" t="str" cm="1">
        <f t="array" aca="1" ref="AF35" ca="1">IF(INDIRECT(AF$13&amp;$AC35)=0,NA(),INDIRECT(AF$13&amp;$AC35))</f>
        <v>nbappabo_cc</v>
      </c>
      <c r="AG35" t="e" cm="1">
        <f t="array" aca="1" ref="AG35" ca="1">IF(INDIRECT(AG$13&amp;$AC35)=0,NA(),INDIRECT(AG$13&amp;$AC35))</f>
        <v>#N/A</v>
      </c>
      <c r="AH35" t="e" cm="1">
        <f t="array" aca="1" ref="AH35" ca="1">IF(INDIRECT(AH$13&amp;$AC35)=0,NA(),INDIRECT(AH$13&amp;$AC35))</f>
        <v>#N/A</v>
      </c>
      <c r="AI35" t="e" cm="1">
        <f t="array" aca="1" ref="AI35" ca="1">IF(INDIRECT(AI$13&amp;$AC35)=0,NA(),INDIRECT(AI$13&amp;$AC35))</f>
        <v>#N/A</v>
      </c>
      <c r="AJ35" t="e" cm="1">
        <f t="array" aca="1" ref="AJ35" ca="1">IF(INDIRECT(AJ$13&amp;$AC35)=0,NA(),INDIRECT(AJ$13&amp;$AC35))</f>
        <v>#N/A</v>
      </c>
      <c r="AK35" t="e" cm="1">
        <f t="array" aca="1" ref="AK35" ca="1">IF(INDIRECT(AK$13&amp;$AC35)=0,NA(),INDIRECT(AK$13&amp;$AC35))</f>
        <v>#N/A</v>
      </c>
      <c r="AL35" t="e" cm="1">
        <f t="array" aca="1" ref="AL35" ca="1">IF(INDIRECT(AL$13&amp;$AC35)=0,NA(),INDIRECT(AL$13&amp;$AC35))</f>
        <v>#N/A</v>
      </c>
      <c r="AM35" t="e" cm="1">
        <f t="array" aca="1" ref="AM35" ca="1">IF(INDIRECT(AM$13&amp;$AC35)=0,NA(),INDIRECT(AM$13&amp;$AC35))</f>
        <v>#N/A</v>
      </c>
      <c r="AN35" t="e" cm="1">
        <f t="array" aca="1" ref="AN35" ca="1">IF(INDIRECT(AN$13&amp;$AC35)=0,NA(),INDIRECT(AN$13&amp;$AC35))</f>
        <v>#N/A</v>
      </c>
      <c r="AO35" t="e" cm="1">
        <f t="array" aca="1" ref="AO35" ca="1">IF(INDIRECT(AO$13&amp;$AC35)=0,NA(),INDIRECT(AO$13&amp;$AC35))</f>
        <v>#N/A</v>
      </c>
      <c r="AP35" t="e" cm="1">
        <f t="array" aca="1" ref="AP35" ca="1">IF(INDIRECT(AP$13&amp;$AC35)=0,NA(),INDIRECT(AP$13&amp;$AC35))</f>
        <v>#N/A</v>
      </c>
      <c r="AQ35" t="e" cm="1">
        <f t="array" aca="1" ref="AQ35" ca="1">IF(INDIRECT(AQ$13&amp;$AC35)=0,NA(),INDIRECT(AQ$13&amp;$AC35))</f>
        <v>#N/A</v>
      </c>
      <c r="AR35" t="e" cm="1">
        <f t="array" aca="1" ref="AR35" ca="1">IF(INDIRECT(AR$13&amp;$AC35)=0,NA(),INDIRECT(AR$13&amp;$AC35))</f>
        <v>#N/A</v>
      </c>
      <c r="AS35" cm="1">
        <f t="array" aca="1" ref="AS35" ca="1">IF(INDIRECT(AS$13&amp;$AC35)=0,NA(),INDIRECT(AS$13&amp;$AC35))</f>
        <v>145611</v>
      </c>
    </row>
    <row r="36" spans="4:45" x14ac:dyDescent="0.25">
      <c r="D36" t="s">
        <v>16</v>
      </c>
      <c r="E36">
        <v>2013</v>
      </c>
      <c r="F36" t="s">
        <v>24</v>
      </c>
      <c r="G36">
        <v>3722169</v>
      </c>
      <c r="H36">
        <v>3795007</v>
      </c>
      <c r="I36">
        <v>3062849</v>
      </c>
      <c r="J36">
        <v>2738084</v>
      </c>
      <c r="K36">
        <v>2719818</v>
      </c>
      <c r="L36">
        <v>2403371</v>
      </c>
      <c r="M36">
        <v>2581247</v>
      </c>
      <c r="N36">
        <v>2533940</v>
      </c>
      <c r="O36">
        <v>2897324</v>
      </c>
      <c r="P36">
        <v>2865073</v>
      </c>
      <c r="Q36">
        <v>2681277</v>
      </c>
      <c r="R36">
        <v>2636897</v>
      </c>
      <c r="W36">
        <v>22</v>
      </c>
      <c r="X36" t="s">
        <v>55</v>
      </c>
      <c r="Y36">
        <f t="shared" si="2"/>
        <v>1149</v>
      </c>
      <c r="Z36">
        <f t="shared" si="3"/>
        <v>1202</v>
      </c>
      <c r="AC36" s="3">
        <f t="shared" si="4"/>
        <v>90</v>
      </c>
      <c r="AD36" t="str" cm="1">
        <f t="array" aca="1" ref="AD36" ca="1">IF(INDIRECT(AD$13&amp;$AC36)=0,NA(),INDIRECT(AD$13&amp;$AC36))</f>
        <v>01a</v>
      </c>
      <c r="AE36" cm="1">
        <f t="array" aca="1" ref="AE36" ca="1">IF(INDIRECT(AE$13&amp;$AC36)=0,NA(),INDIRECT(AE$13&amp;$AC36))</f>
        <v>2013</v>
      </c>
      <c r="AF36" t="str" cm="1">
        <f t="array" aca="1" ref="AF36" ca="1">IF(INDIRECT(AF$13&amp;$AC36)=0,NA(),INDIRECT(AF$13&amp;$AC36))</f>
        <v>nbappabo_mm</v>
      </c>
      <c r="AG36" cm="1">
        <f t="array" aca="1" ref="AG36" ca="1">IF(INDIRECT(AG$13&amp;$AC36)=0,NA(),INDIRECT(AG$13&amp;$AC36))</f>
        <v>23642</v>
      </c>
      <c r="AH36" cm="1">
        <f t="array" aca="1" ref="AH36" ca="1">IF(INDIRECT(AH$13&amp;$AC36)=0,NA(),INDIRECT(AH$13&amp;$AC36))</f>
        <v>24600</v>
      </c>
      <c r="AI36" cm="1">
        <f t="array" aca="1" ref="AI36" ca="1">IF(INDIRECT(AI$13&amp;$AC36)=0,NA(),INDIRECT(AI$13&amp;$AC36))</f>
        <v>21698</v>
      </c>
      <c r="AJ36" cm="1">
        <f t="array" aca="1" ref="AJ36" ca="1">IF(INDIRECT(AJ$13&amp;$AC36)=0,NA(),INDIRECT(AJ$13&amp;$AC36))</f>
        <v>18665</v>
      </c>
      <c r="AK36" cm="1">
        <f t="array" aca="1" ref="AK36" ca="1">IF(INDIRECT(AK$13&amp;$AC36)=0,NA(),INDIRECT(AK$13&amp;$AC36))</f>
        <v>17657</v>
      </c>
      <c r="AL36" cm="1">
        <f t="array" aca="1" ref="AL36" ca="1">IF(INDIRECT(AL$13&amp;$AC36)=0,NA(),INDIRECT(AL$13&amp;$AC36))</f>
        <v>15095</v>
      </c>
      <c r="AM36" cm="1">
        <f t="array" aca="1" ref="AM36" ca="1">IF(INDIRECT(AM$13&amp;$AC36)=0,NA(),INDIRECT(AM$13&amp;$AC36))</f>
        <v>17181</v>
      </c>
      <c r="AN36" s="5" cm="1">
        <f t="array" aca="1" ref="AN36" ca="1">IF(INDIRECT(AN$13&amp;$AC36)=0,NA(),INDIRECT(AN$13&amp;$AC36))</f>
        <v>16220</v>
      </c>
      <c r="AO36" s="5" cm="1">
        <f t="array" aca="1" ref="AO36" ca="1">IF(INDIRECT(AO$13&amp;$AC36)=0,NA(),INDIRECT(AO$13&amp;$AC36))</f>
        <v>19976</v>
      </c>
      <c r="AP36" s="5" cm="1">
        <f t="array" aca="1" ref="AP36" ca="1">IF(INDIRECT(AP$13&amp;$AC36)=0,NA(),INDIRECT(AP$13&amp;$AC36))</f>
        <v>19698</v>
      </c>
      <c r="AQ36" s="5" cm="1">
        <f t="array" aca="1" ref="AQ36" ca="1">IF(INDIRECT(AQ$13&amp;$AC36)=0,NA(),INDIRECT(AQ$13&amp;$AC36))</f>
        <v>18142</v>
      </c>
      <c r="AR36" s="5" cm="1">
        <f t="array" aca="1" ref="AR36" ca="1">IF(INDIRECT(AR$13&amp;$AC36)=0,NA(),INDIRECT(AR$13&amp;$AC36))</f>
        <v>16937</v>
      </c>
      <c r="AS36" t="e" cm="1">
        <f t="array" aca="1" ref="AS36" ca="1">IF(INDIRECT(AS$13&amp;$AC36)=0,NA(),INDIRECT(AS$13&amp;$AC36))</f>
        <v>#N/A</v>
      </c>
    </row>
    <row r="37" spans="4:45" x14ac:dyDescent="0.25">
      <c r="D37" t="s">
        <v>16</v>
      </c>
      <c r="E37">
        <v>2014</v>
      </c>
      <c r="F37" t="s">
        <v>24</v>
      </c>
      <c r="G37">
        <v>3081777</v>
      </c>
      <c r="H37">
        <v>3099575</v>
      </c>
      <c r="I37">
        <v>2693926</v>
      </c>
      <c r="J37">
        <v>2437927</v>
      </c>
      <c r="K37">
        <v>2453625</v>
      </c>
      <c r="L37">
        <v>2457682</v>
      </c>
      <c r="M37">
        <v>2690362</v>
      </c>
      <c r="N37">
        <v>2549451</v>
      </c>
      <c r="O37">
        <v>3369402</v>
      </c>
      <c r="P37">
        <v>2919375</v>
      </c>
      <c r="Q37">
        <v>2546330</v>
      </c>
      <c r="R37">
        <v>2668942</v>
      </c>
      <c r="W37">
        <v>23</v>
      </c>
      <c r="X37" t="s">
        <v>56</v>
      </c>
      <c r="Y37">
        <f t="shared" si="2"/>
        <v>1203</v>
      </c>
      <c r="Z37">
        <f t="shared" si="3"/>
        <v>1256</v>
      </c>
      <c r="AC37" s="3">
        <f t="shared" si="4"/>
        <v>91</v>
      </c>
      <c r="AD37" t="str" cm="1">
        <f t="array" aca="1" ref="AD37" ca="1">IF(INDIRECT(AD$13&amp;$AC37)=0,NA(),INDIRECT(AD$13&amp;$AC37))</f>
        <v>01a</v>
      </c>
      <c r="AE37" cm="1">
        <f t="array" aca="1" ref="AE37" ca="1">IF(INDIRECT(AE$13&amp;$AC37)=0,NA(),INDIRECT(AE$13&amp;$AC37))</f>
        <v>2014</v>
      </c>
      <c r="AF37" t="str" cm="1">
        <f t="array" aca="1" ref="AF37" ca="1">IF(INDIRECT(AF$13&amp;$AC37)=0,NA(),INDIRECT(AF$13&amp;$AC37))</f>
        <v>nbappabo_mm</v>
      </c>
      <c r="AG37" s="5" cm="1">
        <f t="array" aca="1" ref="AG37" ca="1">IF(INDIRECT(AG$13&amp;$AC37)=0,NA(),INDIRECT(AG$13&amp;$AC37))</f>
        <v>23158</v>
      </c>
      <c r="AH37" s="5" cm="1">
        <f t="array" aca="1" ref="AH37" ca="1">IF(INDIRECT(AH$13&amp;$AC37)=0,NA(),INDIRECT(AH$13&amp;$AC37))</f>
        <v>23987</v>
      </c>
      <c r="AI37" s="5" cm="1">
        <f t="array" aca="1" ref="AI37" ca="1">IF(INDIRECT(AI$13&amp;$AC37)=0,NA(),INDIRECT(AI$13&amp;$AC37))</f>
        <v>20624</v>
      </c>
      <c r="AJ37" s="5" cm="1">
        <f t="array" aca="1" ref="AJ37" ca="1">IF(INDIRECT(AJ$13&amp;$AC37)=0,NA(),INDIRECT(AJ$13&amp;$AC37))</f>
        <v>17438</v>
      </c>
      <c r="AK37" s="5" cm="1">
        <f t="array" aca="1" ref="AK37" ca="1">IF(INDIRECT(AK$13&amp;$AC37)=0,NA(),INDIRECT(AK$13&amp;$AC37))</f>
        <v>16602</v>
      </c>
      <c r="AL37" s="5" cm="1">
        <f t="array" aca="1" ref="AL37" ca="1">IF(INDIRECT(AL$13&amp;$AC37)=0,NA(),INDIRECT(AL$13&amp;$AC37))</f>
        <v>16676</v>
      </c>
      <c r="AM37" s="5" cm="1">
        <f t="array" aca="1" ref="AM37" ca="1">IF(INDIRECT(AM$13&amp;$AC37)=0,NA(),INDIRECT(AM$13&amp;$AC37))</f>
        <v>19994</v>
      </c>
      <c r="AN37" s="4" cm="1">
        <f t="array" aca="1" ref="AN37" ca="1">IF(INDIRECT(AN$13&amp;$AC37)=0,NA(),INDIRECT(AN$13&amp;$AC37))</f>
        <v>18533</v>
      </c>
      <c r="AO37" s="4" cm="1">
        <f t="array" aca="1" ref="AO37" ca="1">IF(INDIRECT(AO$13&amp;$AC37)=0,NA(),INDIRECT(AO$13&amp;$AC37))</f>
        <v>26798</v>
      </c>
      <c r="AP37" s="4" cm="1">
        <f t="array" aca="1" ref="AP37" ca="1">IF(INDIRECT(AP$13&amp;$AC37)=0,NA(),INDIRECT(AP$13&amp;$AC37))</f>
        <v>21615</v>
      </c>
      <c r="AQ37" s="4" cm="1">
        <f t="array" aca="1" ref="AQ37" ca="1">IF(INDIRECT(AQ$13&amp;$AC37)=0,NA(),INDIRECT(AQ$13&amp;$AC37))</f>
        <v>18938</v>
      </c>
      <c r="AR37" s="4" cm="1">
        <f t="array" aca="1" ref="AR37" ca="1">IF(INDIRECT(AR$13&amp;$AC37)=0,NA(),INDIRECT(AR$13&amp;$AC37))</f>
        <v>18681</v>
      </c>
      <c r="AS37" t="e" cm="1">
        <f t="array" aca="1" ref="AS37" ca="1">IF(INDIRECT(AS$13&amp;$AC37)=0,NA(),INDIRECT(AS$13&amp;$AC37))</f>
        <v>#N/A</v>
      </c>
    </row>
    <row r="38" spans="4:45" x14ac:dyDescent="0.25">
      <c r="D38" t="s">
        <v>16</v>
      </c>
      <c r="E38">
        <v>2015</v>
      </c>
      <c r="F38" t="s">
        <v>24</v>
      </c>
      <c r="G38">
        <v>2787136</v>
      </c>
      <c r="H38">
        <v>2770296</v>
      </c>
      <c r="I38">
        <v>2740400</v>
      </c>
      <c r="J38">
        <v>2453567</v>
      </c>
      <c r="K38">
        <v>2171119</v>
      </c>
      <c r="L38">
        <v>2541703</v>
      </c>
      <c r="M38">
        <v>2651875</v>
      </c>
      <c r="W38">
        <v>24</v>
      </c>
      <c r="X38" t="s">
        <v>57</v>
      </c>
      <c r="Y38">
        <f t="shared" si="2"/>
        <v>1257</v>
      </c>
      <c r="Z38">
        <f t="shared" si="3"/>
        <v>1310</v>
      </c>
      <c r="AC38" s="3">
        <f t="shared" si="4"/>
        <v>92</v>
      </c>
      <c r="AD38" t="str" cm="1">
        <f t="array" aca="1" ref="AD38" ca="1">IF(INDIRECT(AD$13&amp;$AC38)=0,NA(),INDIRECT(AD$13&amp;$AC38))</f>
        <v>01a</v>
      </c>
      <c r="AE38" cm="1">
        <f t="array" aca="1" ref="AE38" ca="1">IF(INDIRECT(AE$13&amp;$AC38)=0,NA(),INDIRECT(AE$13&amp;$AC38))</f>
        <v>2015</v>
      </c>
      <c r="AF38" t="str" cm="1">
        <f t="array" aca="1" ref="AF38" ca="1">IF(INDIRECT(AF$13&amp;$AC38)=0,NA(),INDIRECT(AF$13&amp;$AC38))</f>
        <v>nbappabo_mm</v>
      </c>
      <c r="AG38" s="4" cm="1">
        <f t="array" aca="1" ref="AG38" ca="1">IF(INDIRECT(AG$13&amp;$AC38)=0,NA(),INDIRECT(AG$13&amp;$AC38))</f>
        <v>21746</v>
      </c>
      <c r="AH38" s="4" cm="1">
        <f t="array" aca="1" ref="AH38" ca="1">IF(INDIRECT(AH$13&amp;$AC38)=0,NA(),INDIRECT(AH$13&amp;$AC38))</f>
        <v>22184</v>
      </c>
      <c r="AI38" s="4" cm="1">
        <f t="array" aca="1" ref="AI38" ca="1">IF(INDIRECT(AI$13&amp;$AC38)=0,NA(),INDIRECT(AI$13&amp;$AC38))</f>
        <v>24893</v>
      </c>
      <c r="AJ38" s="4" cm="1">
        <f t="array" aca="1" ref="AJ38" ca="1">IF(INDIRECT(AJ$13&amp;$AC38)=0,NA(),INDIRECT(AJ$13&amp;$AC38))</f>
        <v>20708</v>
      </c>
      <c r="AK38" s="4" cm="1">
        <f t="array" aca="1" ref="AK38" ca="1">IF(INDIRECT(AK$13&amp;$AC38)=0,NA(),INDIRECT(AK$13&amp;$AC38))</f>
        <v>17612</v>
      </c>
      <c r="AL38" s="4" cm="1">
        <f t="array" aca="1" ref="AL38" ca="1">IF(INDIRECT(AL$13&amp;$AC38)=0,NA(),INDIRECT(AL$13&amp;$AC38))</f>
        <v>18999</v>
      </c>
      <c r="AM38" s="4" cm="1">
        <f t="array" aca="1" ref="AM38" ca="1">IF(INDIRECT(AM$13&amp;$AC38)=0,NA(),INDIRECT(AM$13&amp;$AC38))</f>
        <v>19469</v>
      </c>
      <c r="AN38" t="e" cm="1">
        <f t="array" aca="1" ref="AN38" ca="1">IF(INDIRECT(AN$13&amp;$AC38)=0,NA(),INDIRECT(AN$13&amp;$AC38))</f>
        <v>#N/A</v>
      </c>
      <c r="AO38" t="e" cm="1">
        <f t="array" aca="1" ref="AO38" ca="1">IF(INDIRECT(AO$13&amp;$AC38)=0,NA(),INDIRECT(AO$13&amp;$AC38))</f>
        <v>#N/A</v>
      </c>
      <c r="AP38" t="e" cm="1">
        <f t="array" aca="1" ref="AP38" ca="1">IF(INDIRECT(AP$13&amp;$AC38)=0,NA(),INDIRECT(AP$13&amp;$AC38))</f>
        <v>#N/A</v>
      </c>
      <c r="AQ38" t="e" cm="1">
        <f t="array" aca="1" ref="AQ38" ca="1">IF(INDIRECT(AQ$13&amp;$AC38)=0,NA(),INDIRECT(AQ$13&amp;$AC38))</f>
        <v>#N/A</v>
      </c>
      <c r="AR38" t="e" cm="1">
        <f t="array" aca="1" ref="AR38" ca="1">IF(INDIRECT(AR$13&amp;$AC38)=0,NA(),INDIRECT(AR$13&amp;$AC38))</f>
        <v>#N/A</v>
      </c>
      <c r="AS38" t="e" cm="1">
        <f t="array" aca="1" ref="AS38" ca="1">IF(INDIRECT(AS$13&amp;$AC38)=0,NA(),INDIRECT(AS$13&amp;$AC38))</f>
        <v>#N/A</v>
      </c>
    </row>
    <row r="39" spans="4:45" x14ac:dyDescent="0.25">
      <c r="D39" t="s">
        <v>16</v>
      </c>
      <c r="E39">
        <v>2013</v>
      </c>
      <c r="F39" t="s">
        <v>25</v>
      </c>
      <c r="S39">
        <v>45302301</v>
      </c>
      <c r="W39">
        <v>25</v>
      </c>
      <c r="X39" t="s">
        <v>58</v>
      </c>
      <c r="Y39">
        <f t="shared" si="2"/>
        <v>1311</v>
      </c>
      <c r="Z39">
        <f t="shared" si="3"/>
        <v>1364</v>
      </c>
      <c r="AC39" s="3">
        <f t="shared" si="4"/>
        <v>93</v>
      </c>
      <c r="AD39" t="str" cm="1">
        <f t="array" aca="1" ref="AD39" ca="1">IF(INDIRECT(AD$13&amp;$AC39)=0,NA(),INDIRECT(AD$13&amp;$AC39))</f>
        <v>01a</v>
      </c>
      <c r="AE39" cm="1">
        <f t="array" aca="1" ref="AE39" ca="1">IF(INDIRECT(AE$13&amp;$AC39)=0,NA(),INDIRECT(AE$13&amp;$AC39))</f>
        <v>2013</v>
      </c>
      <c r="AF39" t="str" cm="1">
        <f t="array" aca="1" ref="AF39" ca="1">IF(INDIRECT(AF$13&amp;$AC39)=0,NA(),INDIRECT(AF$13&amp;$AC39))</f>
        <v>nbcourriers_cc</v>
      </c>
      <c r="AG39" t="e" cm="1">
        <f t="array" aca="1" ref="AG39" ca="1">IF(INDIRECT(AG$13&amp;$AC39)=0,NA(),INDIRECT(AG$13&amp;$AC39))</f>
        <v>#N/A</v>
      </c>
      <c r="AH39" t="e" cm="1">
        <f t="array" aca="1" ref="AH39" ca="1">IF(INDIRECT(AH$13&amp;$AC39)=0,NA(),INDIRECT(AH$13&amp;$AC39))</f>
        <v>#N/A</v>
      </c>
      <c r="AI39" t="e" cm="1">
        <f t="array" aca="1" ref="AI39" ca="1">IF(INDIRECT(AI$13&amp;$AC39)=0,NA(),INDIRECT(AI$13&amp;$AC39))</f>
        <v>#N/A</v>
      </c>
      <c r="AJ39" t="e" cm="1">
        <f t="array" aca="1" ref="AJ39" ca="1">IF(INDIRECT(AJ$13&amp;$AC39)=0,NA(),INDIRECT(AJ$13&amp;$AC39))</f>
        <v>#N/A</v>
      </c>
      <c r="AK39" t="e" cm="1">
        <f t="array" aca="1" ref="AK39" ca="1">IF(INDIRECT(AK$13&amp;$AC39)=0,NA(),INDIRECT(AK$13&amp;$AC39))</f>
        <v>#N/A</v>
      </c>
      <c r="AL39" t="e" cm="1">
        <f t="array" aca="1" ref="AL39" ca="1">IF(INDIRECT(AL$13&amp;$AC39)=0,NA(),INDIRECT(AL$13&amp;$AC39))</f>
        <v>#N/A</v>
      </c>
      <c r="AM39" t="e" cm="1">
        <f t="array" aca="1" ref="AM39" ca="1">IF(INDIRECT(AM$13&amp;$AC39)=0,NA(),INDIRECT(AM$13&amp;$AC39))</f>
        <v>#N/A</v>
      </c>
      <c r="AN39" t="e" cm="1">
        <f t="array" aca="1" ref="AN39" ca="1">IF(INDIRECT(AN$13&amp;$AC39)=0,NA(),INDIRECT(AN$13&amp;$AC39))</f>
        <v>#N/A</v>
      </c>
      <c r="AO39" t="e" cm="1">
        <f t="array" aca="1" ref="AO39" ca="1">IF(INDIRECT(AO$13&amp;$AC39)=0,NA(),INDIRECT(AO$13&amp;$AC39))</f>
        <v>#N/A</v>
      </c>
      <c r="AP39" t="e" cm="1">
        <f t="array" aca="1" ref="AP39" ca="1">IF(INDIRECT(AP$13&amp;$AC39)=0,NA(),INDIRECT(AP$13&amp;$AC39))</f>
        <v>#N/A</v>
      </c>
      <c r="AQ39" t="e" cm="1">
        <f t="array" aca="1" ref="AQ39" ca="1">IF(INDIRECT(AQ$13&amp;$AC39)=0,NA(),INDIRECT(AQ$13&amp;$AC39))</f>
        <v>#N/A</v>
      </c>
      <c r="AR39" t="e" cm="1">
        <f t="array" aca="1" ref="AR39" ca="1">IF(INDIRECT(AR$13&amp;$AC39)=0,NA(),INDIRECT(AR$13&amp;$AC39))</f>
        <v>#N/A</v>
      </c>
      <c r="AS39" cm="1">
        <f t="array" aca="1" ref="AS39" ca="1">IF(INDIRECT(AS$13&amp;$AC39)=0,NA(),INDIRECT(AS$13&amp;$AC39))</f>
        <v>341756</v>
      </c>
    </row>
    <row r="40" spans="4:45" x14ac:dyDescent="0.25">
      <c r="D40" t="s">
        <v>16</v>
      </c>
      <c r="E40">
        <v>2014</v>
      </c>
      <c r="F40" t="s">
        <v>25</v>
      </c>
      <c r="S40">
        <v>47174751</v>
      </c>
      <c r="W40">
        <v>26</v>
      </c>
      <c r="X40" t="s">
        <v>59</v>
      </c>
      <c r="Y40">
        <f t="shared" si="2"/>
        <v>1365</v>
      </c>
      <c r="Z40">
        <f t="shared" si="3"/>
        <v>1418</v>
      </c>
      <c r="AC40" s="3">
        <f t="shared" si="4"/>
        <v>94</v>
      </c>
      <c r="AD40" t="str" cm="1">
        <f t="array" aca="1" ref="AD40" ca="1">IF(INDIRECT(AD$13&amp;$AC40)=0,NA(),INDIRECT(AD$13&amp;$AC40))</f>
        <v>01a</v>
      </c>
      <c r="AE40" cm="1">
        <f t="array" aca="1" ref="AE40" ca="1">IF(INDIRECT(AE$13&amp;$AC40)=0,NA(),INDIRECT(AE$13&amp;$AC40))</f>
        <v>2014</v>
      </c>
      <c r="AF40" t="str" cm="1">
        <f t="array" aca="1" ref="AF40" ca="1">IF(INDIRECT(AF$13&amp;$AC40)=0,NA(),INDIRECT(AF$13&amp;$AC40))</f>
        <v>nbcourriers_cc</v>
      </c>
      <c r="AG40" t="e" cm="1">
        <f t="array" aca="1" ref="AG40" ca="1">IF(INDIRECT(AG$13&amp;$AC40)=0,NA(),INDIRECT(AG$13&amp;$AC40))</f>
        <v>#N/A</v>
      </c>
      <c r="AH40" t="e" cm="1">
        <f t="array" aca="1" ref="AH40" ca="1">IF(INDIRECT(AH$13&amp;$AC40)=0,NA(),INDIRECT(AH$13&amp;$AC40))</f>
        <v>#N/A</v>
      </c>
      <c r="AI40" t="e" cm="1">
        <f t="array" aca="1" ref="AI40" ca="1">IF(INDIRECT(AI$13&amp;$AC40)=0,NA(),INDIRECT(AI$13&amp;$AC40))</f>
        <v>#N/A</v>
      </c>
      <c r="AJ40" t="e" cm="1">
        <f t="array" aca="1" ref="AJ40" ca="1">IF(INDIRECT(AJ$13&amp;$AC40)=0,NA(),INDIRECT(AJ$13&amp;$AC40))</f>
        <v>#N/A</v>
      </c>
      <c r="AK40" t="e" cm="1">
        <f t="array" aca="1" ref="AK40" ca="1">IF(INDIRECT(AK$13&amp;$AC40)=0,NA(),INDIRECT(AK$13&amp;$AC40))</f>
        <v>#N/A</v>
      </c>
      <c r="AL40" t="e" cm="1">
        <f t="array" aca="1" ref="AL40" ca="1">IF(INDIRECT(AL$13&amp;$AC40)=0,NA(),INDIRECT(AL$13&amp;$AC40))</f>
        <v>#N/A</v>
      </c>
      <c r="AM40" t="e" cm="1">
        <f t="array" aca="1" ref="AM40" ca="1">IF(INDIRECT(AM$13&amp;$AC40)=0,NA(),INDIRECT(AM$13&amp;$AC40))</f>
        <v>#N/A</v>
      </c>
      <c r="AN40" t="e" cm="1">
        <f t="array" aca="1" ref="AN40" ca="1">IF(INDIRECT(AN$13&amp;$AC40)=0,NA(),INDIRECT(AN$13&amp;$AC40))</f>
        <v>#N/A</v>
      </c>
      <c r="AO40" t="e" cm="1">
        <f t="array" aca="1" ref="AO40" ca="1">IF(INDIRECT(AO$13&amp;$AC40)=0,NA(),INDIRECT(AO$13&amp;$AC40))</f>
        <v>#N/A</v>
      </c>
      <c r="AP40" t="e" cm="1">
        <f t="array" aca="1" ref="AP40" ca="1">IF(INDIRECT(AP$13&amp;$AC40)=0,NA(),INDIRECT(AP$13&amp;$AC40))</f>
        <v>#N/A</v>
      </c>
      <c r="AQ40" t="e" cm="1">
        <f t="array" aca="1" ref="AQ40" ca="1">IF(INDIRECT(AQ$13&amp;$AC40)=0,NA(),INDIRECT(AQ$13&amp;$AC40))</f>
        <v>#N/A</v>
      </c>
      <c r="AR40" t="e" cm="1">
        <f t="array" aca="1" ref="AR40" ca="1">IF(INDIRECT(AR$13&amp;$AC40)=0,NA(),INDIRECT(AR$13&amp;$AC40))</f>
        <v>#N/A</v>
      </c>
      <c r="AS40" cm="1">
        <f t="array" aca="1" ref="AS40" ca="1">IF(INDIRECT(AS$13&amp;$AC40)=0,NA(),INDIRECT(AS$13&amp;$AC40))</f>
        <v>325674</v>
      </c>
    </row>
    <row r="41" spans="4:45" x14ac:dyDescent="0.25">
      <c r="D41" t="s">
        <v>16</v>
      </c>
      <c r="E41">
        <v>2015</v>
      </c>
      <c r="F41" t="s">
        <v>25</v>
      </c>
      <c r="S41">
        <v>52185995</v>
      </c>
      <c r="W41">
        <v>27</v>
      </c>
      <c r="X41" t="s">
        <v>60</v>
      </c>
      <c r="Y41">
        <f t="shared" si="2"/>
        <v>1419</v>
      </c>
      <c r="Z41">
        <f t="shared" si="3"/>
        <v>1472</v>
      </c>
      <c r="AC41" s="3">
        <f t="shared" si="4"/>
        <v>95</v>
      </c>
      <c r="AD41" t="str" cm="1">
        <f t="array" aca="1" ref="AD41" ca="1">IF(INDIRECT(AD$13&amp;$AC41)=0,NA(),INDIRECT(AD$13&amp;$AC41))</f>
        <v>01a</v>
      </c>
      <c r="AE41" cm="1">
        <f t="array" aca="1" ref="AE41" ca="1">IF(INDIRECT(AE$13&amp;$AC41)=0,NA(),INDIRECT(AE$13&amp;$AC41))</f>
        <v>2015</v>
      </c>
      <c r="AF41" t="str" cm="1">
        <f t="array" aca="1" ref="AF41" ca="1">IF(INDIRECT(AF$13&amp;$AC41)=0,NA(),INDIRECT(AF$13&amp;$AC41))</f>
        <v>nbcourriers_cc</v>
      </c>
      <c r="AG41" t="e" cm="1">
        <f t="array" aca="1" ref="AG41" ca="1">IF(INDIRECT(AG$13&amp;$AC41)=0,NA(),INDIRECT(AG$13&amp;$AC41))</f>
        <v>#N/A</v>
      </c>
      <c r="AH41" t="e" cm="1">
        <f t="array" aca="1" ref="AH41" ca="1">IF(INDIRECT(AH$13&amp;$AC41)=0,NA(),INDIRECT(AH$13&amp;$AC41))</f>
        <v>#N/A</v>
      </c>
      <c r="AI41" t="e" cm="1">
        <f t="array" aca="1" ref="AI41" ca="1">IF(INDIRECT(AI$13&amp;$AC41)=0,NA(),INDIRECT(AI$13&amp;$AC41))</f>
        <v>#N/A</v>
      </c>
      <c r="AJ41" t="e" cm="1">
        <f t="array" aca="1" ref="AJ41" ca="1">IF(INDIRECT(AJ$13&amp;$AC41)=0,NA(),INDIRECT(AJ$13&amp;$AC41))</f>
        <v>#N/A</v>
      </c>
      <c r="AK41" t="e" cm="1">
        <f t="array" aca="1" ref="AK41" ca="1">IF(INDIRECT(AK$13&amp;$AC41)=0,NA(),INDIRECT(AK$13&amp;$AC41))</f>
        <v>#N/A</v>
      </c>
      <c r="AL41" t="e" cm="1">
        <f t="array" aca="1" ref="AL41" ca="1">IF(INDIRECT(AL$13&amp;$AC41)=0,NA(),INDIRECT(AL$13&amp;$AC41))</f>
        <v>#N/A</v>
      </c>
      <c r="AM41" t="e" cm="1">
        <f t="array" aca="1" ref="AM41" ca="1">IF(INDIRECT(AM$13&amp;$AC41)=0,NA(),INDIRECT(AM$13&amp;$AC41))</f>
        <v>#N/A</v>
      </c>
      <c r="AN41" t="e" cm="1">
        <f t="array" aca="1" ref="AN41" ca="1">IF(INDIRECT(AN$13&amp;$AC41)=0,NA(),INDIRECT(AN$13&amp;$AC41))</f>
        <v>#N/A</v>
      </c>
      <c r="AO41" t="e" cm="1">
        <f t="array" aca="1" ref="AO41" ca="1">IF(INDIRECT(AO$13&amp;$AC41)=0,NA(),INDIRECT(AO$13&amp;$AC41))</f>
        <v>#N/A</v>
      </c>
      <c r="AP41" t="e" cm="1">
        <f t="array" aca="1" ref="AP41" ca="1">IF(INDIRECT(AP$13&amp;$AC41)=0,NA(),INDIRECT(AP$13&amp;$AC41))</f>
        <v>#N/A</v>
      </c>
      <c r="AQ41" t="e" cm="1">
        <f t="array" aca="1" ref="AQ41" ca="1">IF(INDIRECT(AQ$13&amp;$AC41)=0,NA(),INDIRECT(AQ$13&amp;$AC41))</f>
        <v>#N/A</v>
      </c>
      <c r="AR41" t="e" cm="1">
        <f t="array" aca="1" ref="AR41" ca="1">IF(INDIRECT(AR$13&amp;$AC41)=0,NA(),INDIRECT(AR$13&amp;$AC41))</f>
        <v>#N/A</v>
      </c>
      <c r="AS41" cm="1">
        <f t="array" aca="1" ref="AS41" ca="1">IF(INDIRECT(AS$13&amp;$AC41)=0,NA(),INDIRECT(AS$13&amp;$AC41))</f>
        <v>359288</v>
      </c>
    </row>
    <row r="42" spans="4:45" x14ac:dyDescent="0.25">
      <c r="D42" t="s">
        <v>16</v>
      </c>
      <c r="E42">
        <v>2013</v>
      </c>
      <c r="F42" t="s">
        <v>26</v>
      </c>
      <c r="G42">
        <v>7870380</v>
      </c>
      <c r="H42">
        <v>6504075</v>
      </c>
      <c r="I42">
        <v>6324662</v>
      </c>
      <c r="J42">
        <v>6059960</v>
      </c>
      <c r="K42">
        <v>5616371</v>
      </c>
      <c r="L42">
        <v>6129818</v>
      </c>
      <c r="M42">
        <v>6797035</v>
      </c>
      <c r="N42">
        <v>6166342</v>
      </c>
      <c r="O42">
        <v>7871469</v>
      </c>
      <c r="P42">
        <v>8611527</v>
      </c>
      <c r="Q42">
        <v>7876854</v>
      </c>
      <c r="R42">
        <v>8020474</v>
      </c>
      <c r="W42">
        <v>28</v>
      </c>
      <c r="X42" t="s">
        <v>61</v>
      </c>
      <c r="Y42">
        <f t="shared" si="2"/>
        <v>1473</v>
      </c>
      <c r="Z42">
        <f t="shared" si="3"/>
        <v>1526</v>
      </c>
      <c r="AC42" s="3">
        <f t="shared" si="4"/>
        <v>96</v>
      </c>
      <c r="AD42" t="str" cm="1">
        <f t="array" aca="1" ref="AD42" ca="1">IF(INDIRECT(AD$13&amp;$AC42)=0,NA(),INDIRECT(AD$13&amp;$AC42))</f>
        <v>01a</v>
      </c>
      <c r="AE42" cm="1">
        <f t="array" aca="1" ref="AE42" ca="1">IF(INDIRECT(AE$13&amp;$AC42)=0,NA(),INDIRECT(AE$13&amp;$AC42))</f>
        <v>2013</v>
      </c>
      <c r="AF42" t="str" cm="1">
        <f t="array" aca="1" ref="AF42" ca="1">IF(INDIRECT(AF$13&amp;$AC42)=0,NA(),INDIRECT(AF$13&amp;$AC42))</f>
        <v>nbcourriers_mm</v>
      </c>
      <c r="AG42" cm="1">
        <f t="array" aca="1" ref="AG42" ca="1">IF(INDIRECT(AG$13&amp;$AC42)=0,NA(),INDIRECT(AG$13&amp;$AC42))</f>
        <v>60546</v>
      </c>
      <c r="AH42" cm="1">
        <f t="array" aca="1" ref="AH42" ca="1">IF(INDIRECT(AH$13&amp;$AC42)=0,NA(),INDIRECT(AH$13&amp;$AC42))</f>
        <v>51467</v>
      </c>
      <c r="AI42" cm="1">
        <f t="array" aca="1" ref="AI42" ca="1">IF(INDIRECT(AI$13&amp;$AC42)=0,NA(),INDIRECT(AI$13&amp;$AC42))</f>
        <v>46712</v>
      </c>
      <c r="AJ42" cm="1">
        <f t="array" aca="1" ref="AJ42" ca="1">IF(INDIRECT(AJ$13&amp;$AC42)=0,NA(),INDIRECT(AJ$13&amp;$AC42))</f>
        <v>43869</v>
      </c>
      <c r="AK42" cm="1">
        <f t="array" aca="1" ref="AK42" ca="1">IF(INDIRECT(AK$13&amp;$AC42)=0,NA(),INDIRECT(AK$13&amp;$AC42))</f>
        <v>44750</v>
      </c>
      <c r="AL42" cm="1">
        <f t="array" aca="1" ref="AL42" ca="1">IF(INDIRECT(AL$13&amp;$AC42)=0,NA(),INDIRECT(AL$13&amp;$AC42))</f>
        <v>47173</v>
      </c>
      <c r="AM42" cm="1">
        <f t="array" aca="1" ref="AM42" ca="1">IF(INDIRECT(AM$13&amp;$AC42)=0,NA(),INDIRECT(AM$13&amp;$AC42))</f>
        <v>47239</v>
      </c>
      <c r="AN42" s="5" cm="1">
        <f t="array" aca="1" ref="AN42" ca="1">IF(INDIRECT(AN$13&amp;$AC42)=0,NA(),INDIRECT(AN$13&amp;$AC42))</f>
        <v>39265</v>
      </c>
      <c r="AO42" s="5" cm="1">
        <f t="array" aca="1" ref="AO42" ca="1">IF(INDIRECT(AO$13&amp;$AC42)=0,NA(),INDIRECT(AO$13&amp;$AC42))</f>
        <v>55571</v>
      </c>
      <c r="AP42" s="5" cm="1">
        <f t="array" aca="1" ref="AP42" ca="1">IF(INDIRECT(AP$13&amp;$AC42)=0,NA(),INDIRECT(AP$13&amp;$AC42))</f>
        <v>58798</v>
      </c>
      <c r="AQ42" s="5" cm="1">
        <f t="array" aca="1" ref="AQ42" ca="1">IF(INDIRECT(AQ$13&amp;$AC42)=0,NA(),INDIRECT(AQ$13&amp;$AC42))</f>
        <v>46970</v>
      </c>
      <c r="AR42" s="5" cm="1">
        <f t="array" aca="1" ref="AR42" ca="1">IF(INDIRECT(AR$13&amp;$AC42)=0,NA(),INDIRECT(AR$13&amp;$AC42))</f>
        <v>50829</v>
      </c>
      <c r="AS42" t="e" cm="1">
        <f t="array" aca="1" ref="AS42" ca="1">IF(INDIRECT(AS$13&amp;$AC42)=0,NA(),INDIRECT(AS$13&amp;$AC42))</f>
        <v>#N/A</v>
      </c>
    </row>
    <row r="43" spans="4:45" x14ac:dyDescent="0.25">
      <c r="D43" t="s">
        <v>16</v>
      </c>
      <c r="E43">
        <v>2014</v>
      </c>
      <c r="F43" t="s">
        <v>26</v>
      </c>
      <c r="G43">
        <v>8206649</v>
      </c>
      <c r="H43">
        <v>7021385</v>
      </c>
      <c r="I43">
        <v>6505347</v>
      </c>
      <c r="J43">
        <v>6363251</v>
      </c>
      <c r="K43">
        <v>5886743</v>
      </c>
      <c r="L43">
        <v>6268468</v>
      </c>
      <c r="M43">
        <v>6922908</v>
      </c>
      <c r="N43">
        <v>6563880</v>
      </c>
      <c r="O43">
        <v>8041653</v>
      </c>
      <c r="P43">
        <v>8448816</v>
      </c>
      <c r="Q43">
        <v>7939495</v>
      </c>
      <c r="R43">
        <v>8838654</v>
      </c>
      <c r="W43">
        <v>29</v>
      </c>
      <c r="X43" t="s">
        <v>62</v>
      </c>
      <c r="Y43">
        <f t="shared" si="2"/>
        <v>1527</v>
      </c>
      <c r="Z43">
        <f t="shared" si="3"/>
        <v>1580</v>
      </c>
      <c r="AC43" s="3">
        <f t="shared" si="4"/>
        <v>97</v>
      </c>
      <c r="AD43" t="str" cm="1">
        <f t="array" aca="1" ref="AD43" ca="1">IF(INDIRECT(AD$13&amp;$AC43)=0,NA(),INDIRECT(AD$13&amp;$AC43))</f>
        <v>01a</v>
      </c>
      <c r="AE43" cm="1">
        <f t="array" aca="1" ref="AE43" ca="1">IF(INDIRECT(AE$13&amp;$AC43)=0,NA(),INDIRECT(AE$13&amp;$AC43))</f>
        <v>2014</v>
      </c>
      <c r="AF43" t="str" cm="1">
        <f t="array" aca="1" ref="AF43" ca="1">IF(INDIRECT(AF$13&amp;$AC43)=0,NA(),INDIRECT(AF$13&amp;$AC43))</f>
        <v>nbcourriers_mm</v>
      </c>
      <c r="AG43" s="5" cm="1">
        <f t="array" aca="1" ref="AG43" ca="1">IF(INDIRECT(AG$13&amp;$AC43)=0,NA(),INDIRECT(AG$13&amp;$AC43))</f>
        <v>60699</v>
      </c>
      <c r="AH43" s="5" cm="1">
        <f t="array" aca="1" ref="AH43" ca="1">IF(INDIRECT(AH$13&amp;$AC43)=0,NA(),INDIRECT(AH$13&amp;$AC43))</f>
        <v>48620</v>
      </c>
      <c r="AI43" s="5" cm="1">
        <f t="array" aca="1" ref="AI43" ca="1">IF(INDIRECT(AI$13&amp;$AC43)=0,NA(),INDIRECT(AI$13&amp;$AC43))</f>
        <v>44324</v>
      </c>
      <c r="AJ43" s="5" cm="1">
        <f t="array" aca="1" ref="AJ43" ca="1">IF(INDIRECT(AJ$13&amp;$AC43)=0,NA(),INDIRECT(AJ$13&amp;$AC43))</f>
        <v>43065</v>
      </c>
      <c r="AK43" s="5" cm="1">
        <f t="array" aca="1" ref="AK43" ca="1">IF(INDIRECT(AK$13&amp;$AC43)=0,NA(),INDIRECT(AK$13&amp;$AC43))</f>
        <v>39977</v>
      </c>
      <c r="AL43" s="5" cm="1">
        <f t="array" aca="1" ref="AL43" ca="1">IF(INDIRECT(AL$13&amp;$AC43)=0,NA(),INDIRECT(AL$13&amp;$AC43))</f>
        <v>43193</v>
      </c>
      <c r="AM43" s="5" cm="1">
        <f t="array" aca="1" ref="AM43" ca="1">IF(INDIRECT(AM$13&amp;$AC43)=0,NA(),INDIRECT(AM$13&amp;$AC43))</f>
        <v>45796</v>
      </c>
      <c r="AN43" s="21" cm="1">
        <f t="array" aca="1" ref="AN43" ca="1">IF(INDIRECT(AN$13&amp;$AC43)=0,NA(),INDIRECT(AN$13&amp;$AC43))</f>
        <v>45984</v>
      </c>
      <c r="AO43" s="21" cm="1">
        <f t="array" aca="1" ref="AO43" ca="1">IF(INDIRECT(AO$13&amp;$AC43)=0,NA(),INDIRECT(AO$13&amp;$AC43))</f>
        <v>54518</v>
      </c>
      <c r="AP43" s="21" cm="1">
        <f t="array" aca="1" ref="AP43" ca="1">IF(INDIRECT(AP$13&amp;$AC43)=0,NA(),INDIRECT(AP$13&amp;$AC43))</f>
        <v>56253</v>
      </c>
      <c r="AQ43" s="21" cm="1">
        <f t="array" aca="1" ref="AQ43" ca="1">IF(INDIRECT(AQ$13&amp;$AC43)=0,NA(),INDIRECT(AQ$13&amp;$AC43))</f>
        <v>51013</v>
      </c>
      <c r="AR43" s="21" cm="1">
        <f t="array" aca="1" ref="AR43" ca="1">IF(INDIRECT(AR$13&amp;$AC43)=0,NA(),INDIRECT(AR$13&amp;$AC43))</f>
        <v>55589</v>
      </c>
      <c r="AS43" t="e" cm="1">
        <f t="array" aca="1" ref="AS43" ca="1">IF(INDIRECT(AS$13&amp;$AC43)=0,NA(),INDIRECT(AS$13&amp;$AC43))</f>
        <v>#N/A</v>
      </c>
    </row>
    <row r="44" spans="4:45" x14ac:dyDescent="0.25">
      <c r="D44" t="s">
        <v>16</v>
      </c>
      <c r="E44">
        <v>2015</v>
      </c>
      <c r="F44" t="s">
        <v>26</v>
      </c>
      <c r="G44">
        <v>8471869</v>
      </c>
      <c r="H44">
        <v>7194408</v>
      </c>
      <c r="I44">
        <v>7570987</v>
      </c>
      <c r="J44">
        <v>6968297</v>
      </c>
      <c r="K44">
        <v>6260123</v>
      </c>
      <c r="L44">
        <v>7720651</v>
      </c>
      <c r="M44">
        <v>7999660</v>
      </c>
      <c r="W44">
        <v>30</v>
      </c>
      <c r="X44" t="s">
        <v>63</v>
      </c>
      <c r="Y44">
        <f t="shared" si="2"/>
        <v>1581</v>
      </c>
      <c r="Z44">
        <f t="shared" si="3"/>
        <v>1634</v>
      </c>
      <c r="AC44" s="3">
        <f t="shared" si="4"/>
        <v>98</v>
      </c>
      <c r="AD44" t="str" cm="1">
        <f t="array" aca="1" ref="AD44" ca="1">IF(INDIRECT(AD$13&amp;$AC44)=0,NA(),INDIRECT(AD$13&amp;$AC44))</f>
        <v>01a</v>
      </c>
      <c r="AE44" cm="1">
        <f t="array" aca="1" ref="AE44" ca="1">IF(INDIRECT(AE$13&amp;$AC44)=0,NA(),INDIRECT(AE$13&amp;$AC44))</f>
        <v>2015</v>
      </c>
      <c r="AF44" t="str" cm="1">
        <f t="array" aca="1" ref="AF44" ca="1">IF(INDIRECT(AF$13&amp;$AC44)=0,NA(),INDIRECT(AF$13&amp;$AC44))</f>
        <v>nbcourriers_mm</v>
      </c>
      <c r="AG44" s="21" cm="1">
        <f t="array" aca="1" ref="AG44" ca="1">IF(INDIRECT(AG$13&amp;$AC44)=0,NA(),INDIRECT(AG$13&amp;$AC44))</f>
        <v>61115</v>
      </c>
      <c r="AH44" s="21" cm="1">
        <f t="array" aca="1" ref="AH44" ca="1">IF(INDIRECT(AH$13&amp;$AC44)=0,NA(),INDIRECT(AH$13&amp;$AC44))</f>
        <v>47115</v>
      </c>
      <c r="AI44" s="21" cm="1">
        <f t="array" aca="1" ref="AI44" ca="1">IF(INDIRECT(AI$13&amp;$AC44)=0,NA(),INDIRECT(AI$13&amp;$AC44))</f>
        <v>53606</v>
      </c>
      <c r="AJ44" s="21" cm="1">
        <f t="array" aca="1" ref="AJ44" ca="1">IF(INDIRECT(AJ$13&amp;$AC44)=0,NA(),INDIRECT(AJ$13&amp;$AC44))</f>
        <v>47226</v>
      </c>
      <c r="AK44" s="21" cm="1">
        <f t="array" aca="1" ref="AK44" ca="1">IF(INDIRECT(AK$13&amp;$AC44)=0,NA(),INDIRECT(AK$13&amp;$AC44))</f>
        <v>43302</v>
      </c>
      <c r="AL44" s="21" cm="1">
        <f t="array" aca="1" ref="AL44" ca="1">IF(INDIRECT(AL$13&amp;$AC44)=0,NA(),INDIRECT(AL$13&amp;$AC44))</f>
        <v>52687</v>
      </c>
      <c r="AM44" s="21" cm="1">
        <f t="array" aca="1" ref="AM44" ca="1">IF(INDIRECT(AM$13&amp;$AC44)=0,NA(),INDIRECT(AM$13&amp;$AC44))</f>
        <v>54237</v>
      </c>
      <c r="AN44" t="e" cm="1">
        <f t="array" aca="1" ref="AN44" ca="1">IF(INDIRECT(AN$13&amp;$AC44)=0,NA(),INDIRECT(AN$13&amp;$AC44))</f>
        <v>#N/A</v>
      </c>
      <c r="AO44" t="e" cm="1">
        <f t="array" aca="1" ref="AO44" ca="1">IF(INDIRECT(AO$13&amp;$AC44)=0,NA(),INDIRECT(AO$13&amp;$AC44))</f>
        <v>#N/A</v>
      </c>
      <c r="AP44" t="e" cm="1">
        <f t="array" aca="1" ref="AP44" ca="1">IF(INDIRECT(AP$13&amp;$AC44)=0,NA(),INDIRECT(AP$13&amp;$AC44))</f>
        <v>#N/A</v>
      </c>
      <c r="AQ44" t="e" cm="1">
        <f t="array" aca="1" ref="AQ44" ca="1">IF(INDIRECT(AQ$13&amp;$AC44)=0,NA(),INDIRECT(AQ$13&amp;$AC44))</f>
        <v>#N/A</v>
      </c>
      <c r="AR44" t="e" cm="1">
        <f t="array" aca="1" ref="AR44" ca="1">IF(INDIRECT(AR$13&amp;$AC44)=0,NA(),INDIRECT(AR$13&amp;$AC44))</f>
        <v>#N/A</v>
      </c>
      <c r="AS44" t="e" cm="1">
        <f t="array" aca="1" ref="AS44" ca="1">IF(INDIRECT(AS$13&amp;$AC44)=0,NA(),INDIRECT(AS$13&amp;$AC44))</f>
        <v>#N/A</v>
      </c>
    </row>
    <row r="45" spans="4:45" x14ac:dyDescent="0.25">
      <c r="D45" t="s">
        <v>16</v>
      </c>
      <c r="E45">
        <v>2013</v>
      </c>
      <c r="F45" t="s">
        <v>27</v>
      </c>
      <c r="S45">
        <v>79029517</v>
      </c>
      <c r="W45">
        <v>31</v>
      </c>
      <c r="X45" t="s">
        <v>64</v>
      </c>
      <c r="Y45">
        <f t="shared" si="2"/>
        <v>1635</v>
      </c>
      <c r="Z45">
        <f t="shared" si="3"/>
        <v>1688</v>
      </c>
      <c r="AC45" s="3">
        <f t="shared" si="4"/>
        <v>99</v>
      </c>
      <c r="AD45" t="str" cm="1">
        <f t="array" aca="1" ref="AD45" ca="1">IF(INDIRECT(AD$13&amp;$AC45)=0,NA(),INDIRECT(AD$13&amp;$AC45))</f>
        <v>01a</v>
      </c>
      <c r="AE45" cm="1">
        <f t="array" aca="1" ref="AE45" ca="1">IF(INDIRECT(AE$13&amp;$AC45)=0,NA(),INDIRECT(AE$13&amp;$AC45))</f>
        <v>2013</v>
      </c>
      <c r="AF45" t="str" cm="1">
        <f t="array" aca="1" ref="AF45" ca="1">IF(INDIRECT(AF$13&amp;$AC45)=0,NA(),INDIRECT(AF$13&amp;$AC45))</f>
        <v>nbpieces_cc</v>
      </c>
      <c r="AG45" t="e" cm="1">
        <f t="array" aca="1" ref="AG45" ca="1">IF(INDIRECT(AG$13&amp;$AC45)=0,NA(),INDIRECT(AG$13&amp;$AC45))</f>
        <v>#N/A</v>
      </c>
      <c r="AH45" t="e" cm="1">
        <f t="array" aca="1" ref="AH45" ca="1">IF(INDIRECT(AH$13&amp;$AC45)=0,NA(),INDIRECT(AH$13&amp;$AC45))</f>
        <v>#N/A</v>
      </c>
      <c r="AI45" t="e" cm="1">
        <f t="array" aca="1" ref="AI45" ca="1">IF(INDIRECT(AI$13&amp;$AC45)=0,NA(),INDIRECT(AI$13&amp;$AC45))</f>
        <v>#N/A</v>
      </c>
      <c r="AJ45" t="e" cm="1">
        <f t="array" aca="1" ref="AJ45" ca="1">IF(INDIRECT(AJ$13&amp;$AC45)=0,NA(),INDIRECT(AJ$13&amp;$AC45))</f>
        <v>#N/A</v>
      </c>
      <c r="AK45" t="e" cm="1">
        <f t="array" aca="1" ref="AK45" ca="1">IF(INDIRECT(AK$13&amp;$AC45)=0,NA(),INDIRECT(AK$13&amp;$AC45))</f>
        <v>#N/A</v>
      </c>
      <c r="AL45" t="e" cm="1">
        <f t="array" aca="1" ref="AL45" ca="1">IF(INDIRECT(AL$13&amp;$AC45)=0,NA(),INDIRECT(AL$13&amp;$AC45))</f>
        <v>#N/A</v>
      </c>
      <c r="AM45" t="e" cm="1">
        <f t="array" aca="1" ref="AM45" ca="1">IF(INDIRECT(AM$13&amp;$AC45)=0,NA(),INDIRECT(AM$13&amp;$AC45))</f>
        <v>#N/A</v>
      </c>
      <c r="AN45" t="e" cm="1">
        <f t="array" aca="1" ref="AN45" ca="1">IF(INDIRECT(AN$13&amp;$AC45)=0,NA(),INDIRECT(AN$13&amp;$AC45))</f>
        <v>#N/A</v>
      </c>
      <c r="AO45" t="e" cm="1">
        <f t="array" aca="1" ref="AO45" ca="1">IF(INDIRECT(AO$13&amp;$AC45)=0,NA(),INDIRECT(AO$13&amp;$AC45))</f>
        <v>#N/A</v>
      </c>
      <c r="AP45" t="e" cm="1">
        <f t="array" aca="1" ref="AP45" ca="1">IF(INDIRECT(AP$13&amp;$AC45)=0,NA(),INDIRECT(AP$13&amp;$AC45))</f>
        <v>#N/A</v>
      </c>
      <c r="AQ45" t="e" cm="1">
        <f t="array" aca="1" ref="AQ45" ca="1">IF(INDIRECT(AQ$13&amp;$AC45)=0,NA(),INDIRECT(AQ$13&amp;$AC45))</f>
        <v>#N/A</v>
      </c>
      <c r="AR45" t="e" cm="1">
        <f t="array" aca="1" ref="AR45" ca="1">IF(INDIRECT(AR$13&amp;$AC45)=0,NA(),INDIRECT(AR$13&amp;$AC45))</f>
        <v>#N/A</v>
      </c>
      <c r="AS45" cm="1">
        <f t="array" aca="1" ref="AS45" ca="1">IF(INDIRECT(AS$13&amp;$AC45)=0,NA(),INDIRECT(AS$13&amp;$AC45))</f>
        <v>622970</v>
      </c>
    </row>
    <row r="46" spans="4:45" x14ac:dyDescent="0.25">
      <c r="D46" t="s">
        <v>16</v>
      </c>
      <c r="E46">
        <v>2014</v>
      </c>
      <c r="F46" t="s">
        <v>27</v>
      </c>
      <c r="S46">
        <v>80658329</v>
      </c>
      <c r="W46">
        <v>32</v>
      </c>
      <c r="X46" t="s">
        <v>65</v>
      </c>
      <c r="Y46">
        <f t="shared" si="2"/>
        <v>1689</v>
      </c>
      <c r="Z46">
        <f t="shared" si="3"/>
        <v>1742</v>
      </c>
      <c r="AC46" s="3">
        <f t="shared" si="4"/>
        <v>100</v>
      </c>
      <c r="AD46" t="str" cm="1">
        <f t="array" aca="1" ref="AD46" ca="1">IF(INDIRECT(AD$13&amp;$AC46)=0,NA(),INDIRECT(AD$13&amp;$AC46))</f>
        <v>01a</v>
      </c>
      <c r="AE46" cm="1">
        <f t="array" aca="1" ref="AE46" ca="1">IF(INDIRECT(AE$13&amp;$AC46)=0,NA(),INDIRECT(AE$13&amp;$AC46))</f>
        <v>2014</v>
      </c>
      <c r="AF46" t="str" cm="1">
        <f t="array" aca="1" ref="AF46" ca="1">IF(INDIRECT(AF$13&amp;$AC46)=0,NA(),INDIRECT(AF$13&amp;$AC46))</f>
        <v>nbpieces_cc</v>
      </c>
      <c r="AG46" t="e" cm="1">
        <f t="array" aca="1" ref="AG46" ca="1">IF(INDIRECT(AG$13&amp;$AC46)=0,NA(),INDIRECT(AG$13&amp;$AC46))</f>
        <v>#N/A</v>
      </c>
      <c r="AH46" t="e" cm="1">
        <f t="array" aca="1" ref="AH46" ca="1">IF(INDIRECT(AH$13&amp;$AC46)=0,NA(),INDIRECT(AH$13&amp;$AC46))</f>
        <v>#N/A</v>
      </c>
      <c r="AI46" t="e" cm="1">
        <f t="array" aca="1" ref="AI46" ca="1">IF(INDIRECT(AI$13&amp;$AC46)=0,NA(),INDIRECT(AI$13&amp;$AC46))</f>
        <v>#N/A</v>
      </c>
      <c r="AJ46" t="e" cm="1">
        <f t="array" aca="1" ref="AJ46" ca="1">IF(INDIRECT(AJ$13&amp;$AC46)=0,NA(),INDIRECT(AJ$13&amp;$AC46))</f>
        <v>#N/A</v>
      </c>
      <c r="AK46" t="e" cm="1">
        <f t="array" aca="1" ref="AK46" ca="1">IF(INDIRECT(AK$13&amp;$AC46)=0,NA(),INDIRECT(AK$13&amp;$AC46))</f>
        <v>#N/A</v>
      </c>
      <c r="AL46" t="e" cm="1">
        <f t="array" aca="1" ref="AL46" ca="1">IF(INDIRECT(AL$13&amp;$AC46)=0,NA(),INDIRECT(AL$13&amp;$AC46))</f>
        <v>#N/A</v>
      </c>
      <c r="AM46" t="e" cm="1">
        <f t="array" aca="1" ref="AM46" ca="1">IF(INDIRECT(AM$13&amp;$AC46)=0,NA(),INDIRECT(AM$13&amp;$AC46))</f>
        <v>#N/A</v>
      </c>
      <c r="AN46" t="e" cm="1">
        <f t="array" aca="1" ref="AN46" ca="1">IF(INDIRECT(AN$13&amp;$AC46)=0,NA(),INDIRECT(AN$13&amp;$AC46))</f>
        <v>#N/A</v>
      </c>
      <c r="AO46" t="e" cm="1">
        <f t="array" aca="1" ref="AO46" ca="1">IF(INDIRECT(AO$13&amp;$AC46)=0,NA(),INDIRECT(AO$13&amp;$AC46))</f>
        <v>#N/A</v>
      </c>
      <c r="AP46" t="e" cm="1">
        <f t="array" aca="1" ref="AP46" ca="1">IF(INDIRECT(AP$13&amp;$AC46)=0,NA(),INDIRECT(AP$13&amp;$AC46))</f>
        <v>#N/A</v>
      </c>
      <c r="AQ46" t="e" cm="1">
        <f t="array" aca="1" ref="AQ46" ca="1">IF(INDIRECT(AQ$13&amp;$AC46)=0,NA(),INDIRECT(AQ$13&amp;$AC46))</f>
        <v>#N/A</v>
      </c>
      <c r="AR46" t="e" cm="1">
        <f t="array" aca="1" ref="AR46" ca="1">IF(INDIRECT(AR$13&amp;$AC46)=0,NA(),INDIRECT(AR$13&amp;$AC46))</f>
        <v>#N/A</v>
      </c>
      <c r="AS46" cm="1">
        <f t="array" aca="1" ref="AS46" ca="1">IF(INDIRECT(AS$13&amp;$AC46)=0,NA(),INDIRECT(AS$13&amp;$AC46))</f>
        <v>556101</v>
      </c>
    </row>
    <row r="47" spans="4:45" x14ac:dyDescent="0.25">
      <c r="D47" t="s">
        <v>16</v>
      </c>
      <c r="E47">
        <v>2015</v>
      </c>
      <c r="F47" t="s">
        <v>27</v>
      </c>
      <c r="S47">
        <v>89274499</v>
      </c>
      <c r="W47">
        <v>33</v>
      </c>
      <c r="X47" t="s">
        <v>66</v>
      </c>
      <c r="Y47">
        <f t="shared" si="2"/>
        <v>1743</v>
      </c>
      <c r="Z47">
        <f t="shared" si="3"/>
        <v>1796</v>
      </c>
      <c r="AC47" s="3">
        <f t="shared" si="4"/>
        <v>101</v>
      </c>
      <c r="AD47" t="str" cm="1">
        <f t="array" aca="1" ref="AD47" ca="1">IF(INDIRECT(AD$13&amp;$AC47)=0,NA(),INDIRECT(AD$13&amp;$AC47))</f>
        <v>01a</v>
      </c>
      <c r="AE47" cm="1">
        <f t="array" aca="1" ref="AE47" ca="1">IF(INDIRECT(AE$13&amp;$AC47)=0,NA(),INDIRECT(AE$13&amp;$AC47))</f>
        <v>2015</v>
      </c>
      <c r="AF47" t="str" cm="1">
        <f t="array" aca="1" ref="AF47" ca="1">IF(INDIRECT(AF$13&amp;$AC47)=0,NA(),INDIRECT(AF$13&amp;$AC47))</f>
        <v>nbpieces_cc</v>
      </c>
      <c r="AG47" t="e" cm="1">
        <f t="array" aca="1" ref="AG47" ca="1">IF(INDIRECT(AG$13&amp;$AC47)=0,NA(),INDIRECT(AG$13&amp;$AC47))</f>
        <v>#N/A</v>
      </c>
      <c r="AH47" t="e" cm="1">
        <f t="array" aca="1" ref="AH47" ca="1">IF(INDIRECT(AH$13&amp;$AC47)=0,NA(),INDIRECT(AH$13&amp;$AC47))</f>
        <v>#N/A</v>
      </c>
      <c r="AI47" t="e" cm="1">
        <f t="array" aca="1" ref="AI47" ca="1">IF(INDIRECT(AI$13&amp;$AC47)=0,NA(),INDIRECT(AI$13&amp;$AC47))</f>
        <v>#N/A</v>
      </c>
      <c r="AJ47" t="e" cm="1">
        <f t="array" aca="1" ref="AJ47" ca="1">IF(INDIRECT(AJ$13&amp;$AC47)=0,NA(),INDIRECT(AJ$13&amp;$AC47))</f>
        <v>#N/A</v>
      </c>
      <c r="AK47" t="e" cm="1">
        <f t="array" aca="1" ref="AK47" ca="1">IF(INDIRECT(AK$13&amp;$AC47)=0,NA(),INDIRECT(AK$13&amp;$AC47))</f>
        <v>#N/A</v>
      </c>
      <c r="AL47" t="e" cm="1">
        <f t="array" aca="1" ref="AL47" ca="1">IF(INDIRECT(AL$13&amp;$AC47)=0,NA(),INDIRECT(AL$13&amp;$AC47))</f>
        <v>#N/A</v>
      </c>
      <c r="AM47" t="e" cm="1">
        <f t="array" aca="1" ref="AM47" ca="1">IF(INDIRECT(AM$13&amp;$AC47)=0,NA(),INDIRECT(AM$13&amp;$AC47))</f>
        <v>#N/A</v>
      </c>
      <c r="AN47" t="e" cm="1">
        <f t="array" aca="1" ref="AN47" ca="1">IF(INDIRECT(AN$13&amp;$AC47)=0,NA(),INDIRECT(AN$13&amp;$AC47))</f>
        <v>#N/A</v>
      </c>
      <c r="AO47" t="e" cm="1">
        <f t="array" aca="1" ref="AO47" ca="1">IF(INDIRECT(AO$13&amp;$AC47)=0,NA(),INDIRECT(AO$13&amp;$AC47))</f>
        <v>#N/A</v>
      </c>
      <c r="AP47" t="e" cm="1">
        <f t="array" aca="1" ref="AP47" ca="1">IF(INDIRECT(AP$13&amp;$AC47)=0,NA(),INDIRECT(AP$13&amp;$AC47))</f>
        <v>#N/A</v>
      </c>
      <c r="AQ47" t="e" cm="1">
        <f t="array" aca="1" ref="AQ47" ca="1">IF(INDIRECT(AQ$13&amp;$AC47)=0,NA(),INDIRECT(AQ$13&amp;$AC47))</f>
        <v>#N/A</v>
      </c>
      <c r="AR47" t="e" cm="1">
        <f t="array" aca="1" ref="AR47" ca="1">IF(INDIRECT(AR$13&amp;$AC47)=0,NA(),INDIRECT(AR$13&amp;$AC47))</f>
        <v>#N/A</v>
      </c>
      <c r="AS47" cm="1">
        <f t="array" aca="1" ref="AS47" ca="1">IF(INDIRECT(AS$13&amp;$AC47)=0,NA(),INDIRECT(AS$13&amp;$AC47))</f>
        <v>623158</v>
      </c>
    </row>
    <row r="48" spans="4:45" x14ac:dyDescent="0.25">
      <c r="D48" t="s">
        <v>16</v>
      </c>
      <c r="E48">
        <v>2013</v>
      </c>
      <c r="F48" t="s">
        <v>28</v>
      </c>
      <c r="G48">
        <v>13468523</v>
      </c>
      <c r="H48">
        <v>11544386</v>
      </c>
      <c r="I48">
        <v>11236714</v>
      </c>
      <c r="J48">
        <v>10673695</v>
      </c>
      <c r="K48">
        <v>9799243</v>
      </c>
      <c r="L48">
        <v>10531046</v>
      </c>
      <c r="M48">
        <v>11775910</v>
      </c>
      <c r="N48">
        <v>10468559</v>
      </c>
      <c r="O48">
        <v>13305459</v>
      </c>
      <c r="P48">
        <v>14867681</v>
      </c>
      <c r="Q48">
        <v>13113382</v>
      </c>
      <c r="R48">
        <v>13410010</v>
      </c>
      <c r="W48">
        <v>34</v>
      </c>
      <c r="X48" t="s">
        <v>67</v>
      </c>
      <c r="Y48">
        <f t="shared" si="2"/>
        <v>1797</v>
      </c>
      <c r="Z48">
        <f t="shared" si="3"/>
        <v>1850</v>
      </c>
      <c r="AC48" s="3">
        <f t="shared" si="4"/>
        <v>102</v>
      </c>
      <c r="AD48" t="str" cm="1">
        <f t="array" aca="1" ref="AD48" ca="1">IF(INDIRECT(AD$13&amp;$AC48)=0,NA(),INDIRECT(AD$13&amp;$AC48))</f>
        <v>01a</v>
      </c>
      <c r="AE48" cm="1">
        <f t="array" aca="1" ref="AE48" ca="1">IF(INDIRECT(AE$13&amp;$AC48)=0,NA(),INDIRECT(AE$13&amp;$AC48))</f>
        <v>2013</v>
      </c>
      <c r="AF48" t="str" cm="1">
        <f t="array" aca="1" ref="AF48" ca="1">IF(INDIRECT(AF$13&amp;$AC48)=0,NA(),INDIRECT(AF$13&amp;$AC48))</f>
        <v>nbpieces_mm</v>
      </c>
      <c r="AG48" cm="1">
        <f t="array" aca="1" ref="AG48" ca="1">IF(INDIRECT(AG$13&amp;$AC48)=0,NA(),INDIRECT(AG$13&amp;$AC48))</f>
        <v>105171</v>
      </c>
      <c r="AH48" cm="1">
        <f t="array" aca="1" ref="AH48" ca="1">IF(INDIRECT(AH$13&amp;$AC48)=0,NA(),INDIRECT(AH$13&amp;$AC48))</f>
        <v>93084</v>
      </c>
      <c r="AI48" cm="1">
        <f t="array" aca="1" ref="AI48" ca="1">IF(INDIRECT(AI$13&amp;$AC48)=0,NA(),INDIRECT(AI$13&amp;$AC48))</f>
        <v>86744</v>
      </c>
      <c r="AJ48" cm="1">
        <f t="array" aca="1" ref="AJ48" ca="1">IF(INDIRECT(AJ$13&amp;$AC48)=0,NA(),INDIRECT(AJ$13&amp;$AC48))</f>
        <v>77886</v>
      </c>
      <c r="AK48" cm="1">
        <f t="array" aca="1" ref="AK48" ca="1">IF(INDIRECT(AK$13&amp;$AC48)=0,NA(),INDIRECT(AK$13&amp;$AC48))</f>
        <v>81818</v>
      </c>
      <c r="AL48" cm="1">
        <f t="array" aca="1" ref="AL48" ca="1">IF(INDIRECT(AL$13&amp;$AC48)=0,NA(),INDIRECT(AL$13&amp;$AC48))</f>
        <v>91896</v>
      </c>
      <c r="AM48" cm="1">
        <f t="array" aca="1" ref="AM48" ca="1">IF(INDIRECT(AM$13&amp;$AC48)=0,NA(),INDIRECT(AM$13&amp;$AC48))</f>
        <v>86371</v>
      </c>
      <c r="AN48" s="5" cm="1">
        <f t="array" aca="1" ref="AN48" ca="1">IF(INDIRECT(AN$13&amp;$AC48)=0,NA(),INDIRECT(AN$13&amp;$AC48))</f>
        <v>67514</v>
      </c>
      <c r="AO48" s="5" cm="1">
        <f t="array" aca="1" ref="AO48" ca="1">IF(INDIRECT(AO$13&amp;$AC48)=0,NA(),INDIRECT(AO$13&amp;$AC48))</f>
        <v>89870</v>
      </c>
      <c r="AP48" s="5" cm="1">
        <f t="array" aca="1" ref="AP48" ca="1">IF(INDIRECT(AP$13&amp;$AC48)=0,NA(),INDIRECT(AP$13&amp;$AC48))</f>
        <v>96592</v>
      </c>
      <c r="AQ48" s="5" cm="1">
        <f t="array" aca="1" ref="AQ48" ca="1">IF(INDIRECT(AQ$13&amp;$AC48)=0,NA(),INDIRECT(AQ$13&amp;$AC48))</f>
        <v>77855</v>
      </c>
      <c r="AR48" s="5" cm="1">
        <f t="array" aca="1" ref="AR48" ca="1">IF(INDIRECT(AR$13&amp;$AC48)=0,NA(),INDIRECT(AR$13&amp;$AC48))</f>
        <v>86753</v>
      </c>
      <c r="AS48" t="e" cm="1">
        <f t="array" aca="1" ref="AS48" ca="1">IF(INDIRECT(AS$13&amp;$AC48)=0,NA(),INDIRECT(AS$13&amp;$AC48))</f>
        <v>#N/A</v>
      </c>
    </row>
    <row r="49" spans="4:45" x14ac:dyDescent="0.25">
      <c r="D49" t="s">
        <v>16</v>
      </c>
      <c r="E49">
        <v>2014</v>
      </c>
      <c r="F49" t="s">
        <v>28</v>
      </c>
      <c r="G49">
        <v>13880018</v>
      </c>
      <c r="H49">
        <v>12261863</v>
      </c>
      <c r="I49">
        <v>11335496</v>
      </c>
      <c r="J49">
        <v>10992210</v>
      </c>
      <c r="K49">
        <v>9935737</v>
      </c>
      <c r="L49">
        <v>10613787</v>
      </c>
      <c r="M49">
        <v>11639218</v>
      </c>
      <c r="N49">
        <v>10751555</v>
      </c>
      <c r="O49">
        <v>13653809</v>
      </c>
      <c r="P49">
        <v>14349573</v>
      </c>
      <c r="Q49">
        <v>13049225</v>
      </c>
      <c r="R49">
        <v>14728099</v>
      </c>
      <c r="W49">
        <v>35</v>
      </c>
      <c r="X49" t="s">
        <v>68</v>
      </c>
      <c r="Y49">
        <f t="shared" si="2"/>
        <v>1851</v>
      </c>
      <c r="Z49">
        <f t="shared" si="3"/>
        <v>1904</v>
      </c>
      <c r="AC49" s="3">
        <f t="shared" si="4"/>
        <v>103</v>
      </c>
      <c r="AD49" t="str" cm="1">
        <f t="array" aca="1" ref="AD49" ca="1">IF(INDIRECT(AD$13&amp;$AC49)=0,NA(),INDIRECT(AD$13&amp;$AC49))</f>
        <v>01a</v>
      </c>
      <c r="AE49" cm="1">
        <f t="array" aca="1" ref="AE49" ca="1">IF(INDIRECT(AE$13&amp;$AC49)=0,NA(),INDIRECT(AE$13&amp;$AC49))</f>
        <v>2014</v>
      </c>
      <c r="AF49" t="str" cm="1">
        <f t="array" aca="1" ref="AF49" ca="1">IF(INDIRECT(AF$13&amp;$AC49)=0,NA(),INDIRECT(AF$13&amp;$AC49))</f>
        <v>nbpieces_mm</v>
      </c>
      <c r="AG49" s="5" cm="1">
        <f t="array" aca="1" ref="AG49" ca="1">IF(INDIRECT(AG$13&amp;$AC49)=0,NA(),INDIRECT(AG$13&amp;$AC49))</f>
        <v>101824</v>
      </c>
      <c r="AH49" s="5" cm="1">
        <f t="array" aca="1" ref="AH49" ca="1">IF(INDIRECT(AH$13&amp;$AC49)=0,NA(),INDIRECT(AH$13&amp;$AC49))</f>
        <v>85988</v>
      </c>
      <c r="AI49" s="5" cm="1">
        <f t="array" aca="1" ref="AI49" ca="1">IF(INDIRECT(AI$13&amp;$AC49)=0,NA(),INDIRECT(AI$13&amp;$AC49))</f>
        <v>77215</v>
      </c>
      <c r="AJ49" s="5" cm="1">
        <f t="array" aca="1" ref="AJ49" ca="1">IF(INDIRECT(AJ$13&amp;$AC49)=0,NA(),INDIRECT(AJ$13&amp;$AC49))</f>
        <v>73509</v>
      </c>
      <c r="AK49" s="5" cm="1">
        <f t="array" aca="1" ref="AK49" ca="1">IF(INDIRECT(AK$13&amp;$AC49)=0,NA(),INDIRECT(AK$13&amp;$AC49))</f>
        <v>68929</v>
      </c>
      <c r="AL49" s="5" cm="1">
        <f t="array" aca="1" ref="AL49" ca="1">IF(INDIRECT(AL$13&amp;$AC49)=0,NA(),INDIRECT(AL$13&amp;$AC49))</f>
        <v>73473</v>
      </c>
      <c r="AM49" s="5" cm="1">
        <f t="array" aca="1" ref="AM49" ca="1">IF(INDIRECT(AM$13&amp;$AC49)=0,NA(),INDIRECT(AM$13&amp;$AC49))</f>
        <v>75163</v>
      </c>
      <c r="AN49" s="22" cm="1">
        <f t="array" aca="1" ref="AN49" ca="1">IF(INDIRECT(AN$13&amp;$AC49)=0,NA(),INDIRECT(AN$13&amp;$AC49))</f>
        <v>74479</v>
      </c>
      <c r="AO49" s="22" cm="1">
        <f t="array" aca="1" ref="AO49" ca="1">IF(INDIRECT(AO$13&amp;$AC49)=0,NA(),INDIRECT(AO$13&amp;$AC49))</f>
        <v>91577</v>
      </c>
      <c r="AP49" s="22" cm="1">
        <f t="array" aca="1" ref="AP49" ca="1">IF(INDIRECT(AP$13&amp;$AC49)=0,NA(),INDIRECT(AP$13&amp;$AC49))</f>
        <v>95507</v>
      </c>
      <c r="AQ49" s="22" cm="1">
        <f t="array" aca="1" ref="AQ49" ca="1">IF(INDIRECT(AQ$13&amp;$AC49)=0,NA(),INDIRECT(AQ$13&amp;$AC49))</f>
        <v>85129</v>
      </c>
      <c r="AR49" s="22" cm="1">
        <f t="array" aca="1" ref="AR49" ca="1">IF(INDIRECT(AR$13&amp;$AC49)=0,NA(),INDIRECT(AR$13&amp;$AC49))</f>
        <v>96366</v>
      </c>
      <c r="AS49" t="e" cm="1">
        <f t="array" aca="1" ref="AS49" ca="1">IF(INDIRECT(AS$13&amp;$AC49)=0,NA(),INDIRECT(AS$13&amp;$AC49))</f>
        <v>#N/A</v>
      </c>
    </row>
    <row r="50" spans="4:45" x14ac:dyDescent="0.25">
      <c r="D50" t="s">
        <v>16</v>
      </c>
      <c r="E50">
        <v>2015</v>
      </c>
      <c r="F50" t="s">
        <v>28</v>
      </c>
      <c r="G50">
        <v>14161260</v>
      </c>
      <c r="H50">
        <v>12570609</v>
      </c>
      <c r="I50">
        <v>13389634</v>
      </c>
      <c r="J50">
        <v>11960234</v>
      </c>
      <c r="K50">
        <v>10564092</v>
      </c>
      <c r="L50">
        <v>13134705</v>
      </c>
      <c r="M50">
        <v>13493965</v>
      </c>
      <c r="W50">
        <v>36</v>
      </c>
      <c r="X50" t="s">
        <v>69</v>
      </c>
      <c r="Y50">
        <f t="shared" si="2"/>
        <v>1905</v>
      </c>
      <c r="Z50">
        <f t="shared" si="3"/>
        <v>1958</v>
      </c>
      <c r="AC50" s="3">
        <f t="shared" si="4"/>
        <v>104</v>
      </c>
      <c r="AD50" t="str" cm="1">
        <f t="array" aca="1" ref="AD50" ca="1">IF(INDIRECT(AD$13&amp;$AC50)=0,NA(),INDIRECT(AD$13&amp;$AC50))</f>
        <v>01a</v>
      </c>
      <c r="AE50" cm="1">
        <f t="array" aca="1" ref="AE50" ca="1">IF(INDIRECT(AE$13&amp;$AC50)=0,NA(),INDIRECT(AE$13&amp;$AC50))</f>
        <v>2015</v>
      </c>
      <c r="AF50" t="str" cm="1">
        <f t="array" aca="1" ref="AF50" ca="1">IF(INDIRECT(AF$13&amp;$AC50)=0,NA(),INDIRECT(AF$13&amp;$AC50))</f>
        <v>nbpieces_mm</v>
      </c>
      <c r="AG50" s="22" cm="1">
        <f t="array" aca="1" ref="AG50" ca="1">IF(INDIRECT(AG$13&amp;$AC50)=0,NA(),INDIRECT(AG$13&amp;$AC50))</f>
        <v>102582</v>
      </c>
      <c r="AH50" s="22" cm="1">
        <f t="array" aca="1" ref="AH50" ca="1">IF(INDIRECT(AH$13&amp;$AC50)=0,NA(),INDIRECT(AH$13&amp;$AC50))</f>
        <v>85364</v>
      </c>
      <c r="AI50" s="22" cm="1">
        <f t="array" aca="1" ref="AI50" ca="1">IF(INDIRECT(AI$13&amp;$AC50)=0,NA(),INDIRECT(AI$13&amp;$AC50))</f>
        <v>97294</v>
      </c>
      <c r="AJ50" s="22" cm="1">
        <f t="array" aca="1" ref="AJ50" ca="1">IF(INDIRECT(AJ$13&amp;$AC50)=0,NA(),INDIRECT(AJ$13&amp;$AC50))</f>
        <v>81919</v>
      </c>
      <c r="AK50" s="22" cm="1">
        <f t="array" aca="1" ref="AK50" ca="1">IF(INDIRECT(AK$13&amp;$AC50)=0,NA(),INDIRECT(AK$13&amp;$AC50))</f>
        <v>73653</v>
      </c>
      <c r="AL50" s="22" cm="1">
        <f t="array" aca="1" ref="AL50" ca="1">IF(INDIRECT(AL$13&amp;$AC50)=0,NA(),INDIRECT(AL$13&amp;$AC50))</f>
        <v>90460</v>
      </c>
      <c r="AM50" s="22" cm="1">
        <f t="array" aca="1" ref="AM50" ca="1">IF(INDIRECT(AM$13&amp;$AC50)=0,NA(),INDIRECT(AM$13&amp;$AC50))</f>
        <v>91886</v>
      </c>
      <c r="AN50" t="e" cm="1">
        <f t="array" aca="1" ref="AN50" ca="1">IF(INDIRECT(AN$13&amp;$AC50)=0,NA(),INDIRECT(AN$13&amp;$AC50))</f>
        <v>#N/A</v>
      </c>
      <c r="AO50" t="e" cm="1">
        <f t="array" aca="1" ref="AO50" ca="1">IF(INDIRECT(AO$13&amp;$AC50)=0,NA(),INDIRECT(AO$13&amp;$AC50))</f>
        <v>#N/A</v>
      </c>
      <c r="AP50" t="e" cm="1">
        <f t="array" aca="1" ref="AP50" ca="1">IF(INDIRECT(AP$13&amp;$AC50)=0,NA(),INDIRECT(AP$13&amp;$AC50))</f>
        <v>#N/A</v>
      </c>
      <c r="AQ50" t="e" cm="1">
        <f t="array" aca="1" ref="AQ50" ca="1">IF(INDIRECT(AQ$13&amp;$AC50)=0,NA(),INDIRECT(AQ$13&amp;$AC50))</f>
        <v>#N/A</v>
      </c>
      <c r="AR50" t="e" cm="1">
        <f t="array" aca="1" ref="AR50" ca="1">IF(INDIRECT(AR$13&amp;$AC50)=0,NA(),INDIRECT(AR$13&amp;$AC50))</f>
        <v>#N/A</v>
      </c>
      <c r="AS50" t="e" cm="1">
        <f t="array" aca="1" ref="AS50" ca="1">IF(INDIRECT(AS$13&amp;$AC50)=0,NA(),INDIRECT(AS$13&amp;$AC50))</f>
        <v>#N/A</v>
      </c>
    </row>
    <row r="51" spans="4:45" x14ac:dyDescent="0.25">
      <c r="D51" t="s">
        <v>16</v>
      </c>
      <c r="E51">
        <v>2013</v>
      </c>
      <c r="F51" t="s">
        <v>29</v>
      </c>
      <c r="S51">
        <v>9854086</v>
      </c>
      <c r="W51">
        <v>37</v>
      </c>
      <c r="X51" t="s">
        <v>70</v>
      </c>
      <c r="Y51">
        <f t="shared" si="2"/>
        <v>1959</v>
      </c>
      <c r="Z51">
        <f t="shared" si="3"/>
        <v>2012</v>
      </c>
      <c r="AC51" s="3">
        <f t="shared" si="4"/>
        <v>105</v>
      </c>
      <c r="AD51" t="str" cm="1">
        <f t="array" aca="1" ref="AD51" ca="1">IF(INDIRECT(AD$13&amp;$AC51)=0,NA(),INDIRECT(AD$13&amp;$AC51))</f>
        <v>01a</v>
      </c>
      <c r="AE51" cm="1">
        <f t="array" aca="1" ref="AE51" ca="1">IF(INDIRECT(AE$13&amp;$AC51)=0,NA(),INDIRECT(AE$13&amp;$AC51))</f>
        <v>2013</v>
      </c>
      <c r="AF51" t="str" cm="1">
        <f t="array" aca="1" ref="AF51" ca="1">IF(INDIRECT(AF$13&amp;$AC51)=0,NA(),INDIRECT(AF$13&amp;$AC51))</f>
        <v>nbvis_cc</v>
      </c>
      <c r="AG51" t="e" cm="1">
        <f t="array" aca="1" ref="AG51" ca="1">IF(INDIRECT(AG$13&amp;$AC51)=0,NA(),INDIRECT(AG$13&amp;$AC51))</f>
        <v>#N/A</v>
      </c>
      <c r="AH51" t="e" cm="1">
        <f t="array" aca="1" ref="AH51" ca="1">IF(INDIRECT(AH$13&amp;$AC51)=0,NA(),INDIRECT(AH$13&amp;$AC51))</f>
        <v>#N/A</v>
      </c>
      <c r="AI51" t="e" cm="1">
        <f t="array" aca="1" ref="AI51" ca="1">IF(INDIRECT(AI$13&amp;$AC51)=0,NA(),INDIRECT(AI$13&amp;$AC51))</f>
        <v>#N/A</v>
      </c>
      <c r="AJ51" t="e" cm="1">
        <f t="array" aca="1" ref="AJ51" ca="1">IF(INDIRECT(AJ$13&amp;$AC51)=0,NA(),INDIRECT(AJ$13&amp;$AC51))</f>
        <v>#N/A</v>
      </c>
      <c r="AK51" t="e" cm="1">
        <f t="array" aca="1" ref="AK51" ca="1">IF(INDIRECT(AK$13&amp;$AC51)=0,NA(),INDIRECT(AK$13&amp;$AC51))</f>
        <v>#N/A</v>
      </c>
      <c r="AL51" t="e" cm="1">
        <f t="array" aca="1" ref="AL51" ca="1">IF(INDIRECT(AL$13&amp;$AC51)=0,NA(),INDIRECT(AL$13&amp;$AC51))</f>
        <v>#N/A</v>
      </c>
      <c r="AM51" t="e" cm="1">
        <f t="array" aca="1" ref="AM51" ca="1">IF(INDIRECT(AM$13&amp;$AC51)=0,NA(),INDIRECT(AM$13&amp;$AC51))</f>
        <v>#N/A</v>
      </c>
      <c r="AN51" t="e" cm="1">
        <f t="array" aca="1" ref="AN51" ca="1">IF(INDIRECT(AN$13&amp;$AC51)=0,NA(),INDIRECT(AN$13&amp;$AC51))</f>
        <v>#N/A</v>
      </c>
      <c r="AO51" t="e" cm="1">
        <f t="array" aca="1" ref="AO51" ca="1">IF(INDIRECT(AO$13&amp;$AC51)=0,NA(),INDIRECT(AO$13&amp;$AC51))</f>
        <v>#N/A</v>
      </c>
      <c r="AP51" t="e" cm="1">
        <f t="array" aca="1" ref="AP51" ca="1">IF(INDIRECT(AP$13&amp;$AC51)=0,NA(),INDIRECT(AP$13&amp;$AC51))</f>
        <v>#N/A</v>
      </c>
      <c r="AQ51" t="e" cm="1">
        <f t="array" aca="1" ref="AQ51" ca="1">IF(INDIRECT(AQ$13&amp;$AC51)=0,NA(),INDIRECT(AQ$13&amp;$AC51))</f>
        <v>#N/A</v>
      </c>
      <c r="AR51" t="e" cm="1">
        <f t="array" aca="1" ref="AR51" ca="1">IF(INDIRECT(AR$13&amp;$AC51)=0,NA(),INDIRECT(AR$13&amp;$AC51))</f>
        <v>#N/A</v>
      </c>
      <c r="AS51" cm="1">
        <f t="array" aca="1" ref="AS51" ca="1">IF(INDIRECT(AS$13&amp;$AC51)=0,NA(),INDIRECT(AS$13&amp;$AC51))</f>
        <v>49950</v>
      </c>
    </row>
    <row r="52" spans="4:45" x14ac:dyDescent="0.25">
      <c r="D52" t="s">
        <v>16</v>
      </c>
      <c r="E52">
        <v>2014</v>
      </c>
      <c r="F52" t="s">
        <v>29</v>
      </c>
      <c r="S52">
        <v>9390047</v>
      </c>
      <c r="W52">
        <v>38</v>
      </c>
      <c r="X52" t="s">
        <v>71</v>
      </c>
      <c r="Y52">
        <f t="shared" si="2"/>
        <v>2013</v>
      </c>
      <c r="Z52">
        <f t="shared" si="3"/>
        <v>2066</v>
      </c>
      <c r="AC52" s="3">
        <f t="shared" si="4"/>
        <v>106</v>
      </c>
      <c r="AD52" t="str" cm="1">
        <f t="array" aca="1" ref="AD52" ca="1">IF(INDIRECT(AD$13&amp;$AC52)=0,NA(),INDIRECT(AD$13&amp;$AC52))</f>
        <v>01a</v>
      </c>
      <c r="AE52" cm="1">
        <f t="array" aca="1" ref="AE52" ca="1">IF(INDIRECT(AE$13&amp;$AC52)=0,NA(),INDIRECT(AE$13&amp;$AC52))</f>
        <v>2014</v>
      </c>
      <c r="AF52" t="str" cm="1">
        <f t="array" aca="1" ref="AF52" ca="1">IF(INDIRECT(AF$13&amp;$AC52)=0,NA(),INDIRECT(AF$13&amp;$AC52))</f>
        <v>nbvis_cc</v>
      </c>
      <c r="AG52" t="e" cm="1">
        <f t="array" aca="1" ref="AG52" ca="1">IF(INDIRECT(AG$13&amp;$AC52)=0,NA(),INDIRECT(AG$13&amp;$AC52))</f>
        <v>#N/A</v>
      </c>
      <c r="AH52" t="e" cm="1">
        <f t="array" aca="1" ref="AH52" ca="1">IF(INDIRECT(AH$13&amp;$AC52)=0,NA(),INDIRECT(AH$13&amp;$AC52))</f>
        <v>#N/A</v>
      </c>
      <c r="AI52" t="e" cm="1">
        <f t="array" aca="1" ref="AI52" ca="1">IF(INDIRECT(AI$13&amp;$AC52)=0,NA(),INDIRECT(AI$13&amp;$AC52))</f>
        <v>#N/A</v>
      </c>
      <c r="AJ52" t="e" cm="1">
        <f t="array" aca="1" ref="AJ52" ca="1">IF(INDIRECT(AJ$13&amp;$AC52)=0,NA(),INDIRECT(AJ$13&amp;$AC52))</f>
        <v>#N/A</v>
      </c>
      <c r="AK52" t="e" cm="1">
        <f t="array" aca="1" ref="AK52" ca="1">IF(INDIRECT(AK$13&amp;$AC52)=0,NA(),INDIRECT(AK$13&amp;$AC52))</f>
        <v>#N/A</v>
      </c>
      <c r="AL52" t="e" cm="1">
        <f t="array" aca="1" ref="AL52" ca="1">IF(INDIRECT(AL$13&amp;$AC52)=0,NA(),INDIRECT(AL$13&amp;$AC52))</f>
        <v>#N/A</v>
      </c>
      <c r="AM52" t="e" cm="1">
        <f t="array" aca="1" ref="AM52" ca="1">IF(INDIRECT(AM$13&amp;$AC52)=0,NA(),INDIRECT(AM$13&amp;$AC52))</f>
        <v>#N/A</v>
      </c>
      <c r="AN52" t="e" cm="1">
        <f t="array" aca="1" ref="AN52" ca="1">IF(INDIRECT(AN$13&amp;$AC52)=0,NA(),INDIRECT(AN$13&amp;$AC52))</f>
        <v>#N/A</v>
      </c>
      <c r="AO52" t="e" cm="1">
        <f t="array" aca="1" ref="AO52" ca="1">IF(INDIRECT(AO$13&amp;$AC52)=0,NA(),INDIRECT(AO$13&amp;$AC52))</f>
        <v>#N/A</v>
      </c>
      <c r="AP52" t="e" cm="1">
        <f t="array" aca="1" ref="AP52" ca="1">IF(INDIRECT(AP$13&amp;$AC52)=0,NA(),INDIRECT(AP$13&amp;$AC52))</f>
        <v>#N/A</v>
      </c>
      <c r="AQ52" t="e" cm="1">
        <f t="array" aca="1" ref="AQ52" ca="1">IF(INDIRECT(AQ$13&amp;$AC52)=0,NA(),INDIRECT(AQ$13&amp;$AC52))</f>
        <v>#N/A</v>
      </c>
      <c r="AR52" t="e" cm="1">
        <f t="array" aca="1" ref="AR52" ca="1">IF(INDIRECT(AR$13&amp;$AC52)=0,NA(),INDIRECT(AR$13&amp;$AC52))</f>
        <v>#N/A</v>
      </c>
      <c r="AS52" cm="1">
        <f t="array" aca="1" ref="AS52" ca="1">IF(INDIRECT(AS$13&amp;$AC52)=0,NA(),INDIRECT(AS$13&amp;$AC52))</f>
        <v>42234</v>
      </c>
    </row>
    <row r="53" spans="4:45" x14ac:dyDescent="0.25">
      <c r="D53" t="s">
        <v>16</v>
      </c>
      <c r="E53">
        <v>2015</v>
      </c>
      <c r="F53" t="s">
        <v>29</v>
      </c>
      <c r="S53">
        <v>8201037</v>
      </c>
      <c r="W53">
        <v>39</v>
      </c>
      <c r="X53" t="s">
        <v>72</v>
      </c>
      <c r="Y53">
        <f t="shared" si="2"/>
        <v>2067</v>
      </c>
      <c r="Z53">
        <f t="shared" si="3"/>
        <v>2120</v>
      </c>
      <c r="AC53" s="3">
        <f t="shared" si="4"/>
        <v>107</v>
      </c>
      <c r="AD53" t="str" cm="1">
        <f t="array" aca="1" ref="AD53" ca="1">IF(INDIRECT(AD$13&amp;$AC53)=0,NA(),INDIRECT(AD$13&amp;$AC53))</f>
        <v>01a</v>
      </c>
      <c r="AE53" cm="1">
        <f t="array" aca="1" ref="AE53" ca="1">IF(INDIRECT(AE$13&amp;$AC53)=0,NA(),INDIRECT(AE$13&amp;$AC53))</f>
        <v>2015</v>
      </c>
      <c r="AF53" t="str" cm="1">
        <f t="array" aca="1" ref="AF53" ca="1">IF(INDIRECT(AF$13&amp;$AC53)=0,NA(),INDIRECT(AF$13&amp;$AC53))</f>
        <v>nbvis_cc</v>
      </c>
      <c r="AG53" t="e" cm="1">
        <f t="array" aca="1" ref="AG53" ca="1">IF(INDIRECT(AG$13&amp;$AC53)=0,NA(),INDIRECT(AG$13&amp;$AC53))</f>
        <v>#N/A</v>
      </c>
      <c r="AH53" t="e" cm="1">
        <f t="array" aca="1" ref="AH53" ca="1">IF(INDIRECT(AH$13&amp;$AC53)=0,NA(),INDIRECT(AH$13&amp;$AC53))</f>
        <v>#N/A</v>
      </c>
      <c r="AI53" t="e" cm="1">
        <f t="array" aca="1" ref="AI53" ca="1">IF(INDIRECT(AI$13&amp;$AC53)=0,NA(),INDIRECT(AI$13&amp;$AC53))</f>
        <v>#N/A</v>
      </c>
      <c r="AJ53" t="e" cm="1">
        <f t="array" aca="1" ref="AJ53" ca="1">IF(INDIRECT(AJ$13&amp;$AC53)=0,NA(),INDIRECT(AJ$13&amp;$AC53))</f>
        <v>#N/A</v>
      </c>
      <c r="AK53" t="e" cm="1">
        <f t="array" aca="1" ref="AK53" ca="1">IF(INDIRECT(AK$13&amp;$AC53)=0,NA(),INDIRECT(AK$13&amp;$AC53))</f>
        <v>#N/A</v>
      </c>
      <c r="AL53" t="e" cm="1">
        <f t="array" aca="1" ref="AL53" ca="1">IF(INDIRECT(AL$13&amp;$AC53)=0,NA(),INDIRECT(AL$13&amp;$AC53))</f>
        <v>#N/A</v>
      </c>
      <c r="AM53" t="e" cm="1">
        <f t="array" aca="1" ref="AM53" ca="1">IF(INDIRECT(AM$13&amp;$AC53)=0,NA(),INDIRECT(AM$13&amp;$AC53))</f>
        <v>#N/A</v>
      </c>
      <c r="AN53" t="e" cm="1">
        <f t="array" aca="1" ref="AN53" ca="1">IF(INDIRECT(AN$13&amp;$AC53)=0,NA(),INDIRECT(AN$13&amp;$AC53))</f>
        <v>#N/A</v>
      </c>
      <c r="AO53" t="e" cm="1">
        <f t="array" aca="1" ref="AO53" ca="1">IF(INDIRECT(AO$13&amp;$AC53)=0,NA(),INDIRECT(AO$13&amp;$AC53))</f>
        <v>#N/A</v>
      </c>
      <c r="AP53" t="e" cm="1">
        <f t="array" aca="1" ref="AP53" ca="1">IF(INDIRECT(AP$13&amp;$AC53)=0,NA(),INDIRECT(AP$13&amp;$AC53))</f>
        <v>#N/A</v>
      </c>
      <c r="AQ53" t="e" cm="1">
        <f t="array" aca="1" ref="AQ53" ca="1">IF(INDIRECT(AQ$13&amp;$AC53)=0,NA(),INDIRECT(AQ$13&amp;$AC53))</f>
        <v>#N/A</v>
      </c>
      <c r="AR53" t="e" cm="1">
        <f t="array" aca="1" ref="AR53" ca="1">IF(INDIRECT(AR$13&amp;$AC53)=0,NA(),INDIRECT(AR$13&amp;$AC53))</f>
        <v>#N/A</v>
      </c>
      <c r="AS53" cm="1">
        <f t="array" aca="1" ref="AS53" ca="1">IF(INDIRECT(AS$13&amp;$AC53)=0,NA(),INDIRECT(AS$13&amp;$AC53))</f>
        <v>12692</v>
      </c>
    </row>
    <row r="54" spans="4:45" x14ac:dyDescent="0.25">
      <c r="D54" t="s">
        <v>16</v>
      </c>
      <c r="E54">
        <v>2013</v>
      </c>
      <c r="F54" t="s">
        <v>30</v>
      </c>
      <c r="G54">
        <v>1682110</v>
      </c>
      <c r="H54">
        <v>1472300</v>
      </c>
      <c r="I54">
        <v>1390728</v>
      </c>
      <c r="J54">
        <v>1380486</v>
      </c>
      <c r="K54">
        <v>1315794</v>
      </c>
      <c r="L54">
        <v>1286446</v>
      </c>
      <c r="M54">
        <v>1326222</v>
      </c>
      <c r="N54">
        <v>1160168</v>
      </c>
      <c r="O54">
        <v>1603333</v>
      </c>
      <c r="P54">
        <v>1551717</v>
      </c>
      <c r="Q54">
        <v>1374667</v>
      </c>
      <c r="R54">
        <v>1340559</v>
      </c>
      <c r="W54">
        <v>40</v>
      </c>
      <c r="X54" t="s">
        <v>73</v>
      </c>
      <c r="Y54">
        <f t="shared" si="2"/>
        <v>2121</v>
      </c>
      <c r="Z54">
        <f t="shared" si="3"/>
        <v>2174</v>
      </c>
      <c r="AC54" s="3">
        <f t="shared" si="4"/>
        <v>108</v>
      </c>
      <c r="AD54" t="str" cm="1">
        <f t="array" aca="1" ref="AD54" ca="1">IF(INDIRECT(AD$13&amp;$AC54)=0,NA(),INDIRECT(AD$13&amp;$AC54))</f>
        <v>01a</v>
      </c>
      <c r="AE54" cm="1">
        <f t="array" aca="1" ref="AE54" ca="1">IF(INDIRECT(AE$13&amp;$AC54)=0,NA(),INDIRECT(AE$13&amp;$AC54))</f>
        <v>2013</v>
      </c>
      <c r="AF54" t="str" cm="1">
        <f t="array" aca="1" ref="AF54" ca="1">IF(INDIRECT(AF$13&amp;$AC54)=0,NA(),INDIRECT(AF$13&amp;$AC54))</f>
        <v>nbvis_mm</v>
      </c>
      <c r="AG54" cm="1">
        <f t="array" aca="1" ref="AG54" ca="1">IF(INDIRECT(AG$13&amp;$AC54)=0,NA(),INDIRECT(AG$13&amp;$AC54))</f>
        <v>8649</v>
      </c>
      <c r="AH54" cm="1">
        <f t="array" aca="1" ref="AH54" ca="1">IF(INDIRECT(AH$13&amp;$AC54)=0,NA(),INDIRECT(AH$13&amp;$AC54))</f>
        <v>7653</v>
      </c>
      <c r="AI54" cm="1">
        <f t="array" aca="1" ref="AI54" ca="1">IF(INDIRECT(AI$13&amp;$AC54)=0,NA(),INDIRECT(AI$13&amp;$AC54))</f>
        <v>7421</v>
      </c>
      <c r="AJ54" cm="1">
        <f t="array" aca="1" ref="AJ54" ca="1">IF(INDIRECT(AJ$13&amp;$AC54)=0,NA(),INDIRECT(AJ$13&amp;$AC54))</f>
        <v>6262</v>
      </c>
      <c r="AK54" cm="1">
        <f t="array" aca="1" ref="AK54" ca="1">IF(INDIRECT(AK$13&amp;$AC54)=0,NA(),INDIRECT(AK$13&amp;$AC54))</f>
        <v>7238</v>
      </c>
      <c r="AL54" cm="1">
        <f t="array" aca="1" ref="AL54" ca="1">IF(INDIRECT(AL$13&amp;$AC54)=0,NA(),INDIRECT(AL$13&amp;$AC54))</f>
        <v>6325</v>
      </c>
      <c r="AM54" cm="1">
        <f t="array" aca="1" ref="AM54" ca="1">IF(INDIRECT(AM$13&amp;$AC54)=0,NA(),INDIRECT(AM$13&amp;$AC54))</f>
        <v>6402</v>
      </c>
      <c r="AN54" s="5" cm="1">
        <f t="array" aca="1" ref="AN54" ca="1">IF(INDIRECT(AN$13&amp;$AC54)=0,NA(),INDIRECT(AN$13&amp;$AC54))</f>
        <v>5337</v>
      </c>
      <c r="AO54" s="5" cm="1">
        <f t="array" aca="1" ref="AO54" ca="1">IF(INDIRECT(AO$13&amp;$AC54)=0,NA(),INDIRECT(AO$13&amp;$AC54))</f>
        <v>8223</v>
      </c>
      <c r="AP54" s="5" cm="1">
        <f t="array" aca="1" ref="AP54" ca="1">IF(INDIRECT(AP$13&amp;$AC54)=0,NA(),INDIRECT(AP$13&amp;$AC54))</f>
        <v>7642</v>
      </c>
      <c r="AQ54" s="5" cm="1">
        <f t="array" aca="1" ref="AQ54" ca="1">IF(INDIRECT(AQ$13&amp;$AC54)=0,NA(),INDIRECT(AQ$13&amp;$AC54))</f>
        <v>6595</v>
      </c>
      <c r="AR54" s="5" cm="1">
        <f t="array" aca="1" ref="AR54" ca="1">IF(INDIRECT(AR$13&amp;$AC54)=0,NA(),INDIRECT(AR$13&amp;$AC54))</f>
        <v>6743</v>
      </c>
      <c r="AS54" t="e" cm="1">
        <f t="array" aca="1" ref="AS54" ca="1">IF(INDIRECT(AS$13&amp;$AC54)=0,NA(),INDIRECT(AS$13&amp;$AC54))</f>
        <v>#N/A</v>
      </c>
    </row>
    <row r="55" spans="4:45" x14ac:dyDescent="0.25">
      <c r="D55" t="s">
        <v>16</v>
      </c>
      <c r="E55">
        <v>2014</v>
      </c>
      <c r="F55" t="s">
        <v>30</v>
      </c>
      <c r="G55">
        <v>1644543</v>
      </c>
      <c r="H55">
        <v>1487672</v>
      </c>
      <c r="I55">
        <v>1411538</v>
      </c>
      <c r="J55">
        <v>1285055</v>
      </c>
      <c r="K55">
        <v>1170442</v>
      </c>
      <c r="L55">
        <v>1198782</v>
      </c>
      <c r="M55">
        <v>1192015</v>
      </c>
      <c r="N55">
        <v>1102574</v>
      </c>
      <c r="O55">
        <v>1491446</v>
      </c>
      <c r="P55">
        <v>1401364</v>
      </c>
      <c r="Q55">
        <v>1240523</v>
      </c>
      <c r="R55">
        <v>1299941</v>
      </c>
      <c r="W55">
        <v>41</v>
      </c>
      <c r="X55" t="s">
        <v>74</v>
      </c>
      <c r="Y55">
        <f t="shared" si="2"/>
        <v>2175</v>
      </c>
      <c r="Z55">
        <f t="shared" si="3"/>
        <v>2228</v>
      </c>
      <c r="AC55" s="3">
        <f t="shared" si="4"/>
        <v>109</v>
      </c>
      <c r="AD55" t="str" cm="1">
        <f t="array" aca="1" ref="AD55" ca="1">IF(INDIRECT(AD$13&amp;$AC55)=0,NA(),INDIRECT(AD$13&amp;$AC55))</f>
        <v>01a</v>
      </c>
      <c r="AE55" cm="1">
        <f t="array" aca="1" ref="AE55" ca="1">IF(INDIRECT(AE$13&amp;$AC55)=0,NA(),INDIRECT(AE$13&amp;$AC55))</f>
        <v>2014</v>
      </c>
      <c r="AF55" t="str" cm="1">
        <f t="array" aca="1" ref="AF55" ca="1">IF(INDIRECT(AF$13&amp;$AC55)=0,NA(),INDIRECT(AF$13&amp;$AC55))</f>
        <v>nbvis_mm</v>
      </c>
      <c r="AG55" s="5" cm="1">
        <f t="array" aca="1" ref="AG55" ca="1">IF(INDIRECT(AG$13&amp;$AC55)=0,NA(),INDIRECT(AG$13&amp;$AC55))</f>
        <v>9394</v>
      </c>
      <c r="AH55" s="5" cm="1">
        <f t="array" aca="1" ref="AH55" ca="1">IF(INDIRECT(AH$13&amp;$AC55)=0,NA(),INDIRECT(AH$13&amp;$AC55))</f>
        <v>8113</v>
      </c>
      <c r="AI55" s="5" cm="1">
        <f t="array" aca="1" ref="AI55" ca="1">IF(INDIRECT(AI$13&amp;$AC55)=0,NA(),INDIRECT(AI$13&amp;$AC55))</f>
        <v>6958</v>
      </c>
      <c r="AJ55" s="5" cm="1">
        <f t="array" aca="1" ref="AJ55" ca="1">IF(INDIRECT(AJ$13&amp;$AC55)=0,NA(),INDIRECT(AJ$13&amp;$AC55))</f>
        <v>6450</v>
      </c>
      <c r="AK55" s="5" cm="1">
        <f t="array" aca="1" ref="AK55" ca="1">IF(INDIRECT(AK$13&amp;$AC55)=0,NA(),INDIRECT(AK$13&amp;$AC55))</f>
        <v>3908</v>
      </c>
      <c r="AL55" s="5" cm="1">
        <f t="array" aca="1" ref="AL55" ca="1">IF(INDIRECT(AL$13&amp;$AC55)=0,NA(),INDIRECT(AL$13&amp;$AC55))</f>
        <v>4096</v>
      </c>
      <c r="AM55" s="5" cm="1">
        <f t="array" aca="1" ref="AM55" ca="1">IF(INDIRECT(AM$13&amp;$AC55)=0,NA(),INDIRECT(AM$13&amp;$AC55))</f>
        <v>3315</v>
      </c>
      <c r="AN55" s="15" cm="1">
        <f t="array" aca="1" ref="AN55" ca="1">IF(INDIRECT(AN$13&amp;$AC55)=0,NA(),INDIRECT(AN$13&amp;$AC55))</f>
        <v>2194</v>
      </c>
      <c r="AO55" s="15" cm="1">
        <f t="array" aca="1" ref="AO55" ca="1">IF(INDIRECT(AO$13&amp;$AC55)=0,NA(),INDIRECT(AO$13&amp;$AC55))</f>
        <v>4427</v>
      </c>
      <c r="AP55" s="15" cm="1">
        <f t="array" aca="1" ref="AP55" ca="1">IF(INDIRECT(AP$13&amp;$AC55)=0,NA(),INDIRECT(AP$13&amp;$AC55))</f>
        <v>3294</v>
      </c>
      <c r="AQ55" s="15" cm="1">
        <f t="array" aca="1" ref="AQ55" ca="1">IF(INDIRECT(AQ$13&amp;$AC55)=0,NA(),INDIRECT(AQ$13&amp;$AC55))</f>
        <v>3080</v>
      </c>
      <c r="AR55" s="15" cm="1">
        <f t="array" aca="1" ref="AR55" ca="1">IF(INDIRECT(AR$13&amp;$AC55)=0,NA(),INDIRECT(AR$13&amp;$AC55))</f>
        <v>2285</v>
      </c>
      <c r="AS55" t="e" cm="1">
        <f t="array" aca="1" ref="AS55" ca="1">IF(INDIRECT(AS$13&amp;$AC55)=0,NA(),INDIRECT(AS$13&amp;$AC55))</f>
        <v>#N/A</v>
      </c>
    </row>
    <row r="56" spans="4:45" x14ac:dyDescent="0.25">
      <c r="D56" t="s">
        <v>16</v>
      </c>
      <c r="E56">
        <v>2015</v>
      </c>
      <c r="F56" t="s">
        <v>30</v>
      </c>
      <c r="G56">
        <v>1337837</v>
      </c>
      <c r="H56">
        <v>1269925</v>
      </c>
      <c r="I56">
        <v>1353460</v>
      </c>
      <c r="J56">
        <v>1109321</v>
      </c>
      <c r="K56">
        <v>941642</v>
      </c>
      <c r="L56">
        <v>1177656</v>
      </c>
      <c r="M56">
        <v>1011196</v>
      </c>
      <c r="W56">
        <v>42</v>
      </c>
      <c r="X56" t="s">
        <v>75</v>
      </c>
      <c r="Y56">
        <f t="shared" si="2"/>
        <v>2229</v>
      </c>
      <c r="Z56">
        <f t="shared" si="3"/>
        <v>2282</v>
      </c>
      <c r="AC56" s="3">
        <f t="shared" si="4"/>
        <v>110</v>
      </c>
      <c r="AD56" t="str" cm="1">
        <f t="array" aca="1" ref="AD56" ca="1">IF(INDIRECT(AD$13&amp;$AC56)=0,NA(),INDIRECT(AD$13&amp;$AC56))</f>
        <v>01a</v>
      </c>
      <c r="AE56" cm="1">
        <f t="array" aca="1" ref="AE56" ca="1">IF(INDIRECT(AE$13&amp;$AC56)=0,NA(),INDIRECT(AE$13&amp;$AC56))</f>
        <v>2015</v>
      </c>
      <c r="AF56" t="str" cm="1">
        <f t="array" aca="1" ref="AF56" ca="1">IF(INDIRECT(AF$13&amp;$AC56)=0,NA(),INDIRECT(AF$13&amp;$AC56))</f>
        <v>nbvis_mm</v>
      </c>
      <c r="AG56" s="4" cm="1">
        <f t="array" aca="1" ref="AG56" ca="1">IF(INDIRECT(AG$13&amp;$AC56)=0,NA(),INDIRECT(AG$13&amp;$AC56))</f>
        <v>2657</v>
      </c>
      <c r="AH56" s="4" cm="1">
        <f t="array" aca="1" ref="AH56" ca="1">IF(INDIRECT(AH$13&amp;$AC56)=0,NA(),INDIRECT(AH$13&amp;$AC56))</f>
        <v>1849</v>
      </c>
      <c r="AI56" s="4" cm="1">
        <f t="array" aca="1" ref="AI56" ca="1">IF(INDIRECT(AI$13&amp;$AC56)=0,NA(),INDIRECT(AI$13&amp;$AC56))</f>
        <v>1896</v>
      </c>
      <c r="AJ56" s="4" cm="1">
        <f t="array" aca="1" ref="AJ56" ca="1">IF(INDIRECT(AJ$13&amp;$AC56)=0,NA(),INDIRECT(AJ$13&amp;$AC56))</f>
        <v>1642</v>
      </c>
      <c r="AK56" s="4" cm="1">
        <f t="array" aca="1" ref="AK56" ca="1">IF(INDIRECT(AK$13&amp;$AC56)=0,NA(),INDIRECT(AK$13&amp;$AC56))</f>
        <v>1541</v>
      </c>
      <c r="AL56" s="4" cm="1">
        <f t="array" aca="1" ref="AL56" ca="1">IF(INDIRECT(AL$13&amp;$AC56)=0,NA(),INDIRECT(AL$13&amp;$AC56))</f>
        <v>1832</v>
      </c>
      <c r="AM56" s="4" cm="1">
        <f t="array" aca="1" ref="AM56" ca="1">IF(INDIRECT(AM$13&amp;$AC56)=0,NA(),INDIRECT(AM$13&amp;$AC56))</f>
        <v>1275</v>
      </c>
      <c r="AN56" t="e" cm="1">
        <f t="array" aca="1" ref="AN56" ca="1">IF(INDIRECT(AN$13&amp;$AC56)=0,NA(),INDIRECT(AN$13&amp;$AC56))</f>
        <v>#N/A</v>
      </c>
      <c r="AO56" t="e" cm="1">
        <f t="array" aca="1" ref="AO56" ca="1">IF(INDIRECT(AO$13&amp;$AC56)=0,NA(),INDIRECT(AO$13&amp;$AC56))</f>
        <v>#N/A</v>
      </c>
      <c r="AP56" t="e" cm="1">
        <f t="array" aca="1" ref="AP56" ca="1">IF(INDIRECT(AP$13&amp;$AC56)=0,NA(),INDIRECT(AP$13&amp;$AC56))</f>
        <v>#N/A</v>
      </c>
      <c r="AQ56" t="e" cm="1">
        <f t="array" aca="1" ref="AQ56" ca="1">IF(INDIRECT(AQ$13&amp;$AC56)=0,NA(),INDIRECT(AQ$13&amp;$AC56))</f>
        <v>#N/A</v>
      </c>
      <c r="AR56" t="e" cm="1">
        <f t="array" aca="1" ref="AR56" ca="1">IF(INDIRECT(AR$13&amp;$AC56)=0,NA(),INDIRECT(AR$13&amp;$AC56))</f>
        <v>#N/A</v>
      </c>
      <c r="AS56" t="e" cm="1">
        <f t="array" aca="1" ref="AS56" ca="1">IF(INDIRECT(AS$13&amp;$AC56)=0,NA(),INDIRECT(AS$13&amp;$AC56))</f>
        <v>#N/A</v>
      </c>
    </row>
    <row r="57" spans="4:45" x14ac:dyDescent="0.25">
      <c r="D57" t="s">
        <v>16</v>
      </c>
      <c r="E57">
        <v>2013</v>
      </c>
      <c r="F57" t="s">
        <v>31</v>
      </c>
      <c r="S57">
        <v>0.76780579003946836</v>
      </c>
      <c r="W57">
        <v>43</v>
      </c>
      <c r="X57" t="s">
        <v>76</v>
      </c>
      <c r="Y57">
        <f t="shared" si="2"/>
        <v>2283</v>
      </c>
      <c r="Z57">
        <f t="shared" si="3"/>
        <v>2336</v>
      </c>
      <c r="AC57" s="3">
        <f t="shared" si="4"/>
        <v>111</v>
      </c>
      <c r="AD57" t="str" cm="1">
        <f t="array" aca="1" ref="AD57" ca="1">IF(INDIRECT(AD$13&amp;$AC57)=0,NA(),INDIRECT(AD$13&amp;$AC57))</f>
        <v>01a</v>
      </c>
      <c r="AE57" cm="1">
        <f t="array" aca="1" ref="AE57" ca="1">IF(INDIRECT(AE$13&amp;$AC57)=0,NA(),INDIRECT(AE$13&amp;$AC57))</f>
        <v>2013</v>
      </c>
      <c r="AF57" t="str" cm="1">
        <f t="array" aca="1" ref="AF57" ca="1">IF(INDIRECT(AF$13&amp;$AC57)=0,NA(),INDIRECT(AF$13&amp;$AC57))</f>
        <v>txapptra_cc</v>
      </c>
      <c r="AG57" t="e" cm="1">
        <f t="array" aca="1" ref="AG57" ca="1">IF(INDIRECT(AG$13&amp;$AC57)=0,NA(),INDIRECT(AG$13&amp;$AC57))</f>
        <v>#N/A</v>
      </c>
      <c r="AH57" t="e" cm="1">
        <f t="array" aca="1" ref="AH57" ca="1">IF(INDIRECT(AH$13&amp;$AC57)=0,NA(),INDIRECT(AH$13&amp;$AC57))</f>
        <v>#N/A</v>
      </c>
      <c r="AI57" t="e" cm="1">
        <f t="array" aca="1" ref="AI57" ca="1">IF(INDIRECT(AI$13&amp;$AC57)=0,NA(),INDIRECT(AI$13&amp;$AC57))</f>
        <v>#N/A</v>
      </c>
      <c r="AJ57" t="e" cm="1">
        <f t="array" aca="1" ref="AJ57" ca="1">IF(INDIRECT(AJ$13&amp;$AC57)=0,NA(),INDIRECT(AJ$13&amp;$AC57))</f>
        <v>#N/A</v>
      </c>
      <c r="AK57" t="e" cm="1">
        <f t="array" aca="1" ref="AK57" ca="1">IF(INDIRECT(AK$13&amp;$AC57)=0,NA(),INDIRECT(AK$13&amp;$AC57))</f>
        <v>#N/A</v>
      </c>
      <c r="AL57" t="e" cm="1">
        <f t="array" aca="1" ref="AL57" ca="1">IF(INDIRECT(AL$13&amp;$AC57)=0,NA(),INDIRECT(AL$13&amp;$AC57))</f>
        <v>#N/A</v>
      </c>
      <c r="AM57" t="e" cm="1">
        <f t="array" aca="1" ref="AM57" ca="1">IF(INDIRECT(AM$13&amp;$AC57)=0,NA(),INDIRECT(AM$13&amp;$AC57))</f>
        <v>#N/A</v>
      </c>
      <c r="AN57" t="e" cm="1">
        <f t="array" aca="1" ref="AN57" ca="1">IF(INDIRECT(AN$13&amp;$AC57)=0,NA(),INDIRECT(AN$13&amp;$AC57))</f>
        <v>#N/A</v>
      </c>
      <c r="AO57" t="e" cm="1">
        <f t="array" aca="1" ref="AO57" ca="1">IF(INDIRECT(AO$13&amp;$AC57)=0,NA(),INDIRECT(AO$13&amp;$AC57))</f>
        <v>#N/A</v>
      </c>
      <c r="AP57" t="e" cm="1">
        <f t="array" aca="1" ref="AP57" ca="1">IF(INDIRECT(AP$13&amp;$AC57)=0,NA(),INDIRECT(AP$13&amp;$AC57))</f>
        <v>#N/A</v>
      </c>
      <c r="AQ57" t="e" cm="1">
        <f t="array" aca="1" ref="AQ57" ca="1">IF(INDIRECT(AQ$13&amp;$AC57)=0,NA(),INDIRECT(AQ$13&amp;$AC57))</f>
        <v>#N/A</v>
      </c>
      <c r="AR57" t="e" cm="1">
        <f t="array" aca="1" ref="AR57" ca="1">IF(INDIRECT(AR$13&amp;$AC57)=0,NA(),INDIRECT(AR$13&amp;$AC57))</f>
        <v>#N/A</v>
      </c>
      <c r="AS57" cm="1">
        <f t="array" aca="1" ref="AS57" ca="1">IF(INDIRECT(AS$13&amp;$AC57)=0,NA(),INDIRECT(AS$13&amp;$AC57))</f>
        <v>0.83734426655502459</v>
      </c>
    </row>
    <row r="58" spans="4:45" x14ac:dyDescent="0.25">
      <c r="D58" t="s">
        <v>16</v>
      </c>
      <c r="E58">
        <v>2014</v>
      </c>
      <c r="F58" t="s">
        <v>31</v>
      </c>
      <c r="S58">
        <v>0.90422648334850131</v>
      </c>
      <c r="W58">
        <v>44</v>
      </c>
      <c r="X58" t="s">
        <v>77</v>
      </c>
      <c r="Y58">
        <f t="shared" si="2"/>
        <v>2337</v>
      </c>
      <c r="Z58">
        <f t="shared" si="3"/>
        <v>2390</v>
      </c>
      <c r="AC58" s="3">
        <f t="shared" si="4"/>
        <v>112</v>
      </c>
      <c r="AD58" t="str" cm="1">
        <f t="array" aca="1" ref="AD58" ca="1">IF(INDIRECT(AD$13&amp;$AC58)=0,NA(),INDIRECT(AD$13&amp;$AC58))</f>
        <v>01a</v>
      </c>
      <c r="AE58" cm="1">
        <f t="array" aca="1" ref="AE58" ca="1">IF(INDIRECT(AE$13&amp;$AC58)=0,NA(),INDIRECT(AE$13&amp;$AC58))</f>
        <v>2014</v>
      </c>
      <c r="AF58" t="str" cm="1">
        <f t="array" aca="1" ref="AF58" ca="1">IF(INDIRECT(AF$13&amp;$AC58)=0,NA(),INDIRECT(AF$13&amp;$AC58))</f>
        <v>txapptra_cc</v>
      </c>
      <c r="AG58" t="e" cm="1">
        <f t="array" aca="1" ref="AG58" ca="1">IF(INDIRECT(AG$13&amp;$AC58)=0,NA(),INDIRECT(AG$13&amp;$AC58))</f>
        <v>#N/A</v>
      </c>
      <c r="AH58" t="e" cm="1">
        <f t="array" aca="1" ref="AH58" ca="1">IF(INDIRECT(AH$13&amp;$AC58)=0,NA(),INDIRECT(AH$13&amp;$AC58))</f>
        <v>#N/A</v>
      </c>
      <c r="AI58" t="e" cm="1">
        <f t="array" aca="1" ref="AI58" ca="1">IF(INDIRECT(AI$13&amp;$AC58)=0,NA(),INDIRECT(AI$13&amp;$AC58))</f>
        <v>#N/A</v>
      </c>
      <c r="AJ58" t="e" cm="1">
        <f t="array" aca="1" ref="AJ58" ca="1">IF(INDIRECT(AJ$13&amp;$AC58)=0,NA(),INDIRECT(AJ$13&amp;$AC58))</f>
        <v>#N/A</v>
      </c>
      <c r="AK58" t="e" cm="1">
        <f t="array" aca="1" ref="AK58" ca="1">IF(INDIRECT(AK$13&amp;$AC58)=0,NA(),INDIRECT(AK$13&amp;$AC58))</f>
        <v>#N/A</v>
      </c>
      <c r="AL58" t="e" cm="1">
        <f t="array" aca="1" ref="AL58" ca="1">IF(INDIRECT(AL$13&amp;$AC58)=0,NA(),INDIRECT(AL$13&amp;$AC58))</f>
        <v>#N/A</v>
      </c>
      <c r="AM58" t="e" cm="1">
        <f t="array" aca="1" ref="AM58" ca="1">IF(INDIRECT(AM$13&amp;$AC58)=0,NA(),INDIRECT(AM$13&amp;$AC58))</f>
        <v>#N/A</v>
      </c>
      <c r="AN58" t="e" cm="1">
        <f t="array" aca="1" ref="AN58" ca="1">IF(INDIRECT(AN$13&amp;$AC58)=0,NA(),INDIRECT(AN$13&amp;$AC58))</f>
        <v>#N/A</v>
      </c>
      <c r="AO58" t="e" cm="1">
        <f t="array" aca="1" ref="AO58" ca="1">IF(INDIRECT(AO$13&amp;$AC58)=0,NA(),INDIRECT(AO$13&amp;$AC58))</f>
        <v>#N/A</v>
      </c>
      <c r="AP58" t="e" cm="1">
        <f t="array" aca="1" ref="AP58" ca="1">IF(INDIRECT(AP$13&amp;$AC58)=0,NA(),INDIRECT(AP$13&amp;$AC58))</f>
        <v>#N/A</v>
      </c>
      <c r="AQ58" t="e" cm="1">
        <f t="array" aca="1" ref="AQ58" ca="1">IF(INDIRECT(AQ$13&amp;$AC58)=0,NA(),INDIRECT(AQ$13&amp;$AC58))</f>
        <v>#N/A</v>
      </c>
      <c r="AR58" t="e" cm="1">
        <f t="array" aca="1" ref="AR58" ca="1">IF(INDIRECT(AR$13&amp;$AC58)=0,NA(),INDIRECT(AR$13&amp;$AC58))</f>
        <v>#N/A</v>
      </c>
      <c r="AS58" cm="1">
        <f t="array" aca="1" ref="AS58" ca="1">IF(INDIRECT(AS$13&amp;$AC58)=0,NA(),INDIRECT(AS$13&amp;$AC58))</f>
        <v>0.93175138468648677</v>
      </c>
    </row>
    <row r="59" spans="4:45" x14ac:dyDescent="0.25">
      <c r="D59" t="s">
        <v>16</v>
      </c>
      <c r="E59">
        <v>2015</v>
      </c>
      <c r="F59" t="s">
        <v>31</v>
      </c>
      <c r="S59">
        <v>0.90048181462496113</v>
      </c>
      <c r="W59">
        <v>45</v>
      </c>
      <c r="X59" t="s">
        <v>78</v>
      </c>
      <c r="Y59">
        <f t="shared" si="2"/>
        <v>2391</v>
      </c>
      <c r="Z59">
        <f t="shared" si="3"/>
        <v>2444</v>
      </c>
      <c r="AC59" s="3">
        <f t="shared" si="4"/>
        <v>113</v>
      </c>
      <c r="AD59" t="str" cm="1">
        <f t="array" aca="1" ref="AD59" ca="1">IF(INDIRECT(AD$13&amp;$AC59)=0,NA(),INDIRECT(AD$13&amp;$AC59))</f>
        <v>01a</v>
      </c>
      <c r="AE59" cm="1">
        <f t="array" aca="1" ref="AE59" ca="1">IF(INDIRECT(AE$13&amp;$AC59)=0,NA(),INDIRECT(AE$13&amp;$AC59))</f>
        <v>2015</v>
      </c>
      <c r="AF59" t="str" cm="1">
        <f t="array" aca="1" ref="AF59" ca="1">IF(INDIRECT(AF$13&amp;$AC59)=0,NA(),INDIRECT(AF$13&amp;$AC59))</f>
        <v>txapptra_cc</v>
      </c>
      <c r="AG59" t="e" cm="1">
        <f t="array" aca="1" ref="AG59" ca="1">IF(INDIRECT(AG$13&amp;$AC59)=0,NA(),INDIRECT(AG$13&amp;$AC59))</f>
        <v>#N/A</v>
      </c>
      <c r="AH59" t="e" cm="1">
        <f t="array" aca="1" ref="AH59" ca="1">IF(INDIRECT(AH$13&amp;$AC59)=0,NA(),INDIRECT(AH$13&amp;$AC59))</f>
        <v>#N/A</v>
      </c>
      <c r="AI59" t="e" cm="1">
        <f t="array" aca="1" ref="AI59" ca="1">IF(INDIRECT(AI$13&amp;$AC59)=0,NA(),INDIRECT(AI$13&amp;$AC59))</f>
        <v>#N/A</v>
      </c>
      <c r="AJ59" t="e" cm="1">
        <f t="array" aca="1" ref="AJ59" ca="1">IF(INDIRECT(AJ$13&amp;$AC59)=0,NA(),INDIRECT(AJ$13&amp;$AC59))</f>
        <v>#N/A</v>
      </c>
      <c r="AK59" t="e" cm="1">
        <f t="array" aca="1" ref="AK59" ca="1">IF(INDIRECT(AK$13&amp;$AC59)=0,NA(),INDIRECT(AK$13&amp;$AC59))</f>
        <v>#N/A</v>
      </c>
      <c r="AL59" t="e" cm="1">
        <f t="array" aca="1" ref="AL59" ca="1">IF(INDIRECT(AL$13&amp;$AC59)=0,NA(),INDIRECT(AL$13&amp;$AC59))</f>
        <v>#N/A</v>
      </c>
      <c r="AM59" t="e" cm="1">
        <f t="array" aca="1" ref="AM59" ca="1">IF(INDIRECT(AM$13&amp;$AC59)=0,NA(),INDIRECT(AM$13&amp;$AC59))</f>
        <v>#N/A</v>
      </c>
      <c r="AN59" t="e" cm="1">
        <f t="array" aca="1" ref="AN59" ca="1">IF(INDIRECT(AN$13&amp;$AC59)=0,NA(),INDIRECT(AN$13&amp;$AC59))</f>
        <v>#N/A</v>
      </c>
      <c r="AO59" t="e" cm="1">
        <f t="array" aca="1" ref="AO59" ca="1">IF(INDIRECT(AO$13&amp;$AC59)=0,NA(),INDIRECT(AO$13&amp;$AC59))</f>
        <v>#N/A</v>
      </c>
      <c r="AP59" t="e" cm="1">
        <f t="array" aca="1" ref="AP59" ca="1">IF(INDIRECT(AP$13&amp;$AC59)=0,NA(),INDIRECT(AP$13&amp;$AC59))</f>
        <v>#N/A</v>
      </c>
      <c r="AQ59" t="e" cm="1">
        <f t="array" aca="1" ref="AQ59" ca="1">IF(INDIRECT(AQ$13&amp;$AC59)=0,NA(),INDIRECT(AQ$13&amp;$AC59))</f>
        <v>#N/A</v>
      </c>
      <c r="AR59" t="e" cm="1">
        <f t="array" aca="1" ref="AR59" ca="1">IF(INDIRECT(AR$13&amp;$AC59)=0,NA(),INDIRECT(AR$13&amp;$AC59))</f>
        <v>#N/A</v>
      </c>
      <c r="AS59" cm="1">
        <f t="array" aca="1" ref="AS59" ca="1">IF(INDIRECT(AS$13&amp;$AC59)=0,NA(),INDIRECT(AS$13&amp;$AC59))</f>
        <v>0.91241046349520294</v>
      </c>
    </row>
    <row r="60" spans="4:45" x14ac:dyDescent="0.25">
      <c r="D60" t="s">
        <v>16</v>
      </c>
      <c r="E60">
        <v>2013</v>
      </c>
      <c r="F60" t="s">
        <v>32</v>
      </c>
      <c r="G60">
        <v>0.71808077494600597</v>
      </c>
      <c r="H60">
        <v>0.69431676937618292</v>
      </c>
      <c r="I60">
        <v>0.75837756381984778</v>
      </c>
      <c r="J60">
        <v>0.79480724477408293</v>
      </c>
      <c r="K60">
        <v>0.77705272926350222</v>
      </c>
      <c r="L60">
        <v>0.80376729185797779</v>
      </c>
      <c r="M60">
        <v>0.88673381509014826</v>
      </c>
      <c r="N60">
        <v>0.88871441312738264</v>
      </c>
      <c r="O60">
        <v>0.88305622705641484</v>
      </c>
      <c r="P60">
        <v>0.91583425623012049</v>
      </c>
      <c r="Q60">
        <v>0.89307333781627185</v>
      </c>
      <c r="R60">
        <v>0.9317041962579502</v>
      </c>
      <c r="W60">
        <v>46</v>
      </c>
      <c r="X60" t="s">
        <v>79</v>
      </c>
      <c r="Y60">
        <f t="shared" si="2"/>
        <v>2445</v>
      </c>
      <c r="Z60">
        <f t="shared" si="3"/>
        <v>2498</v>
      </c>
      <c r="AC60" s="3">
        <f t="shared" si="4"/>
        <v>114</v>
      </c>
      <c r="AD60" t="str" cm="1">
        <f t="array" aca="1" ref="AD60" ca="1">IF(INDIRECT(AD$13&amp;$AC60)=0,NA(),INDIRECT(AD$13&amp;$AC60))</f>
        <v>01a</v>
      </c>
      <c r="AE60" cm="1">
        <f t="array" aca="1" ref="AE60" ca="1">IF(INDIRECT(AE$13&amp;$AC60)=0,NA(),INDIRECT(AE$13&amp;$AC60))</f>
        <v>2013</v>
      </c>
      <c r="AF60" t="str" cm="1">
        <f t="array" aca="1" ref="AF60" ca="1">IF(INDIRECT(AF$13&amp;$AC60)=0,NA(),INDIRECT(AF$13&amp;$AC60))</f>
        <v>txapptra_mm</v>
      </c>
      <c r="AG60" cm="1">
        <f t="array" aca="1" ref="AG60" ca="1">IF(INDIRECT(AG$13&amp;$AC60)=0,NA(),INDIRECT(AG$13&amp;$AC60))</f>
        <v>0.85813382962524321</v>
      </c>
      <c r="AH60" cm="1">
        <f t="array" aca="1" ref="AH60" ca="1">IF(INDIRECT(AH$13&amp;$AC60)=0,NA(),INDIRECT(AH$13&amp;$AC60))</f>
        <v>0.74060975609756097</v>
      </c>
      <c r="AI60" cm="1">
        <f t="array" aca="1" ref="AI60" ca="1">IF(INDIRECT(AI$13&amp;$AC60)=0,NA(),INDIRECT(AI$13&amp;$AC60))</f>
        <v>0.78343626140658129</v>
      </c>
      <c r="AJ60" cm="1">
        <f t="array" aca="1" ref="AJ60" ca="1">IF(INDIRECT(AJ$13&amp;$AC60)=0,NA(),INDIRECT(AJ$13&amp;$AC60))</f>
        <v>0.84489686579158851</v>
      </c>
      <c r="AK60" cm="1">
        <f t="array" aca="1" ref="AK60" ca="1">IF(INDIRECT(AK$13&amp;$AC60)=0,NA(),INDIRECT(AK$13&amp;$AC60))</f>
        <v>0.84850201053406582</v>
      </c>
      <c r="AL60" cm="1">
        <f t="array" aca="1" ref="AL60" ca="1">IF(INDIRECT(AL$13&amp;$AC60)=0,NA(),INDIRECT(AL$13&amp;$AC60))</f>
        <v>0.8943358728055647</v>
      </c>
      <c r="AM60" cm="1">
        <f t="array" aca="1" ref="AM60" ca="1">IF(INDIRECT(AM$13&amp;$AC60)=0,NA(),INDIRECT(AM$13&amp;$AC60))</f>
        <v>0.94557941912577848</v>
      </c>
      <c r="AN60" s="5" cm="1">
        <f t="array" aca="1" ref="AN60" ca="1">IF(INDIRECT(AN$13&amp;$AC60)=0,NA(),INDIRECT(AN$13&amp;$AC60))</f>
        <v>0.92435265104808872</v>
      </c>
      <c r="AO60" s="5" cm="1">
        <f t="array" aca="1" ref="AO60" ca="1">IF(INDIRECT(AO$13&amp;$AC60)=0,NA(),INDIRECT(AO$13&amp;$AC60))</f>
        <v>0.9226571886263516</v>
      </c>
      <c r="AP60" s="5" cm="1">
        <f t="array" aca="1" ref="AP60" ca="1">IF(INDIRECT(AP$13&amp;$AC60)=0,NA(),INDIRECT(AP$13&amp;$AC60))</f>
        <v>0.97456594578129763</v>
      </c>
      <c r="AQ60" s="5" cm="1">
        <f t="array" aca="1" ref="AQ60" ca="1">IF(INDIRECT(AQ$13&amp;$AC60)=0,NA(),INDIRECT(AQ$13&amp;$AC60))</f>
        <v>0.95766729136809614</v>
      </c>
      <c r="AR60" s="5" cm="1">
        <f t="array" aca="1" ref="AR60" ca="1">IF(INDIRECT(AR$13&amp;$AC60)=0,NA(),INDIRECT(AR$13&amp;$AC60))</f>
        <v>0.96540119265513369</v>
      </c>
      <c r="AS60" t="e" cm="1">
        <f t="array" aca="1" ref="AS60" ca="1">IF(INDIRECT(AS$13&amp;$AC60)=0,NA(),INDIRECT(AS$13&amp;$AC60))</f>
        <v>#N/A</v>
      </c>
    </row>
    <row r="61" spans="4:45" x14ac:dyDescent="0.25">
      <c r="D61" t="s">
        <v>16</v>
      </c>
      <c r="E61">
        <v>2014</v>
      </c>
      <c r="F61" t="s">
        <v>32</v>
      </c>
      <c r="G61">
        <v>0.91270653262711743</v>
      </c>
      <c r="H61">
        <v>0.88464160409088344</v>
      </c>
      <c r="I61">
        <v>0.91374670276763359</v>
      </c>
      <c r="J61">
        <v>0.9269953530191839</v>
      </c>
      <c r="K61">
        <v>0.89190564980386167</v>
      </c>
      <c r="L61">
        <v>0.89666930058486005</v>
      </c>
      <c r="M61">
        <v>0.90505143917435649</v>
      </c>
      <c r="N61">
        <v>0.90630610276486978</v>
      </c>
      <c r="O61">
        <v>0.90653237577469237</v>
      </c>
      <c r="P61">
        <v>0.92089162920145584</v>
      </c>
      <c r="Q61">
        <v>0.91512490525579948</v>
      </c>
      <c r="R61">
        <v>0.91167661193087002</v>
      </c>
      <c r="W61">
        <v>47</v>
      </c>
      <c r="X61" t="s">
        <v>80</v>
      </c>
      <c r="Y61">
        <f t="shared" si="2"/>
        <v>2499</v>
      </c>
      <c r="Z61">
        <f t="shared" si="3"/>
        <v>2552</v>
      </c>
      <c r="AC61" s="3">
        <f t="shared" si="4"/>
        <v>115</v>
      </c>
      <c r="AD61" t="str" cm="1">
        <f t="array" aca="1" ref="AD61" ca="1">IF(INDIRECT(AD$13&amp;$AC61)=0,NA(),INDIRECT(AD$13&amp;$AC61))</f>
        <v>01a</v>
      </c>
      <c r="AE61" cm="1">
        <f t="array" aca="1" ref="AE61" ca="1">IF(INDIRECT(AE$13&amp;$AC61)=0,NA(),INDIRECT(AE$13&amp;$AC61))</f>
        <v>2014</v>
      </c>
      <c r="AF61" t="str" cm="1">
        <f t="array" aca="1" ref="AF61" ca="1">IF(INDIRECT(AF$13&amp;$AC61)=0,NA(),INDIRECT(AF$13&amp;$AC61))</f>
        <v>txapptra_mm</v>
      </c>
      <c r="AG61" s="5" cm="1">
        <f t="array" aca="1" ref="AG61" ca="1">IF(INDIRECT(AG$13&amp;$AC61)=0,NA(),INDIRECT(AG$13&amp;$AC61))</f>
        <v>0.94550479316003111</v>
      </c>
      <c r="AH61" s="5" cm="1">
        <f t="array" aca="1" ref="AH61" ca="1">IF(INDIRECT(AH$13&amp;$AC61)=0,NA(),INDIRECT(AH$13&amp;$AC61))</f>
        <v>0.92408387876766585</v>
      </c>
      <c r="AI61" s="5" cm="1">
        <f t="array" aca="1" ref="AI61" ca="1">IF(INDIRECT(AI$13&amp;$AC61)=0,NA(),INDIRECT(AI$13&amp;$AC61))</f>
        <v>0.93725756400310323</v>
      </c>
      <c r="AJ61" s="5" cm="1">
        <f t="array" aca="1" ref="AJ61" ca="1">IF(INDIRECT(AJ$13&amp;$AC61)=0,NA(),INDIRECT(AJ$13&amp;$AC61))</f>
        <v>0.95114118591581598</v>
      </c>
      <c r="AK61" s="5" cm="1">
        <f t="array" aca="1" ref="AK61" ca="1">IF(INDIRECT(AK$13&amp;$AC61)=0,NA(),INDIRECT(AK$13&amp;$AC61))</f>
        <v>0.93958559209733772</v>
      </c>
      <c r="AL61" s="5" cm="1">
        <f t="array" aca="1" ref="AL61" ca="1">IF(INDIRECT(AL$13&amp;$AC61)=0,NA(),INDIRECT(AL$13&amp;$AC61))</f>
        <v>0.91742624130486927</v>
      </c>
      <c r="AM61" s="5" cm="1">
        <f t="array" aca="1" ref="AM61" ca="1">IF(INDIRECT(AM$13&amp;$AC61)=0,NA(),INDIRECT(AM$13&amp;$AC61))</f>
        <v>0.9078723617085126</v>
      </c>
      <c r="AN61" s="18" cm="1">
        <f t="array" aca="1" ref="AN61" ca="1">IF(INDIRECT(AN$13&amp;$AC61)=0,NA(),INDIRECT(AN$13&amp;$AC61))</f>
        <v>0.89710246587168829</v>
      </c>
      <c r="AO61" s="18" cm="1">
        <f t="array" aca="1" ref="AO61" ca="1">IF(INDIRECT(AO$13&amp;$AC61)=0,NA(),INDIRECT(AO$13&amp;$AC61))</f>
        <v>0.91316516157922234</v>
      </c>
      <c r="AP61" s="18" cm="1">
        <f t="array" aca="1" ref="AP61" ca="1">IF(INDIRECT(AP$13&amp;$AC61)=0,NA(),INDIRECT(AP$13&amp;$AC61))</f>
        <v>0.92588480222068004</v>
      </c>
      <c r="AQ61" s="18" cm="1">
        <f t="array" aca="1" ref="AQ61" ca="1">IF(INDIRECT(AQ$13&amp;$AC61)=0,NA(),INDIRECT(AQ$13&amp;$AC61))</f>
        <v>0.94202133277009192</v>
      </c>
      <c r="AR61" s="18" cm="1">
        <f t="array" aca="1" ref="AR61" ca="1">IF(INDIRECT(AR$13&amp;$AC61)=0,NA(),INDIRECT(AR$13&amp;$AC61))</f>
        <v>0.93169530539050371</v>
      </c>
      <c r="AS61" t="e" cm="1">
        <f t="array" aca="1" ref="AS61" ca="1">IF(INDIRECT(AS$13&amp;$AC61)=0,NA(),INDIRECT(AS$13&amp;$AC61))</f>
        <v>#N/A</v>
      </c>
    </row>
    <row r="62" spans="4:45" x14ac:dyDescent="0.25">
      <c r="D62" t="s">
        <v>16</v>
      </c>
      <c r="E62">
        <v>2015</v>
      </c>
      <c r="F62" t="s">
        <v>32</v>
      </c>
      <c r="G62">
        <v>0.91914639256928976</v>
      </c>
      <c r="H62">
        <v>0.89843865059906958</v>
      </c>
      <c r="I62">
        <v>0.895528390016056</v>
      </c>
      <c r="J62">
        <v>0.90013600606790034</v>
      </c>
      <c r="K62">
        <v>0.89978393630197151</v>
      </c>
      <c r="L62">
        <v>0.90341397086913777</v>
      </c>
      <c r="M62">
        <v>0.88619938722601932</v>
      </c>
      <c r="W62">
        <v>48</v>
      </c>
      <c r="X62" t="s">
        <v>81</v>
      </c>
      <c r="Y62">
        <f t="shared" si="2"/>
        <v>2553</v>
      </c>
      <c r="Z62">
        <f t="shared" si="3"/>
        <v>2606</v>
      </c>
      <c r="AC62" s="3">
        <f t="shared" si="4"/>
        <v>116</v>
      </c>
      <c r="AD62" t="str" cm="1">
        <f t="array" aca="1" ref="AD62" ca="1">IF(INDIRECT(AD$13&amp;$AC62)=0,NA(),INDIRECT(AD$13&amp;$AC62))</f>
        <v>01a</v>
      </c>
      <c r="AE62" cm="1">
        <f t="array" aca="1" ref="AE62" ca="1">IF(INDIRECT(AE$13&amp;$AC62)=0,NA(),INDIRECT(AE$13&amp;$AC62))</f>
        <v>2015</v>
      </c>
      <c r="AF62" t="str" cm="1">
        <f t="array" aca="1" ref="AF62" ca="1">IF(INDIRECT(AF$13&amp;$AC62)=0,NA(),INDIRECT(AF$13&amp;$AC62))</f>
        <v>txapptra_mm</v>
      </c>
      <c r="AG62" s="18" cm="1">
        <f t="array" aca="1" ref="AG62" ca="1">IF(INDIRECT(AG$13&amp;$AC62)=0,NA(),INDIRECT(AG$13&amp;$AC62))</f>
        <v>0.92669916306447164</v>
      </c>
      <c r="AH62" s="18" cm="1">
        <f t="array" aca="1" ref="AH62" ca="1">IF(INDIRECT(AH$13&amp;$AC62)=0,NA(),INDIRECT(AH$13&amp;$AC62))</f>
        <v>0.91097187161918503</v>
      </c>
      <c r="AI62" s="18" cm="1">
        <f t="array" aca="1" ref="AI62" ca="1">IF(INDIRECT(AI$13&amp;$AC62)=0,NA(),INDIRECT(AI$13&amp;$AC62))</f>
        <v>0.92499899570160282</v>
      </c>
      <c r="AJ62" s="18" cm="1">
        <f t="array" aca="1" ref="AJ62" ca="1">IF(INDIRECT(AJ$13&amp;$AC62)=0,NA(),INDIRECT(AJ$13&amp;$AC62))</f>
        <v>0.9106142553602472</v>
      </c>
      <c r="AK62" s="18" cm="1">
        <f t="array" aca="1" ref="AK62" ca="1">IF(INDIRECT(AK$13&amp;$AC62)=0,NA(),INDIRECT(AK$13&amp;$AC62))</f>
        <v>0.91386554621848737</v>
      </c>
      <c r="AL62" s="18" cm="1">
        <f t="array" aca="1" ref="AL62" ca="1">IF(INDIRECT(AL$13&amp;$AC62)=0,NA(),INDIRECT(AL$13&amp;$AC62))</f>
        <v>0.91146902468550972</v>
      </c>
      <c r="AM62" s="18" cm="1">
        <f t="array" aca="1" ref="AM62" ca="1">IF(INDIRECT(AM$13&amp;$AC62)=0,NA(),INDIRECT(AM$13&amp;$AC62))</f>
        <v>0.88350711387333714</v>
      </c>
      <c r="AN62" t="e" cm="1">
        <f t="array" aca="1" ref="AN62" ca="1">IF(INDIRECT(AN$13&amp;$AC62)=0,NA(),INDIRECT(AN$13&amp;$AC62))</f>
        <v>#N/A</v>
      </c>
      <c r="AO62" t="e" cm="1">
        <f t="array" aca="1" ref="AO62" ca="1">IF(INDIRECT(AO$13&amp;$AC62)=0,NA(),INDIRECT(AO$13&amp;$AC62))</f>
        <v>#N/A</v>
      </c>
      <c r="AP62" t="e" cm="1">
        <f t="array" aca="1" ref="AP62" ca="1">IF(INDIRECT(AP$13&amp;$AC62)=0,NA(),INDIRECT(AP$13&amp;$AC62))</f>
        <v>#N/A</v>
      </c>
      <c r="AQ62" t="e" cm="1">
        <f t="array" aca="1" ref="AQ62" ca="1">IF(INDIRECT(AQ$13&amp;$AC62)=0,NA(),INDIRECT(AQ$13&amp;$AC62))</f>
        <v>#N/A</v>
      </c>
      <c r="AR62" t="e" cm="1">
        <f t="array" aca="1" ref="AR62" ca="1">IF(INDIRECT(AR$13&amp;$AC62)=0,NA(),INDIRECT(AR$13&amp;$AC62))</f>
        <v>#N/A</v>
      </c>
      <c r="AS62" t="e" cm="1">
        <f t="array" aca="1" ref="AS62" ca="1">IF(INDIRECT(AS$13&amp;$AC62)=0,NA(),INDIRECT(AS$13&amp;$AC62))</f>
        <v>#N/A</v>
      </c>
    </row>
    <row r="63" spans="4:45" x14ac:dyDescent="0.25">
      <c r="D63" t="s">
        <v>16</v>
      </c>
      <c r="E63">
        <v>2013</v>
      </c>
      <c r="F63" t="s">
        <v>33</v>
      </c>
      <c r="S63">
        <v>0.74654133308059445</v>
      </c>
      <c r="W63">
        <v>49</v>
      </c>
      <c r="X63" t="s">
        <v>82</v>
      </c>
      <c r="Y63">
        <f t="shared" si="2"/>
        <v>2607</v>
      </c>
      <c r="Z63">
        <f t="shared" si="3"/>
        <v>2660</v>
      </c>
      <c r="AC63" s="3">
        <f t="shared" si="4"/>
        <v>117</v>
      </c>
      <c r="AD63" t="str" cm="1">
        <f t="array" aca="1" ref="AD63" ca="1">IF(INDIRECT(AD$13&amp;$AC63)=0,NA(),INDIRECT(AD$13&amp;$AC63))</f>
        <v>01a</v>
      </c>
      <c r="AE63" cm="1">
        <f t="array" aca="1" ref="AE63" ca="1">IF(INDIRECT(AE$13&amp;$AC63)=0,NA(),INDIRECT(AE$13&amp;$AC63))</f>
        <v>2013</v>
      </c>
      <c r="AF63" t="str" cm="1">
        <f t="array" aca="1" ref="AF63" ca="1">IF(INDIRECT(AF$13&amp;$AC63)=0,NA(),INDIRECT(AF$13&amp;$AC63))</f>
        <v>txapptragt_cc</v>
      </c>
      <c r="AG63" t="e" cm="1">
        <f t="array" aca="1" ref="AG63" ca="1">IF(INDIRECT(AG$13&amp;$AC63)=0,NA(),INDIRECT(AG$13&amp;$AC63))</f>
        <v>#N/A</v>
      </c>
      <c r="AH63" t="e" cm="1">
        <f t="array" aca="1" ref="AH63" ca="1">IF(INDIRECT(AH$13&amp;$AC63)=0,NA(),INDIRECT(AH$13&amp;$AC63))</f>
        <v>#N/A</v>
      </c>
      <c r="AI63" t="e" cm="1">
        <f t="array" aca="1" ref="AI63" ca="1">IF(INDIRECT(AI$13&amp;$AC63)=0,NA(),INDIRECT(AI$13&amp;$AC63))</f>
        <v>#N/A</v>
      </c>
      <c r="AJ63" t="e" cm="1">
        <f t="array" aca="1" ref="AJ63" ca="1">IF(INDIRECT(AJ$13&amp;$AC63)=0,NA(),INDIRECT(AJ$13&amp;$AC63))</f>
        <v>#N/A</v>
      </c>
      <c r="AK63" t="e" cm="1">
        <f t="array" aca="1" ref="AK63" ca="1">IF(INDIRECT(AK$13&amp;$AC63)=0,NA(),INDIRECT(AK$13&amp;$AC63))</f>
        <v>#N/A</v>
      </c>
      <c r="AL63" t="e" cm="1">
        <f t="array" aca="1" ref="AL63" ca="1">IF(INDIRECT(AL$13&amp;$AC63)=0,NA(),INDIRECT(AL$13&amp;$AC63))</f>
        <v>#N/A</v>
      </c>
      <c r="AM63" t="e" cm="1">
        <f t="array" aca="1" ref="AM63" ca="1">IF(INDIRECT(AM$13&amp;$AC63)=0,NA(),INDIRECT(AM$13&amp;$AC63))</f>
        <v>#N/A</v>
      </c>
      <c r="AN63" t="e" cm="1">
        <f t="array" aca="1" ref="AN63" ca="1">IF(INDIRECT(AN$13&amp;$AC63)=0,NA(),INDIRECT(AN$13&amp;$AC63))</f>
        <v>#N/A</v>
      </c>
      <c r="AO63" t="e" cm="1">
        <f t="array" aca="1" ref="AO63" ca="1">IF(INDIRECT(AO$13&amp;$AC63)=0,NA(),INDIRECT(AO$13&amp;$AC63))</f>
        <v>#N/A</v>
      </c>
      <c r="AP63" t="e" cm="1">
        <f t="array" aca="1" ref="AP63" ca="1">IF(INDIRECT(AP$13&amp;$AC63)=0,NA(),INDIRECT(AP$13&amp;$AC63))</f>
        <v>#N/A</v>
      </c>
      <c r="AQ63" t="e" cm="1">
        <f t="array" aca="1" ref="AQ63" ca="1">IF(INDIRECT(AQ$13&amp;$AC63)=0,NA(),INDIRECT(AQ$13&amp;$AC63))</f>
        <v>#N/A</v>
      </c>
      <c r="AR63" t="e" cm="1">
        <f t="array" aca="1" ref="AR63" ca="1">IF(INDIRECT(AR$13&amp;$AC63)=0,NA(),INDIRECT(AR$13&amp;$AC63))</f>
        <v>#N/A</v>
      </c>
      <c r="AS63" cm="1">
        <f t="array" aca="1" ref="AS63" ca="1">IF(INDIRECT(AS$13&amp;$AC63)=0,NA(),INDIRECT(AS$13&amp;$AC63))</f>
        <v>0.89449312056501318</v>
      </c>
    </row>
    <row r="64" spans="4:45" x14ac:dyDescent="0.25">
      <c r="D64" t="s">
        <v>16</v>
      </c>
      <c r="E64">
        <v>2014</v>
      </c>
      <c r="F64" t="s">
        <v>33</v>
      </c>
      <c r="S64">
        <v>0.86981713515396775</v>
      </c>
      <c r="W64">
        <v>50</v>
      </c>
      <c r="X64" t="s">
        <v>83</v>
      </c>
      <c r="Y64">
        <f t="shared" si="2"/>
        <v>2661</v>
      </c>
      <c r="Z64">
        <f t="shared" si="3"/>
        <v>2714</v>
      </c>
      <c r="AC64" s="3">
        <f t="shared" si="4"/>
        <v>118</v>
      </c>
      <c r="AD64" t="str" cm="1">
        <f t="array" aca="1" ref="AD64" ca="1">IF(INDIRECT(AD$13&amp;$AC64)=0,NA(),INDIRECT(AD$13&amp;$AC64))</f>
        <v>01a</v>
      </c>
      <c r="AE64" cm="1">
        <f t="array" aca="1" ref="AE64" ca="1">IF(INDIRECT(AE$13&amp;$AC64)=0,NA(),INDIRECT(AE$13&amp;$AC64))</f>
        <v>2014</v>
      </c>
      <c r="AF64" t="str" cm="1">
        <f t="array" aca="1" ref="AF64" ca="1">IF(INDIRECT(AF$13&amp;$AC64)=0,NA(),INDIRECT(AF$13&amp;$AC64))</f>
        <v>txapptragt_cc</v>
      </c>
      <c r="AG64" t="e" cm="1">
        <f t="array" aca="1" ref="AG64" ca="1">IF(INDIRECT(AG$13&amp;$AC64)=0,NA(),INDIRECT(AG$13&amp;$AC64))</f>
        <v>#N/A</v>
      </c>
      <c r="AH64" t="e" cm="1">
        <f t="array" aca="1" ref="AH64" ca="1">IF(INDIRECT(AH$13&amp;$AC64)=0,NA(),INDIRECT(AH$13&amp;$AC64))</f>
        <v>#N/A</v>
      </c>
      <c r="AI64" t="e" cm="1">
        <f t="array" aca="1" ref="AI64" ca="1">IF(INDIRECT(AI$13&amp;$AC64)=0,NA(),INDIRECT(AI$13&amp;$AC64))</f>
        <v>#N/A</v>
      </c>
      <c r="AJ64" t="e" cm="1">
        <f t="array" aca="1" ref="AJ64" ca="1">IF(INDIRECT(AJ$13&amp;$AC64)=0,NA(),INDIRECT(AJ$13&amp;$AC64))</f>
        <v>#N/A</v>
      </c>
      <c r="AK64" t="e" cm="1">
        <f t="array" aca="1" ref="AK64" ca="1">IF(INDIRECT(AK$13&amp;$AC64)=0,NA(),INDIRECT(AK$13&amp;$AC64))</f>
        <v>#N/A</v>
      </c>
      <c r="AL64" t="e" cm="1">
        <f t="array" aca="1" ref="AL64" ca="1">IF(INDIRECT(AL$13&amp;$AC64)=0,NA(),INDIRECT(AL$13&amp;$AC64))</f>
        <v>#N/A</v>
      </c>
      <c r="AM64" t="e" cm="1">
        <f t="array" aca="1" ref="AM64" ca="1">IF(INDIRECT(AM$13&amp;$AC64)=0,NA(),INDIRECT(AM$13&amp;$AC64))</f>
        <v>#N/A</v>
      </c>
      <c r="AN64" t="e" cm="1">
        <f t="array" aca="1" ref="AN64" ca="1">IF(INDIRECT(AN$13&amp;$AC64)=0,NA(),INDIRECT(AN$13&amp;$AC64))</f>
        <v>#N/A</v>
      </c>
      <c r="AO64" t="e" cm="1">
        <f t="array" aca="1" ref="AO64" ca="1">IF(INDIRECT(AO$13&amp;$AC64)=0,NA(),INDIRECT(AO$13&amp;$AC64))</f>
        <v>#N/A</v>
      </c>
      <c r="AP64" t="e" cm="1">
        <f t="array" aca="1" ref="AP64" ca="1">IF(INDIRECT(AP$13&amp;$AC64)=0,NA(),INDIRECT(AP$13&amp;$AC64))</f>
        <v>#N/A</v>
      </c>
      <c r="AQ64" t="e" cm="1">
        <f t="array" aca="1" ref="AQ64" ca="1">IF(INDIRECT(AQ$13&amp;$AC64)=0,NA(),INDIRECT(AQ$13&amp;$AC64))</f>
        <v>#N/A</v>
      </c>
      <c r="AR64" t="e" cm="1">
        <f t="array" aca="1" ref="AR64" ca="1">IF(INDIRECT(AR$13&amp;$AC64)=0,NA(),INDIRECT(AR$13&amp;$AC64))</f>
        <v>#N/A</v>
      </c>
      <c r="AS64" cm="1">
        <f t="array" aca="1" ref="AS64" ca="1">IF(INDIRECT(AS$13&amp;$AC64)=0,NA(),INDIRECT(AS$13&amp;$AC64))</f>
        <v>0.91452591179594955</v>
      </c>
    </row>
    <row r="65" spans="4:45" x14ac:dyDescent="0.25">
      <c r="D65" t="s">
        <v>16</v>
      </c>
      <c r="E65">
        <v>2015</v>
      </c>
      <c r="F65" t="s">
        <v>33</v>
      </c>
      <c r="S65">
        <v>0.90532287281146995</v>
      </c>
      <c r="W65">
        <v>51</v>
      </c>
      <c r="X65" t="s">
        <v>84</v>
      </c>
      <c r="Y65">
        <f t="shared" si="2"/>
        <v>2715</v>
      </c>
      <c r="Z65">
        <f t="shared" si="3"/>
        <v>2768</v>
      </c>
      <c r="AC65" s="3">
        <f t="shared" si="4"/>
        <v>119</v>
      </c>
      <c r="AD65" t="str" cm="1">
        <f t="array" aca="1" ref="AD65" ca="1">IF(INDIRECT(AD$13&amp;$AC65)=0,NA(),INDIRECT(AD$13&amp;$AC65))</f>
        <v>01a</v>
      </c>
      <c r="AE65" cm="1">
        <f t="array" aca="1" ref="AE65" ca="1">IF(INDIRECT(AE$13&amp;$AC65)=0,NA(),INDIRECT(AE$13&amp;$AC65))</f>
        <v>2015</v>
      </c>
      <c r="AF65" t="str" cm="1">
        <f t="array" aca="1" ref="AF65" ca="1">IF(INDIRECT(AF$13&amp;$AC65)=0,NA(),INDIRECT(AF$13&amp;$AC65))</f>
        <v>txapptragt_cc</v>
      </c>
      <c r="AG65" t="e" cm="1">
        <f t="array" aca="1" ref="AG65" ca="1">IF(INDIRECT(AG$13&amp;$AC65)=0,NA(),INDIRECT(AG$13&amp;$AC65))</f>
        <v>#N/A</v>
      </c>
      <c r="AH65" t="e" cm="1">
        <f t="array" aca="1" ref="AH65" ca="1">IF(INDIRECT(AH$13&amp;$AC65)=0,NA(),INDIRECT(AH$13&amp;$AC65))</f>
        <v>#N/A</v>
      </c>
      <c r="AI65" t="e" cm="1">
        <f t="array" aca="1" ref="AI65" ca="1">IF(INDIRECT(AI$13&amp;$AC65)=0,NA(),INDIRECT(AI$13&amp;$AC65))</f>
        <v>#N/A</v>
      </c>
      <c r="AJ65" t="e" cm="1">
        <f t="array" aca="1" ref="AJ65" ca="1">IF(INDIRECT(AJ$13&amp;$AC65)=0,NA(),INDIRECT(AJ$13&amp;$AC65))</f>
        <v>#N/A</v>
      </c>
      <c r="AK65" t="e" cm="1">
        <f t="array" aca="1" ref="AK65" ca="1">IF(INDIRECT(AK$13&amp;$AC65)=0,NA(),INDIRECT(AK$13&amp;$AC65))</f>
        <v>#N/A</v>
      </c>
      <c r="AL65" t="e" cm="1">
        <f t="array" aca="1" ref="AL65" ca="1">IF(INDIRECT(AL$13&amp;$AC65)=0,NA(),INDIRECT(AL$13&amp;$AC65))</f>
        <v>#N/A</v>
      </c>
      <c r="AM65" t="e" cm="1">
        <f t="array" aca="1" ref="AM65" ca="1">IF(INDIRECT(AM$13&amp;$AC65)=0,NA(),INDIRECT(AM$13&amp;$AC65))</f>
        <v>#N/A</v>
      </c>
      <c r="AN65" t="e" cm="1">
        <f t="array" aca="1" ref="AN65" ca="1">IF(INDIRECT(AN$13&amp;$AC65)=0,NA(),INDIRECT(AN$13&amp;$AC65))</f>
        <v>#N/A</v>
      </c>
      <c r="AO65" t="e" cm="1">
        <f t="array" aca="1" ref="AO65" ca="1">IF(INDIRECT(AO$13&amp;$AC65)=0,NA(),INDIRECT(AO$13&amp;$AC65))</f>
        <v>#N/A</v>
      </c>
      <c r="AP65" t="e" cm="1">
        <f t="array" aca="1" ref="AP65" ca="1">IF(INDIRECT(AP$13&amp;$AC65)=0,NA(),INDIRECT(AP$13&amp;$AC65))</f>
        <v>#N/A</v>
      </c>
      <c r="AQ65" t="e" cm="1">
        <f t="array" aca="1" ref="AQ65" ca="1">IF(INDIRECT(AQ$13&amp;$AC65)=0,NA(),INDIRECT(AQ$13&amp;$AC65))</f>
        <v>#N/A</v>
      </c>
      <c r="AR65" t="e" cm="1">
        <f t="array" aca="1" ref="AR65" ca="1">IF(INDIRECT(AR$13&amp;$AC65)=0,NA(),INDIRECT(AR$13&amp;$AC65))</f>
        <v>#N/A</v>
      </c>
      <c r="AS65" cm="1">
        <f t="array" aca="1" ref="AS65" ca="1">IF(INDIRECT(AS$13&amp;$AC65)=0,NA(),INDIRECT(AS$13&amp;$AC65))</f>
        <v>0.91253872954244497</v>
      </c>
    </row>
    <row r="66" spans="4:45" x14ac:dyDescent="0.25">
      <c r="D66" t="s">
        <v>16</v>
      </c>
      <c r="E66">
        <v>2013</v>
      </c>
      <c r="F66" t="s">
        <v>34</v>
      </c>
      <c r="G66">
        <v>0.67919573858393756</v>
      </c>
      <c r="H66">
        <v>0.63094999076093294</v>
      </c>
      <c r="I66">
        <v>0.74252840981097368</v>
      </c>
      <c r="J66">
        <v>0.80199726784474978</v>
      </c>
      <c r="K66">
        <v>0.77710228400842685</v>
      </c>
      <c r="L66">
        <v>0.82894480176877205</v>
      </c>
      <c r="M66">
        <v>0.85306132766452769</v>
      </c>
      <c r="N66">
        <v>0.82369369618141286</v>
      </c>
      <c r="O66">
        <v>0.82302114392328607</v>
      </c>
      <c r="P66">
        <v>0.87170571130379992</v>
      </c>
      <c r="Q66">
        <v>0.83386211162505763</v>
      </c>
      <c r="R66">
        <v>0.89256014338673229</v>
      </c>
      <c r="W66">
        <v>52</v>
      </c>
      <c r="X66" t="s">
        <v>85</v>
      </c>
      <c r="Y66">
        <f t="shared" si="2"/>
        <v>2769</v>
      </c>
      <c r="Z66">
        <f t="shared" si="3"/>
        <v>2822</v>
      </c>
      <c r="AC66" s="3">
        <f t="shared" si="4"/>
        <v>120</v>
      </c>
      <c r="AD66" t="str" cm="1">
        <f t="array" aca="1" ref="AD66" ca="1">IF(INDIRECT(AD$13&amp;$AC66)=0,NA(),INDIRECT(AD$13&amp;$AC66))</f>
        <v>01a</v>
      </c>
      <c r="AE66" cm="1">
        <f t="array" aca="1" ref="AE66" ca="1">IF(INDIRECT(AE$13&amp;$AC66)=0,NA(),INDIRECT(AE$13&amp;$AC66))</f>
        <v>2013</v>
      </c>
      <c r="AF66" t="str" cm="1">
        <f t="array" aca="1" ref="AF66" ca="1">IF(INDIRECT(AF$13&amp;$AC66)=0,NA(),INDIRECT(AF$13&amp;$AC66))</f>
        <v>txapptragt_mm</v>
      </c>
      <c r="AG66" cm="1">
        <f t="array" aca="1" ref="AG66" ca="1">IF(INDIRECT(AG$13&amp;$AC66)=0,NA(),INDIRECT(AG$13&amp;$AC66))</f>
        <v>0.86612588436203952</v>
      </c>
      <c r="AH66" cm="1">
        <f t="array" aca="1" ref="AH66" ca="1">IF(INDIRECT(AH$13&amp;$AC66)=0,NA(),INDIRECT(AH$13&amp;$AC66))</f>
        <v>0.83015198444140315</v>
      </c>
      <c r="AI66" cm="1">
        <f t="array" aca="1" ref="AI66" ca="1">IF(INDIRECT(AI$13&amp;$AC66)=0,NA(),INDIRECT(AI$13&amp;$AC66))</f>
        <v>0.90897168865231814</v>
      </c>
      <c r="AJ66" cm="1">
        <f t="array" aca="1" ref="AJ66" ca="1">IF(INDIRECT(AJ$13&amp;$AC66)=0,NA(),INDIRECT(AJ$13&amp;$AC66))</f>
        <v>0.89517088256284194</v>
      </c>
      <c r="AK66" cm="1">
        <f t="array" aca="1" ref="AK66" ca="1">IF(INDIRECT(AK$13&amp;$AC66)=0,NA(),INDIRECT(AK$13&amp;$AC66))</f>
        <v>0.90718512256973793</v>
      </c>
      <c r="AL66" cm="1">
        <f t="array" aca="1" ref="AL66" ca="1">IF(INDIRECT(AL$13&amp;$AC66)=0,NA(),INDIRECT(AL$13&amp;$AC66))</f>
        <v>0.9377688557499283</v>
      </c>
      <c r="AM66" cm="1">
        <f t="array" aca="1" ref="AM66" ca="1">IF(INDIRECT(AM$13&amp;$AC66)=0,NA(),INDIRECT(AM$13&amp;$AC66))</f>
        <v>0.94146300495506841</v>
      </c>
      <c r="AN66" s="5" cm="1">
        <f t="array" aca="1" ref="AN66" ca="1">IF(INDIRECT(AN$13&amp;$AC66)=0,NA(),INDIRECT(AN$13&amp;$AC66))</f>
        <v>0.88722426470588234</v>
      </c>
      <c r="AO66" s="5" cm="1">
        <f t="array" aca="1" ref="AO66" ca="1">IF(INDIRECT(AO$13&amp;$AC66)=0,NA(),INDIRECT(AO$13&amp;$AC66))</f>
        <v>0.95662295336385506</v>
      </c>
      <c r="AP66" s="5" cm="1">
        <f t="array" aca="1" ref="AP66" ca="1">IF(INDIRECT(AP$13&amp;$AC66)=0,NA(),INDIRECT(AP$13&amp;$AC66))</f>
        <v>0.9638293264024258</v>
      </c>
      <c r="AQ66" s="5" cm="1">
        <f t="array" aca="1" ref="AQ66" ca="1">IF(INDIRECT(AQ$13&amp;$AC66)=0,NA(),INDIRECT(AQ$13&amp;$AC66))</f>
        <v>0.93521720792914387</v>
      </c>
      <c r="AR66" s="5" cm="1">
        <f t="array" aca="1" ref="AR66" ca="1">IF(INDIRECT(AR$13&amp;$AC66)=0,NA(),INDIRECT(AR$13&amp;$AC66))</f>
        <v>0.94962606378406256</v>
      </c>
      <c r="AS66" t="e" cm="1">
        <f t="array" aca="1" ref="AS66" ca="1">IF(INDIRECT(AS$13&amp;$AC66)=0,NA(),INDIRECT(AS$13&amp;$AC66))</f>
        <v>#N/A</v>
      </c>
    </row>
    <row r="67" spans="4:45" x14ac:dyDescent="0.25">
      <c r="D67" t="s">
        <v>16</v>
      </c>
      <c r="E67">
        <v>2014</v>
      </c>
      <c r="F67" t="s">
        <v>34</v>
      </c>
      <c r="G67">
        <v>0.8695301317802675</v>
      </c>
      <c r="H67">
        <v>0.82242579517581749</v>
      </c>
      <c r="I67">
        <v>0.86775242142569253</v>
      </c>
      <c r="J67">
        <v>0.89090724948604372</v>
      </c>
      <c r="K67">
        <v>0.83941129622023425</v>
      </c>
      <c r="L67">
        <v>0.89056599410145065</v>
      </c>
      <c r="M67">
        <v>0.93055061870005751</v>
      </c>
      <c r="N67">
        <v>0.94670640062619749</v>
      </c>
      <c r="O67">
        <v>0.89904050634257338</v>
      </c>
      <c r="P67">
        <v>0.94404505984123455</v>
      </c>
      <c r="Q67">
        <v>0.91966524334986699</v>
      </c>
      <c r="R67">
        <v>0.91821664654066726</v>
      </c>
      <c r="W67">
        <v>53</v>
      </c>
      <c r="X67" t="s">
        <v>86</v>
      </c>
      <c r="Y67">
        <f t="shared" si="2"/>
        <v>2823</v>
      </c>
      <c r="Z67">
        <f t="shared" si="3"/>
        <v>2876</v>
      </c>
      <c r="AC67" s="3">
        <f t="shared" si="4"/>
        <v>121</v>
      </c>
      <c r="AD67" t="str" cm="1">
        <f t="array" aca="1" ref="AD67" ca="1">IF(INDIRECT(AD$13&amp;$AC67)=0,NA(),INDIRECT(AD$13&amp;$AC67))</f>
        <v>01a</v>
      </c>
      <c r="AE67" cm="1">
        <f t="array" aca="1" ref="AE67" ca="1">IF(INDIRECT(AE$13&amp;$AC67)=0,NA(),INDIRECT(AE$13&amp;$AC67))</f>
        <v>2014</v>
      </c>
      <c r="AF67" t="str" cm="1">
        <f t="array" aca="1" ref="AF67" ca="1">IF(INDIRECT(AF$13&amp;$AC67)=0,NA(),INDIRECT(AF$13&amp;$AC67))</f>
        <v>txapptragt_mm</v>
      </c>
      <c r="AG67" s="5" cm="1">
        <f t="array" aca="1" ref="AG67" ca="1">IF(INDIRECT(AG$13&amp;$AC67)=0,NA(),INDIRECT(AG$13&amp;$AC67))</f>
        <v>0.92045382918373775</v>
      </c>
      <c r="AH67" s="5" cm="1">
        <f t="array" aca="1" ref="AH67" ca="1">IF(INDIRECT(AH$13&amp;$AC67)=0,NA(),INDIRECT(AH$13&amp;$AC67))</f>
        <v>0.87656747780112521</v>
      </c>
      <c r="AI67" s="5" cm="1">
        <f t="array" aca="1" ref="AI67" ca="1">IF(INDIRECT(AI$13&amp;$AC67)=0,NA(),INDIRECT(AI$13&amp;$AC67))</f>
        <v>0.90414814814814815</v>
      </c>
      <c r="AJ67" s="5" cm="1">
        <f t="array" aca="1" ref="AJ67" ca="1">IF(INDIRECT(AJ$13&amp;$AC67)=0,NA(),INDIRECT(AJ$13&amp;$AC67))</f>
        <v>0.9286193029490617</v>
      </c>
      <c r="AK67" s="5" cm="1">
        <f t="array" aca="1" ref="AK67" ca="1">IF(INDIRECT(AK$13&amp;$AC67)=0,NA(),INDIRECT(AK$13&amp;$AC67))</f>
        <v>0.90657600596125187</v>
      </c>
      <c r="AL67" s="5" cm="1">
        <f t="array" aca="1" ref="AL67" ca="1">IF(INDIRECT(AL$13&amp;$AC67)=0,NA(),INDIRECT(AL$13&amp;$AC67))</f>
        <v>0.91162878430632843</v>
      </c>
      <c r="AM67" s="5" cm="1">
        <f t="array" aca="1" ref="AM67" ca="1">IF(INDIRECT(AM$13&amp;$AC67)=0,NA(),INDIRECT(AM$13&amp;$AC67))</f>
        <v>0.9690762261177861</v>
      </c>
      <c r="AN67" s="18" cm="1">
        <f t="array" aca="1" ref="AN67" ca="1">IF(INDIRECT(AN$13&amp;$AC67)=0,NA(),INDIRECT(AN$13&amp;$AC67))</f>
        <v>0.93536559815629583</v>
      </c>
      <c r="AO67" s="18" cm="1">
        <f t="array" aca="1" ref="AO67" ca="1">IF(INDIRECT(AO$13&amp;$AC67)=0,NA(),INDIRECT(AO$13&amp;$AC67))</f>
        <v>0.90707184092366899</v>
      </c>
      <c r="AP67" s="18" cm="1">
        <f t="array" aca="1" ref="AP67" ca="1">IF(INDIRECT(AP$13&amp;$AC67)=0,NA(),INDIRECT(AP$13&amp;$AC67))</f>
        <v>0.95548254620123207</v>
      </c>
      <c r="AQ67" s="18" cm="1">
        <f t="array" aca="1" ref="AQ67" ca="1">IF(INDIRECT(AQ$13&amp;$AC67)=0,NA(),INDIRECT(AQ$13&amp;$AC67))</f>
        <v>0.96367346938775511</v>
      </c>
      <c r="AR67" s="18" cm="1">
        <f t="array" aca="1" ref="AR67" ca="1">IF(INDIRECT(AR$13&amp;$AC67)=0,NA(),INDIRECT(AR$13&amp;$AC67))</f>
        <v>0.95441078084679343</v>
      </c>
      <c r="AS67" t="e" cm="1">
        <f t="array" aca="1" ref="AS67" ca="1">IF(INDIRECT(AS$13&amp;$AC67)=0,NA(),INDIRECT(AS$13&amp;$AC67))</f>
        <v>#N/A</v>
      </c>
    </row>
    <row r="68" spans="4:45" x14ac:dyDescent="0.25">
      <c r="D68" t="s">
        <v>16</v>
      </c>
      <c r="E68">
        <v>2015</v>
      </c>
      <c r="F68" t="s">
        <v>34</v>
      </c>
      <c r="G68">
        <v>0.92024122892931348</v>
      </c>
      <c r="H68">
        <v>0.89678100568468122</v>
      </c>
      <c r="I68">
        <v>0.9117163522443561</v>
      </c>
      <c r="J68">
        <v>0.91120797116931518</v>
      </c>
      <c r="K68">
        <v>0.902349962557501</v>
      </c>
      <c r="L68">
        <v>0.91337914410415644</v>
      </c>
      <c r="M68">
        <v>0.88080203451936467</v>
      </c>
      <c r="W68">
        <v>54</v>
      </c>
      <c r="X68" t="s">
        <v>87</v>
      </c>
      <c r="Y68">
        <f t="shared" si="2"/>
        <v>2877</v>
      </c>
      <c r="Z68">
        <f t="shared" si="3"/>
        <v>2930</v>
      </c>
      <c r="AC68" s="3">
        <f t="shared" si="4"/>
        <v>122</v>
      </c>
      <c r="AD68" t="str" cm="1">
        <f t="array" aca="1" ref="AD68" ca="1">IF(INDIRECT(AD$13&amp;$AC68)=0,NA(),INDIRECT(AD$13&amp;$AC68))</f>
        <v>01a</v>
      </c>
      <c r="AE68" cm="1">
        <f t="array" aca="1" ref="AE68" ca="1">IF(INDIRECT(AE$13&amp;$AC68)=0,NA(),INDIRECT(AE$13&amp;$AC68))</f>
        <v>2015</v>
      </c>
      <c r="AF68" t="str" cm="1">
        <f t="array" aca="1" ref="AF68" ca="1">IF(INDIRECT(AF$13&amp;$AC68)=0,NA(),INDIRECT(AF$13&amp;$AC68))</f>
        <v>txapptragt_mm</v>
      </c>
      <c r="AG68" s="18" cm="1">
        <f t="array" aca="1" ref="AG68" ca="1">IF(INDIRECT(AG$13&amp;$AC68)=0,NA(),INDIRECT(AG$13&amp;$AC68))</f>
        <v>0.93856188098880744</v>
      </c>
      <c r="AH68" s="18" cm="1">
        <f t="array" aca="1" ref="AH68" ca="1">IF(INDIRECT(AH$13&amp;$AC68)=0,NA(),INDIRECT(AH$13&amp;$AC68))</f>
        <v>0.90924512298558102</v>
      </c>
      <c r="AI68" s="18" cm="1">
        <f t="array" aca="1" ref="AI68" ca="1">IF(INDIRECT(AI$13&amp;$AC68)=0,NA(),INDIRECT(AI$13&amp;$AC68))</f>
        <v>0.92567932337592229</v>
      </c>
      <c r="AJ68" s="18" cm="1">
        <f t="array" aca="1" ref="AJ68" ca="1">IF(INDIRECT(AJ$13&amp;$AC68)=0,NA(),INDIRECT(AJ$13&amp;$AC68))</f>
        <v>0.89747116707226748</v>
      </c>
      <c r="AK68" s="18" cm="1">
        <f t="array" aca="1" ref="AK68" ca="1">IF(INDIRECT(AK$13&amp;$AC68)=0,NA(),INDIRECT(AK$13&amp;$AC68))</f>
        <v>0.90667248146532931</v>
      </c>
      <c r="AL68" s="18" cm="1">
        <f t="array" aca="1" ref="AL68" ca="1">IF(INDIRECT(AL$13&amp;$AC68)=0,NA(),INDIRECT(AL$13&amp;$AC68))</f>
        <v>0.92167411324883741</v>
      </c>
      <c r="AM68" s="18" cm="1">
        <f t="array" aca="1" ref="AM68" ca="1">IF(INDIRECT(AM$13&amp;$AC68)=0,NA(),INDIRECT(AM$13&amp;$AC68))</f>
        <v>0.8842699512445471</v>
      </c>
      <c r="AN68" t="e" cm="1">
        <f t="array" aca="1" ref="AN68" ca="1">IF(INDIRECT(AN$13&amp;$AC68)=0,NA(),INDIRECT(AN$13&amp;$AC68))</f>
        <v>#N/A</v>
      </c>
      <c r="AO68" t="e" cm="1">
        <f t="array" aca="1" ref="AO68" ca="1">IF(INDIRECT(AO$13&amp;$AC68)=0,NA(),INDIRECT(AO$13&amp;$AC68))</f>
        <v>#N/A</v>
      </c>
      <c r="AP68" t="e" cm="1">
        <f t="array" aca="1" ref="AP68" ca="1">IF(INDIRECT(AP$13&amp;$AC68)=0,NA(),INDIRECT(AP$13&amp;$AC68))</f>
        <v>#N/A</v>
      </c>
      <c r="AQ68" t="e" cm="1">
        <f t="array" aca="1" ref="AQ68" ca="1">IF(INDIRECT(AQ$13&amp;$AC68)=0,NA(),INDIRECT(AQ$13&amp;$AC68))</f>
        <v>#N/A</v>
      </c>
      <c r="AR68" t="e" cm="1">
        <f t="array" aca="1" ref="AR68" ca="1">IF(INDIRECT(AR$13&amp;$AC68)=0,NA(),INDIRECT(AR$13&amp;$AC68))</f>
        <v>#N/A</v>
      </c>
      <c r="AS68" t="e" cm="1">
        <f t="array" aca="1" ref="AS68" ca="1">IF(INDIRECT(AS$13&amp;$AC68)=0,NA(),INDIRECT(AS$13&amp;$AC68))</f>
        <v>#N/A</v>
      </c>
    </row>
    <row r="69" spans="4:45" x14ac:dyDescent="0.25">
      <c r="D69" t="s">
        <v>35</v>
      </c>
      <c r="E69">
        <v>2013</v>
      </c>
      <c r="F69" t="s">
        <v>17</v>
      </c>
      <c r="S69">
        <v>0.83363363363363363</v>
      </c>
      <c r="W69">
        <v>55</v>
      </c>
      <c r="X69" t="s">
        <v>88</v>
      </c>
      <c r="Y69">
        <f t="shared" si="2"/>
        <v>2931</v>
      </c>
      <c r="Z69">
        <f t="shared" si="3"/>
        <v>2984</v>
      </c>
    </row>
    <row r="70" spans="4:45" x14ac:dyDescent="0.25">
      <c r="D70" t="s">
        <v>35</v>
      </c>
      <c r="E70">
        <v>2014</v>
      </c>
      <c r="F70" t="s">
        <v>17</v>
      </c>
      <c r="S70">
        <v>0.81313633565373866</v>
      </c>
      <c r="W70">
        <v>56</v>
      </c>
      <c r="X70" t="s">
        <v>89</v>
      </c>
      <c r="Y70">
        <f t="shared" si="2"/>
        <v>2985</v>
      </c>
      <c r="Z70">
        <f t="shared" si="3"/>
        <v>3038</v>
      </c>
    </row>
    <row r="71" spans="4:45" x14ac:dyDescent="0.25">
      <c r="D71" t="s">
        <v>35</v>
      </c>
      <c r="E71">
        <v>2015</v>
      </c>
      <c r="F71" t="s">
        <v>17</v>
      </c>
      <c r="S71">
        <v>0.99590293098014493</v>
      </c>
      <c r="W71">
        <v>57</v>
      </c>
      <c r="X71" t="s">
        <v>90</v>
      </c>
      <c r="Y71">
        <f t="shared" si="2"/>
        <v>3039</v>
      </c>
      <c r="Z71">
        <f t="shared" si="3"/>
        <v>3092</v>
      </c>
    </row>
    <row r="72" spans="4:45" x14ac:dyDescent="0.25">
      <c r="D72" t="s">
        <v>35</v>
      </c>
      <c r="E72">
        <v>2013</v>
      </c>
      <c r="F72" t="s">
        <v>18</v>
      </c>
      <c r="G72">
        <v>0.76309399930627819</v>
      </c>
      <c r="H72">
        <v>0.82007056056448446</v>
      </c>
      <c r="I72">
        <v>0.82967255086915515</v>
      </c>
      <c r="J72">
        <v>0.82321941871606519</v>
      </c>
      <c r="K72">
        <v>0.82439900525006904</v>
      </c>
      <c r="L72">
        <v>0.89501976284584983</v>
      </c>
      <c r="M72">
        <v>0.90971571383942518</v>
      </c>
      <c r="N72">
        <v>0.90856286303166578</v>
      </c>
      <c r="O72">
        <v>0.80214033807612795</v>
      </c>
      <c r="P72">
        <v>0.80253860246008901</v>
      </c>
      <c r="Q72">
        <v>0.79484457922668683</v>
      </c>
      <c r="R72">
        <v>0.78377576746255373</v>
      </c>
      <c r="W72">
        <v>58</v>
      </c>
      <c r="X72" t="s">
        <v>91</v>
      </c>
      <c r="Y72">
        <f t="shared" si="2"/>
        <v>3093</v>
      </c>
      <c r="Z72">
        <f t="shared" si="3"/>
        <v>3146</v>
      </c>
    </row>
    <row r="73" spans="4:45" x14ac:dyDescent="0.25">
      <c r="D73" t="s">
        <v>35</v>
      </c>
      <c r="E73">
        <v>2014</v>
      </c>
      <c r="F73" t="s">
        <v>18</v>
      </c>
      <c r="G73">
        <v>0.72525015967638917</v>
      </c>
      <c r="H73">
        <v>0.76704055220017253</v>
      </c>
      <c r="I73">
        <v>0.76099453866053468</v>
      </c>
      <c r="J73">
        <v>0.81193798449612398</v>
      </c>
      <c r="K73">
        <v>0.88894575230296824</v>
      </c>
      <c r="L73">
        <v>0.975830078125</v>
      </c>
      <c r="M73">
        <v>0.99638009049773757</v>
      </c>
      <c r="N73">
        <v>0.99453053783044665</v>
      </c>
      <c r="O73">
        <v>0.99615992771628648</v>
      </c>
      <c r="P73">
        <v>0.99908925318761388</v>
      </c>
      <c r="Q73">
        <v>0.99805194805194808</v>
      </c>
      <c r="R73">
        <v>0.95098468271334791</v>
      </c>
      <c r="W73">
        <v>59</v>
      </c>
      <c r="X73" t="s">
        <v>92</v>
      </c>
      <c r="Y73">
        <f t="shared" si="2"/>
        <v>3147</v>
      </c>
      <c r="Z73">
        <f t="shared" si="3"/>
        <v>3200</v>
      </c>
    </row>
    <row r="74" spans="4:45" x14ac:dyDescent="0.25">
      <c r="D74" t="s">
        <v>35</v>
      </c>
      <c r="E74">
        <v>2015</v>
      </c>
      <c r="F74" t="s">
        <v>18</v>
      </c>
      <c r="G74">
        <v>0.99510726383138881</v>
      </c>
      <c r="H74">
        <v>0.99567333693888593</v>
      </c>
      <c r="I74">
        <v>0.99630801687763715</v>
      </c>
      <c r="J74">
        <v>0.99634591961023145</v>
      </c>
      <c r="K74">
        <v>0.9980532121998702</v>
      </c>
      <c r="L74">
        <v>0.99508733624454149</v>
      </c>
      <c r="M74">
        <v>0.99529411764705877</v>
      </c>
      <c r="W74">
        <v>60</v>
      </c>
      <c r="X74" t="s">
        <v>93</v>
      </c>
      <c r="Y74">
        <f t="shared" si="2"/>
        <v>3201</v>
      </c>
      <c r="Z74">
        <f t="shared" si="3"/>
        <v>3254</v>
      </c>
    </row>
    <row r="75" spans="4:45" x14ac:dyDescent="0.25">
      <c r="D75" t="s">
        <v>35</v>
      </c>
      <c r="E75">
        <v>2013</v>
      </c>
      <c r="F75" t="s">
        <v>19</v>
      </c>
      <c r="S75">
        <v>0.76167934115652458</v>
      </c>
      <c r="W75">
        <v>61</v>
      </c>
      <c r="X75" t="s">
        <v>94</v>
      </c>
      <c r="Y75">
        <f t="shared" si="2"/>
        <v>3255</v>
      </c>
      <c r="Z75">
        <f t="shared" si="3"/>
        <v>3308</v>
      </c>
    </row>
    <row r="76" spans="4:45" x14ac:dyDescent="0.25">
      <c r="D76" t="s">
        <v>35</v>
      </c>
      <c r="E76">
        <v>2014</v>
      </c>
      <c r="F76" t="s">
        <v>19</v>
      </c>
      <c r="S76">
        <v>0.92460310463730955</v>
      </c>
      <c r="W76">
        <v>62</v>
      </c>
      <c r="X76" t="s">
        <v>95</v>
      </c>
      <c r="Y76">
        <f t="shared" si="2"/>
        <v>3309</v>
      </c>
      <c r="Z76">
        <f t="shared" si="3"/>
        <v>3362</v>
      </c>
    </row>
    <row r="77" spans="4:45" x14ac:dyDescent="0.25">
      <c r="D77" t="s">
        <v>35</v>
      </c>
      <c r="E77">
        <v>2015</v>
      </c>
      <c r="F77" t="s">
        <v>19</v>
      </c>
      <c r="S77">
        <v>0.95843991399896322</v>
      </c>
      <c r="W77">
        <v>63</v>
      </c>
      <c r="X77" t="s">
        <v>96</v>
      </c>
      <c r="Y77">
        <f t="shared" si="2"/>
        <v>3363</v>
      </c>
      <c r="Z77">
        <f t="shared" si="3"/>
        <v>3416</v>
      </c>
    </row>
    <row r="78" spans="4:45" x14ac:dyDescent="0.25">
      <c r="D78" t="s">
        <v>35</v>
      </c>
      <c r="E78">
        <v>2013</v>
      </c>
      <c r="F78" t="s">
        <v>20</v>
      </c>
      <c r="G78">
        <v>0.75779419715264007</v>
      </c>
      <c r="H78">
        <v>0.7329475743608449</v>
      </c>
      <c r="I78">
        <v>0.64295463924070728</v>
      </c>
      <c r="J78">
        <v>0.62567981616238988</v>
      </c>
      <c r="K78">
        <v>0.71577009075364983</v>
      </c>
      <c r="L78">
        <v>0.88059859341124214</v>
      </c>
      <c r="M78">
        <v>0.99009679821295604</v>
      </c>
      <c r="N78">
        <v>0.81477499213259208</v>
      </c>
      <c r="O78">
        <v>0.81363585266234495</v>
      </c>
      <c r="P78">
        <v>0.72439908811334319</v>
      </c>
      <c r="Q78">
        <v>0.62040130473460509</v>
      </c>
      <c r="R78">
        <v>0.74812255932712524</v>
      </c>
      <c r="W78">
        <v>64</v>
      </c>
      <c r="X78" t="s">
        <v>97</v>
      </c>
      <c r="Y78">
        <f t="shared" si="2"/>
        <v>3417</v>
      </c>
      <c r="Z78">
        <f t="shared" si="3"/>
        <v>3470</v>
      </c>
    </row>
    <row r="79" spans="4:45" x14ac:dyDescent="0.25">
      <c r="D79" t="s">
        <v>35</v>
      </c>
      <c r="E79">
        <v>2014</v>
      </c>
      <c r="F79" t="s">
        <v>20</v>
      </c>
      <c r="G79">
        <v>0.95505539877385903</v>
      </c>
      <c r="H79">
        <v>0.84958368317940103</v>
      </c>
      <c r="I79">
        <v>0.72034254050877344</v>
      </c>
      <c r="J79">
        <v>0.98442506893211124</v>
      </c>
      <c r="K79">
        <v>0.99484409526147799</v>
      </c>
      <c r="L79">
        <v>0.99573890418190736</v>
      </c>
      <c r="M79">
        <v>0.99747977185303094</v>
      </c>
      <c r="N79">
        <v>0.99614757741887683</v>
      </c>
      <c r="O79">
        <v>0.99578025853789109</v>
      </c>
      <c r="P79">
        <v>0.99505735904320236</v>
      </c>
      <c r="Q79">
        <v>0.98852438568042911</v>
      </c>
      <c r="R79">
        <v>0.99509395392719557</v>
      </c>
      <c r="W79">
        <v>65</v>
      </c>
      <c r="X79" t="s">
        <v>98</v>
      </c>
      <c r="Y79">
        <f t="shared" si="2"/>
        <v>3471</v>
      </c>
      <c r="Z79">
        <f t="shared" si="3"/>
        <v>3524</v>
      </c>
    </row>
    <row r="80" spans="4:45" x14ac:dyDescent="0.25">
      <c r="D80" t="s">
        <v>35</v>
      </c>
      <c r="E80">
        <v>2015</v>
      </c>
      <c r="F80" t="s">
        <v>20</v>
      </c>
      <c r="G80">
        <v>0.98361270629623876</v>
      </c>
      <c r="H80">
        <v>0.89302752594389889</v>
      </c>
      <c r="I80">
        <v>0.89977712526974918</v>
      </c>
      <c r="J80">
        <v>0.98977212905166578</v>
      </c>
      <c r="K80">
        <v>0.96974426919795997</v>
      </c>
      <c r="L80">
        <v>0.99185884929045665</v>
      </c>
      <c r="M80">
        <v>0.99294636296840555</v>
      </c>
      <c r="W80">
        <v>66</v>
      </c>
      <c r="X80" t="s">
        <v>99</v>
      </c>
      <c r="Y80">
        <f t="shared" si="2"/>
        <v>3525</v>
      </c>
      <c r="Z80">
        <f t="shared" si="3"/>
        <v>3578</v>
      </c>
    </row>
    <row r="81" spans="4:26" x14ac:dyDescent="0.25">
      <c r="D81" t="s">
        <v>35</v>
      </c>
      <c r="E81">
        <v>2013</v>
      </c>
      <c r="F81" t="s">
        <v>21</v>
      </c>
      <c r="S81">
        <v>0.85010516097718813</v>
      </c>
      <c r="W81">
        <v>67</v>
      </c>
      <c r="X81" t="s">
        <v>100</v>
      </c>
      <c r="Y81">
        <f t="shared" ref="Y81:Y117" si="5">Z80+1</f>
        <v>3579</v>
      </c>
      <c r="Z81">
        <f t="shared" ref="Z81:Z117" si="6">Y81+(Z80-Y80)</f>
        <v>3632</v>
      </c>
    </row>
    <row r="82" spans="4:26" x14ac:dyDescent="0.25">
      <c r="D82" t="s">
        <v>35</v>
      </c>
      <c r="E82">
        <v>2014</v>
      </c>
      <c r="F82" t="s">
        <v>21</v>
      </c>
      <c r="S82">
        <v>0.98991450248699198</v>
      </c>
      <c r="W82">
        <v>68</v>
      </c>
      <c r="X82" t="s">
        <v>101</v>
      </c>
      <c r="Y82">
        <f t="shared" si="5"/>
        <v>3633</v>
      </c>
      <c r="Z82">
        <f t="shared" si="6"/>
        <v>3686</v>
      </c>
    </row>
    <row r="83" spans="4:26" x14ac:dyDescent="0.25">
      <c r="D83" t="s">
        <v>35</v>
      </c>
      <c r="E83">
        <v>2015</v>
      </c>
      <c r="F83" t="s">
        <v>21</v>
      </c>
      <c r="S83">
        <v>0.98810694115152564</v>
      </c>
      <c r="W83">
        <v>69</v>
      </c>
      <c r="X83" t="s">
        <v>102</v>
      </c>
      <c r="Y83">
        <f t="shared" si="5"/>
        <v>3687</v>
      </c>
      <c r="Z83">
        <f t="shared" si="6"/>
        <v>3740</v>
      </c>
    </row>
    <row r="84" spans="4:26" x14ac:dyDescent="0.25">
      <c r="D84" t="s">
        <v>35</v>
      </c>
      <c r="E84">
        <v>2013</v>
      </c>
      <c r="F84" t="s">
        <v>22</v>
      </c>
      <c r="G84">
        <v>0.88707090150786017</v>
      </c>
      <c r="H84">
        <v>0.86396434634974528</v>
      </c>
      <c r="I84">
        <v>0.6950741063644289</v>
      </c>
      <c r="J84">
        <v>0.68631350569517269</v>
      </c>
      <c r="K84">
        <v>0.81636400734543968</v>
      </c>
      <c r="L84">
        <v>0.97558386411889597</v>
      </c>
      <c r="M84">
        <v>0.98985959438377535</v>
      </c>
      <c r="N84">
        <v>0.97808459346920884</v>
      </c>
      <c r="O84">
        <v>0.97188190399678653</v>
      </c>
      <c r="P84">
        <v>0.98241568175266647</v>
      </c>
      <c r="Q84">
        <v>0.97772377480761441</v>
      </c>
      <c r="R84">
        <v>0.92562882392929979</v>
      </c>
      <c r="W84">
        <v>70</v>
      </c>
      <c r="X84" t="s">
        <v>103</v>
      </c>
      <c r="Y84">
        <f t="shared" si="5"/>
        <v>3741</v>
      </c>
      <c r="Z84">
        <f t="shared" si="6"/>
        <v>3794</v>
      </c>
    </row>
    <row r="85" spans="4:26" x14ac:dyDescent="0.25">
      <c r="D85" t="s">
        <v>35</v>
      </c>
      <c r="E85">
        <v>2014</v>
      </c>
      <c r="F85" t="s">
        <v>22</v>
      </c>
      <c r="G85">
        <v>0.98896084780688842</v>
      </c>
      <c r="H85">
        <v>0.98746867167919794</v>
      </c>
      <c r="I85">
        <v>0.98691816245816855</v>
      </c>
      <c r="J85">
        <v>0.98537254304433952</v>
      </c>
      <c r="K85">
        <v>0.98862461220268871</v>
      </c>
      <c r="L85">
        <v>0.99733066399733061</v>
      </c>
      <c r="M85">
        <v>0.9950902755780805</v>
      </c>
      <c r="N85">
        <v>0.9945721583652618</v>
      </c>
      <c r="O85">
        <v>0.99341257339252476</v>
      </c>
      <c r="P85">
        <v>0.9924992499249925</v>
      </c>
      <c r="Q85">
        <v>0.97884552312233519</v>
      </c>
      <c r="R85">
        <v>0.99218556189531137</v>
      </c>
      <c r="W85">
        <v>71</v>
      </c>
      <c r="X85" t="s">
        <v>104</v>
      </c>
      <c r="Y85">
        <f t="shared" si="5"/>
        <v>3795</v>
      </c>
      <c r="Z85">
        <f t="shared" si="6"/>
        <v>3848</v>
      </c>
    </row>
    <row r="86" spans="4:26" x14ac:dyDescent="0.25">
      <c r="D86" t="s">
        <v>35</v>
      </c>
      <c r="E86">
        <v>2015</v>
      </c>
      <c r="F86" t="s">
        <v>22</v>
      </c>
      <c r="G86">
        <v>0.98439375750300118</v>
      </c>
      <c r="H86">
        <v>0.98565821256038644</v>
      </c>
      <c r="I86">
        <v>0.98893669330055312</v>
      </c>
      <c r="J86">
        <v>0.98886679920477139</v>
      </c>
      <c r="K86">
        <v>0.99105601757414086</v>
      </c>
      <c r="L86">
        <v>0.99003531786074672</v>
      </c>
      <c r="M86">
        <v>0.98819124423963134</v>
      </c>
      <c r="W86">
        <v>72</v>
      </c>
      <c r="X86" t="s">
        <v>105</v>
      </c>
      <c r="Y86">
        <f t="shared" si="5"/>
        <v>3849</v>
      </c>
      <c r="Z86">
        <f t="shared" si="6"/>
        <v>3902</v>
      </c>
    </row>
    <row r="87" spans="4:26" x14ac:dyDescent="0.25">
      <c r="D87" t="s">
        <v>35</v>
      </c>
      <c r="E87">
        <v>2013</v>
      </c>
      <c r="F87" t="s">
        <v>23</v>
      </c>
      <c r="S87">
        <v>138538</v>
      </c>
      <c r="W87">
        <v>73</v>
      </c>
      <c r="X87" t="s">
        <v>106</v>
      </c>
      <c r="Y87">
        <f t="shared" si="5"/>
        <v>3903</v>
      </c>
      <c r="Z87">
        <f t="shared" si="6"/>
        <v>3956</v>
      </c>
    </row>
    <row r="88" spans="4:26" x14ac:dyDescent="0.25">
      <c r="D88" t="s">
        <v>35</v>
      </c>
      <c r="E88">
        <v>2014</v>
      </c>
      <c r="F88" t="s">
        <v>23</v>
      </c>
      <c r="S88">
        <v>138479</v>
      </c>
      <c r="W88">
        <v>74</v>
      </c>
      <c r="X88" t="s">
        <v>107</v>
      </c>
      <c r="Y88">
        <f t="shared" si="5"/>
        <v>3957</v>
      </c>
      <c r="Z88">
        <f t="shared" si="6"/>
        <v>4010</v>
      </c>
    </row>
    <row r="89" spans="4:26" x14ac:dyDescent="0.25">
      <c r="D89" t="s">
        <v>35</v>
      </c>
      <c r="E89">
        <v>2015</v>
      </c>
      <c r="F89" t="s">
        <v>23</v>
      </c>
      <c r="S89">
        <v>145611</v>
      </c>
      <c r="W89">
        <v>75</v>
      </c>
      <c r="X89" t="s">
        <v>108</v>
      </c>
      <c r="Y89">
        <f t="shared" si="5"/>
        <v>4011</v>
      </c>
      <c r="Z89">
        <f t="shared" si="6"/>
        <v>4064</v>
      </c>
    </row>
    <row r="90" spans="4:26" x14ac:dyDescent="0.25">
      <c r="D90" t="s">
        <v>35</v>
      </c>
      <c r="E90">
        <v>2013</v>
      </c>
      <c r="F90" t="s">
        <v>24</v>
      </c>
      <c r="G90">
        <v>23642</v>
      </c>
      <c r="H90">
        <v>24600</v>
      </c>
      <c r="I90">
        <v>21698</v>
      </c>
      <c r="J90">
        <v>18665</v>
      </c>
      <c r="K90">
        <v>17657</v>
      </c>
      <c r="L90">
        <v>15095</v>
      </c>
      <c r="M90">
        <v>17181</v>
      </c>
      <c r="N90">
        <v>16220</v>
      </c>
      <c r="O90">
        <v>19976</v>
      </c>
      <c r="P90">
        <v>19698</v>
      </c>
      <c r="Q90">
        <v>18142</v>
      </c>
      <c r="R90">
        <v>16937</v>
      </c>
      <c r="W90">
        <v>76</v>
      </c>
      <c r="X90" t="s">
        <v>109</v>
      </c>
      <c r="Y90">
        <f t="shared" si="5"/>
        <v>4065</v>
      </c>
      <c r="Z90">
        <f t="shared" si="6"/>
        <v>4118</v>
      </c>
    </row>
    <row r="91" spans="4:26" x14ac:dyDescent="0.25">
      <c r="D91" t="s">
        <v>35</v>
      </c>
      <c r="E91">
        <v>2014</v>
      </c>
      <c r="F91" t="s">
        <v>24</v>
      </c>
      <c r="G91">
        <v>23158</v>
      </c>
      <c r="H91">
        <v>23987</v>
      </c>
      <c r="I91">
        <v>20624</v>
      </c>
      <c r="J91">
        <v>17438</v>
      </c>
      <c r="K91">
        <v>16602</v>
      </c>
      <c r="L91">
        <v>16676</v>
      </c>
      <c r="M91">
        <v>19994</v>
      </c>
      <c r="N91">
        <v>18533</v>
      </c>
      <c r="O91">
        <v>26798</v>
      </c>
      <c r="P91">
        <v>21615</v>
      </c>
      <c r="Q91">
        <v>18938</v>
      </c>
      <c r="R91">
        <v>18681</v>
      </c>
      <c r="W91">
        <v>77</v>
      </c>
      <c r="X91" t="s">
        <v>110</v>
      </c>
      <c r="Y91">
        <f t="shared" si="5"/>
        <v>4119</v>
      </c>
      <c r="Z91">
        <f t="shared" si="6"/>
        <v>4172</v>
      </c>
    </row>
    <row r="92" spans="4:26" x14ac:dyDescent="0.25">
      <c r="D92" t="s">
        <v>35</v>
      </c>
      <c r="E92">
        <v>2015</v>
      </c>
      <c r="F92" t="s">
        <v>24</v>
      </c>
      <c r="G92">
        <v>21746</v>
      </c>
      <c r="H92">
        <v>22184</v>
      </c>
      <c r="I92">
        <v>24893</v>
      </c>
      <c r="J92">
        <v>20708</v>
      </c>
      <c r="K92">
        <v>17612</v>
      </c>
      <c r="L92">
        <v>18999</v>
      </c>
      <c r="M92">
        <v>19469</v>
      </c>
      <c r="W92">
        <v>78</v>
      </c>
      <c r="X92" t="s">
        <v>111</v>
      </c>
      <c r="Y92">
        <f t="shared" si="5"/>
        <v>4173</v>
      </c>
      <c r="Z92">
        <f t="shared" si="6"/>
        <v>4226</v>
      </c>
    </row>
    <row r="93" spans="4:26" x14ac:dyDescent="0.25">
      <c r="D93" t="s">
        <v>35</v>
      </c>
      <c r="E93">
        <v>2013</v>
      </c>
      <c r="F93" t="s">
        <v>25</v>
      </c>
      <c r="S93">
        <v>341756</v>
      </c>
      <c r="W93">
        <v>79</v>
      </c>
      <c r="X93" t="s">
        <v>112</v>
      </c>
      <c r="Y93">
        <f t="shared" si="5"/>
        <v>4227</v>
      </c>
      <c r="Z93">
        <f t="shared" si="6"/>
        <v>4280</v>
      </c>
    </row>
    <row r="94" spans="4:26" x14ac:dyDescent="0.25">
      <c r="D94" t="s">
        <v>35</v>
      </c>
      <c r="E94">
        <v>2014</v>
      </c>
      <c r="F94" t="s">
        <v>25</v>
      </c>
      <c r="S94">
        <v>325674</v>
      </c>
      <c r="W94">
        <v>80</v>
      </c>
      <c r="X94" t="s">
        <v>113</v>
      </c>
      <c r="Y94">
        <f t="shared" si="5"/>
        <v>4281</v>
      </c>
      <c r="Z94">
        <f t="shared" si="6"/>
        <v>4334</v>
      </c>
    </row>
    <row r="95" spans="4:26" x14ac:dyDescent="0.25">
      <c r="D95" t="s">
        <v>35</v>
      </c>
      <c r="E95">
        <v>2015</v>
      </c>
      <c r="F95" t="s">
        <v>25</v>
      </c>
      <c r="S95">
        <v>359288</v>
      </c>
      <c r="W95">
        <v>81</v>
      </c>
      <c r="X95" t="s">
        <v>114</v>
      </c>
      <c r="Y95">
        <f t="shared" si="5"/>
        <v>4335</v>
      </c>
      <c r="Z95">
        <f t="shared" si="6"/>
        <v>4388</v>
      </c>
    </row>
    <row r="96" spans="4:26" x14ac:dyDescent="0.25">
      <c r="D96" t="s">
        <v>35</v>
      </c>
      <c r="E96">
        <v>2013</v>
      </c>
      <c r="F96" t="s">
        <v>26</v>
      </c>
      <c r="G96">
        <v>60546</v>
      </c>
      <c r="H96">
        <v>51467</v>
      </c>
      <c r="I96">
        <v>46712</v>
      </c>
      <c r="J96">
        <v>43869</v>
      </c>
      <c r="K96">
        <v>44750</v>
      </c>
      <c r="L96">
        <v>47173</v>
      </c>
      <c r="M96">
        <v>47239</v>
      </c>
      <c r="N96">
        <v>39265</v>
      </c>
      <c r="O96">
        <v>55571</v>
      </c>
      <c r="P96">
        <v>58798</v>
      </c>
      <c r="Q96">
        <v>46970</v>
      </c>
      <c r="R96">
        <v>50829</v>
      </c>
      <c r="W96">
        <v>82</v>
      </c>
      <c r="X96" t="s">
        <v>115</v>
      </c>
      <c r="Y96">
        <f t="shared" si="5"/>
        <v>4389</v>
      </c>
      <c r="Z96">
        <f t="shared" si="6"/>
        <v>4442</v>
      </c>
    </row>
    <row r="97" spans="4:26" x14ac:dyDescent="0.25">
      <c r="D97" t="s">
        <v>35</v>
      </c>
      <c r="E97">
        <v>2014</v>
      </c>
      <c r="F97" t="s">
        <v>26</v>
      </c>
      <c r="G97">
        <v>60699</v>
      </c>
      <c r="H97">
        <v>48620</v>
      </c>
      <c r="I97">
        <v>44324</v>
      </c>
      <c r="J97">
        <v>43065</v>
      </c>
      <c r="K97">
        <v>39977</v>
      </c>
      <c r="L97">
        <v>43193</v>
      </c>
      <c r="M97">
        <v>45796</v>
      </c>
      <c r="N97">
        <v>45984</v>
      </c>
      <c r="O97">
        <v>54518</v>
      </c>
      <c r="P97">
        <v>56253</v>
      </c>
      <c r="Q97">
        <v>51013</v>
      </c>
      <c r="R97">
        <v>55589</v>
      </c>
      <c r="W97">
        <v>83</v>
      </c>
      <c r="X97" t="s">
        <v>116</v>
      </c>
      <c r="Y97">
        <f t="shared" si="5"/>
        <v>4443</v>
      </c>
      <c r="Z97">
        <f t="shared" si="6"/>
        <v>4496</v>
      </c>
    </row>
    <row r="98" spans="4:26" x14ac:dyDescent="0.25">
      <c r="D98" t="s">
        <v>35</v>
      </c>
      <c r="E98">
        <v>2015</v>
      </c>
      <c r="F98" t="s">
        <v>26</v>
      </c>
      <c r="G98">
        <v>61115</v>
      </c>
      <c r="H98">
        <v>47115</v>
      </c>
      <c r="I98">
        <v>53606</v>
      </c>
      <c r="J98">
        <v>47226</v>
      </c>
      <c r="K98">
        <v>43302</v>
      </c>
      <c r="L98">
        <v>52687</v>
      </c>
      <c r="M98">
        <v>54237</v>
      </c>
      <c r="W98">
        <v>84</v>
      </c>
      <c r="X98" t="s">
        <v>117</v>
      </c>
      <c r="Y98">
        <f t="shared" si="5"/>
        <v>4497</v>
      </c>
      <c r="Z98">
        <f t="shared" si="6"/>
        <v>4550</v>
      </c>
    </row>
    <row r="99" spans="4:26" x14ac:dyDescent="0.25">
      <c r="D99" t="s">
        <v>35</v>
      </c>
      <c r="E99">
        <v>2013</v>
      </c>
      <c r="F99" t="s">
        <v>27</v>
      </c>
      <c r="S99">
        <v>622970</v>
      </c>
      <c r="W99">
        <v>85</v>
      </c>
      <c r="X99" t="s">
        <v>118</v>
      </c>
      <c r="Y99">
        <f t="shared" si="5"/>
        <v>4551</v>
      </c>
      <c r="Z99">
        <f t="shared" si="6"/>
        <v>4604</v>
      </c>
    </row>
    <row r="100" spans="4:26" x14ac:dyDescent="0.25">
      <c r="D100" t="s">
        <v>35</v>
      </c>
      <c r="E100">
        <v>2014</v>
      </c>
      <c r="F100" t="s">
        <v>27</v>
      </c>
      <c r="S100">
        <v>556101</v>
      </c>
      <c r="W100">
        <v>86</v>
      </c>
      <c r="X100" t="s">
        <v>119</v>
      </c>
      <c r="Y100">
        <f t="shared" si="5"/>
        <v>4605</v>
      </c>
      <c r="Z100">
        <f t="shared" si="6"/>
        <v>4658</v>
      </c>
    </row>
    <row r="101" spans="4:26" x14ac:dyDescent="0.25">
      <c r="D101" t="s">
        <v>35</v>
      </c>
      <c r="E101">
        <v>2015</v>
      </c>
      <c r="F101" t="s">
        <v>27</v>
      </c>
      <c r="S101">
        <v>623158</v>
      </c>
      <c r="W101">
        <v>87</v>
      </c>
      <c r="X101" t="s">
        <v>120</v>
      </c>
      <c r="Y101">
        <f t="shared" si="5"/>
        <v>4659</v>
      </c>
      <c r="Z101">
        <f t="shared" si="6"/>
        <v>4712</v>
      </c>
    </row>
    <row r="102" spans="4:26" x14ac:dyDescent="0.25">
      <c r="D102" t="s">
        <v>35</v>
      </c>
      <c r="E102">
        <v>2013</v>
      </c>
      <c r="F102" t="s">
        <v>28</v>
      </c>
      <c r="G102">
        <v>105171</v>
      </c>
      <c r="H102">
        <v>93084</v>
      </c>
      <c r="I102">
        <v>86744</v>
      </c>
      <c r="J102">
        <v>77886</v>
      </c>
      <c r="K102">
        <v>81818</v>
      </c>
      <c r="L102">
        <v>91896</v>
      </c>
      <c r="M102">
        <v>86371</v>
      </c>
      <c r="N102">
        <v>67514</v>
      </c>
      <c r="O102">
        <v>89870</v>
      </c>
      <c r="P102">
        <v>96592</v>
      </c>
      <c r="Q102">
        <v>77855</v>
      </c>
      <c r="R102">
        <v>86753</v>
      </c>
      <c r="W102">
        <v>88</v>
      </c>
      <c r="X102" t="s">
        <v>121</v>
      </c>
      <c r="Y102">
        <f t="shared" si="5"/>
        <v>4713</v>
      </c>
      <c r="Z102">
        <f t="shared" si="6"/>
        <v>4766</v>
      </c>
    </row>
    <row r="103" spans="4:26" x14ac:dyDescent="0.25">
      <c r="D103" t="s">
        <v>35</v>
      </c>
      <c r="E103">
        <v>2014</v>
      </c>
      <c r="F103" t="s">
        <v>28</v>
      </c>
      <c r="G103">
        <v>101824</v>
      </c>
      <c r="H103">
        <v>85988</v>
      </c>
      <c r="I103">
        <v>77215</v>
      </c>
      <c r="J103">
        <v>73509</v>
      </c>
      <c r="K103">
        <v>68929</v>
      </c>
      <c r="L103">
        <v>73473</v>
      </c>
      <c r="M103">
        <v>75163</v>
      </c>
      <c r="N103">
        <v>74479</v>
      </c>
      <c r="O103">
        <v>91577</v>
      </c>
      <c r="P103">
        <v>95507</v>
      </c>
      <c r="Q103">
        <v>85129</v>
      </c>
      <c r="R103">
        <v>96366</v>
      </c>
      <c r="W103">
        <v>89</v>
      </c>
      <c r="X103" t="s">
        <v>122</v>
      </c>
      <c r="Y103">
        <f t="shared" si="5"/>
        <v>4767</v>
      </c>
      <c r="Z103">
        <f t="shared" si="6"/>
        <v>4820</v>
      </c>
    </row>
    <row r="104" spans="4:26" x14ac:dyDescent="0.25">
      <c r="D104" t="s">
        <v>35</v>
      </c>
      <c r="E104">
        <v>2015</v>
      </c>
      <c r="F104" t="s">
        <v>28</v>
      </c>
      <c r="G104">
        <v>102582</v>
      </c>
      <c r="H104">
        <v>85364</v>
      </c>
      <c r="I104">
        <v>97294</v>
      </c>
      <c r="J104">
        <v>81919</v>
      </c>
      <c r="K104">
        <v>73653</v>
      </c>
      <c r="L104">
        <v>90460</v>
      </c>
      <c r="M104">
        <v>91886</v>
      </c>
      <c r="W104">
        <v>90</v>
      </c>
      <c r="X104" t="s">
        <v>123</v>
      </c>
      <c r="Y104">
        <f t="shared" si="5"/>
        <v>4821</v>
      </c>
      <c r="Z104">
        <f t="shared" si="6"/>
        <v>4874</v>
      </c>
    </row>
    <row r="105" spans="4:26" x14ac:dyDescent="0.25">
      <c r="D105" t="s">
        <v>35</v>
      </c>
      <c r="E105">
        <v>2013</v>
      </c>
      <c r="F105" t="s">
        <v>29</v>
      </c>
      <c r="S105">
        <v>49950</v>
      </c>
      <c r="W105">
        <v>91</v>
      </c>
      <c r="X105" t="s">
        <v>124</v>
      </c>
      <c r="Y105">
        <f t="shared" si="5"/>
        <v>4875</v>
      </c>
      <c r="Z105">
        <f t="shared" si="6"/>
        <v>4928</v>
      </c>
    </row>
    <row r="106" spans="4:26" x14ac:dyDescent="0.25">
      <c r="D106" t="s">
        <v>35</v>
      </c>
      <c r="E106">
        <v>2014</v>
      </c>
      <c r="F106" t="s">
        <v>29</v>
      </c>
      <c r="S106">
        <v>42234</v>
      </c>
      <c r="W106">
        <v>92</v>
      </c>
      <c r="X106" t="s">
        <v>125</v>
      </c>
      <c r="Y106">
        <f t="shared" si="5"/>
        <v>4929</v>
      </c>
      <c r="Z106">
        <f t="shared" si="6"/>
        <v>4982</v>
      </c>
    </row>
    <row r="107" spans="4:26" x14ac:dyDescent="0.25">
      <c r="D107" t="s">
        <v>35</v>
      </c>
      <c r="E107">
        <v>2015</v>
      </c>
      <c r="F107" t="s">
        <v>29</v>
      </c>
      <c r="S107">
        <v>12692</v>
      </c>
      <c r="W107">
        <v>93</v>
      </c>
      <c r="X107" t="s">
        <v>126</v>
      </c>
      <c r="Y107">
        <f t="shared" si="5"/>
        <v>4983</v>
      </c>
      <c r="Z107">
        <f t="shared" si="6"/>
        <v>5036</v>
      </c>
    </row>
    <row r="108" spans="4:26" x14ac:dyDescent="0.25">
      <c r="D108" t="s">
        <v>35</v>
      </c>
      <c r="E108">
        <v>2013</v>
      </c>
      <c r="F108" t="s">
        <v>30</v>
      </c>
      <c r="G108">
        <v>8649</v>
      </c>
      <c r="H108">
        <v>7653</v>
      </c>
      <c r="I108">
        <v>7421</v>
      </c>
      <c r="J108">
        <v>6262</v>
      </c>
      <c r="K108">
        <v>7238</v>
      </c>
      <c r="L108">
        <v>6325</v>
      </c>
      <c r="M108">
        <v>6402</v>
      </c>
      <c r="N108">
        <v>5337</v>
      </c>
      <c r="O108">
        <v>8223</v>
      </c>
      <c r="P108">
        <v>7642</v>
      </c>
      <c r="Q108">
        <v>6595</v>
      </c>
      <c r="R108">
        <v>6743</v>
      </c>
      <c r="W108">
        <v>94</v>
      </c>
      <c r="X108" t="s">
        <v>127</v>
      </c>
      <c r="Y108">
        <f t="shared" si="5"/>
        <v>5037</v>
      </c>
      <c r="Z108">
        <f t="shared" si="6"/>
        <v>5090</v>
      </c>
    </row>
    <row r="109" spans="4:26" x14ac:dyDescent="0.25">
      <c r="D109" t="s">
        <v>35</v>
      </c>
      <c r="E109">
        <v>2014</v>
      </c>
      <c r="F109" t="s">
        <v>30</v>
      </c>
      <c r="G109">
        <v>9394</v>
      </c>
      <c r="H109">
        <v>8113</v>
      </c>
      <c r="I109">
        <v>6958</v>
      </c>
      <c r="J109">
        <v>6450</v>
      </c>
      <c r="K109">
        <v>3908</v>
      </c>
      <c r="L109">
        <v>4096</v>
      </c>
      <c r="M109">
        <v>3315</v>
      </c>
      <c r="N109">
        <v>2194</v>
      </c>
      <c r="O109">
        <v>4427</v>
      </c>
      <c r="P109">
        <v>3294</v>
      </c>
      <c r="Q109">
        <v>3080</v>
      </c>
      <c r="R109">
        <v>2285</v>
      </c>
      <c r="W109">
        <v>95</v>
      </c>
      <c r="X109" t="s">
        <v>128</v>
      </c>
      <c r="Y109">
        <f t="shared" si="5"/>
        <v>5091</v>
      </c>
      <c r="Z109">
        <f t="shared" si="6"/>
        <v>5144</v>
      </c>
    </row>
    <row r="110" spans="4:26" x14ac:dyDescent="0.25">
      <c r="D110" t="s">
        <v>35</v>
      </c>
      <c r="E110">
        <v>2015</v>
      </c>
      <c r="F110" t="s">
        <v>30</v>
      </c>
      <c r="G110">
        <v>2657</v>
      </c>
      <c r="H110">
        <v>1849</v>
      </c>
      <c r="I110">
        <v>1896</v>
      </c>
      <c r="J110">
        <v>1642</v>
      </c>
      <c r="K110">
        <v>1541</v>
      </c>
      <c r="L110">
        <v>1832</v>
      </c>
      <c r="M110">
        <v>1275</v>
      </c>
      <c r="W110">
        <v>96</v>
      </c>
      <c r="X110" t="s">
        <v>129</v>
      </c>
      <c r="Y110">
        <f t="shared" si="5"/>
        <v>5145</v>
      </c>
      <c r="Z110">
        <f t="shared" si="6"/>
        <v>5198</v>
      </c>
    </row>
    <row r="111" spans="4:26" x14ac:dyDescent="0.25">
      <c r="D111" t="s">
        <v>35</v>
      </c>
      <c r="E111">
        <v>2013</v>
      </c>
      <c r="F111" t="s">
        <v>31</v>
      </c>
      <c r="S111">
        <v>0.83734426655502459</v>
      </c>
      <c r="W111">
        <v>97</v>
      </c>
      <c r="X111" t="s">
        <v>130</v>
      </c>
      <c r="Y111">
        <f t="shared" si="5"/>
        <v>5199</v>
      </c>
      <c r="Z111">
        <f t="shared" si="6"/>
        <v>5252</v>
      </c>
    </row>
    <row r="112" spans="4:26" x14ac:dyDescent="0.25">
      <c r="D112" t="s">
        <v>35</v>
      </c>
      <c r="E112">
        <v>2014</v>
      </c>
      <c r="F112" t="s">
        <v>31</v>
      </c>
      <c r="S112">
        <v>0.93175138468648677</v>
      </c>
      <c r="W112">
        <v>98</v>
      </c>
      <c r="X112" t="s">
        <v>131</v>
      </c>
      <c r="Y112">
        <f t="shared" si="5"/>
        <v>5253</v>
      </c>
      <c r="Z112">
        <f t="shared" si="6"/>
        <v>5306</v>
      </c>
    </row>
    <row r="113" spans="4:26" x14ac:dyDescent="0.25">
      <c r="D113" t="s">
        <v>35</v>
      </c>
      <c r="E113">
        <v>2015</v>
      </c>
      <c r="F113" t="s">
        <v>31</v>
      </c>
      <c r="S113">
        <v>0.91241046349520294</v>
      </c>
      <c r="W113">
        <v>99</v>
      </c>
      <c r="X113" t="s">
        <v>132</v>
      </c>
      <c r="Y113">
        <f t="shared" si="5"/>
        <v>5307</v>
      </c>
      <c r="Z113">
        <f t="shared" si="6"/>
        <v>5360</v>
      </c>
    </row>
    <row r="114" spans="4:26" x14ac:dyDescent="0.25">
      <c r="D114" t="s">
        <v>35</v>
      </c>
      <c r="E114">
        <v>2013</v>
      </c>
      <c r="F114" t="s">
        <v>32</v>
      </c>
      <c r="G114">
        <v>0.85813382962524321</v>
      </c>
      <c r="H114">
        <v>0.74060975609756097</v>
      </c>
      <c r="I114">
        <v>0.78343626140658129</v>
      </c>
      <c r="J114">
        <v>0.84489686579158851</v>
      </c>
      <c r="K114">
        <v>0.84850201053406582</v>
      </c>
      <c r="L114">
        <v>0.8943358728055647</v>
      </c>
      <c r="M114">
        <v>0.94557941912577848</v>
      </c>
      <c r="N114">
        <v>0.92435265104808872</v>
      </c>
      <c r="O114">
        <v>0.9226571886263516</v>
      </c>
      <c r="P114">
        <v>0.97456594578129763</v>
      </c>
      <c r="Q114">
        <v>0.95766729136809614</v>
      </c>
      <c r="R114">
        <v>0.96540119265513369</v>
      </c>
      <c r="W114">
        <v>100</v>
      </c>
      <c r="X114" t="s">
        <v>133</v>
      </c>
      <c r="Y114">
        <f t="shared" si="5"/>
        <v>5361</v>
      </c>
      <c r="Z114">
        <f t="shared" si="6"/>
        <v>5414</v>
      </c>
    </row>
    <row r="115" spans="4:26" x14ac:dyDescent="0.25">
      <c r="D115" t="s">
        <v>35</v>
      </c>
      <c r="E115">
        <v>2014</v>
      </c>
      <c r="F115" t="s">
        <v>32</v>
      </c>
      <c r="G115">
        <v>0.94550479316003111</v>
      </c>
      <c r="H115">
        <v>0.92408387876766585</v>
      </c>
      <c r="I115">
        <v>0.93725756400310323</v>
      </c>
      <c r="J115">
        <v>0.95114118591581598</v>
      </c>
      <c r="K115">
        <v>0.93958559209733772</v>
      </c>
      <c r="L115">
        <v>0.91742624130486927</v>
      </c>
      <c r="M115">
        <v>0.9078723617085126</v>
      </c>
      <c r="N115">
        <v>0.89710246587168829</v>
      </c>
      <c r="O115">
        <v>0.91316516157922234</v>
      </c>
      <c r="P115">
        <v>0.92588480222068004</v>
      </c>
      <c r="Q115">
        <v>0.94202133277009192</v>
      </c>
      <c r="R115">
        <v>0.93169530539050371</v>
      </c>
      <c r="W115">
        <v>101</v>
      </c>
      <c r="X115" t="s">
        <v>134</v>
      </c>
      <c r="Y115">
        <f t="shared" si="5"/>
        <v>5415</v>
      </c>
      <c r="Z115">
        <f t="shared" si="6"/>
        <v>5468</v>
      </c>
    </row>
    <row r="116" spans="4:26" x14ac:dyDescent="0.25">
      <c r="D116" t="s">
        <v>35</v>
      </c>
      <c r="E116">
        <v>2015</v>
      </c>
      <c r="F116" t="s">
        <v>32</v>
      </c>
      <c r="G116">
        <v>0.92669916306447164</v>
      </c>
      <c r="H116">
        <v>0.91097187161918503</v>
      </c>
      <c r="I116">
        <v>0.92499899570160282</v>
      </c>
      <c r="J116">
        <v>0.9106142553602472</v>
      </c>
      <c r="K116">
        <v>0.91386554621848737</v>
      </c>
      <c r="L116">
        <v>0.91146902468550972</v>
      </c>
      <c r="M116">
        <v>0.88350711387333714</v>
      </c>
      <c r="W116">
        <v>102</v>
      </c>
      <c r="X116" t="s">
        <v>135</v>
      </c>
      <c r="Y116">
        <f t="shared" si="5"/>
        <v>5469</v>
      </c>
      <c r="Z116">
        <f t="shared" si="6"/>
        <v>5522</v>
      </c>
    </row>
    <row r="117" spans="4:26" x14ac:dyDescent="0.25">
      <c r="D117" t="s">
        <v>35</v>
      </c>
      <c r="E117">
        <v>2013</v>
      </c>
      <c r="F117" t="s">
        <v>33</v>
      </c>
      <c r="S117">
        <v>0.89449312056501318</v>
      </c>
      <c r="W117">
        <v>103</v>
      </c>
      <c r="X117" t="s">
        <v>136</v>
      </c>
      <c r="Y117">
        <f t="shared" si="5"/>
        <v>5523</v>
      </c>
      <c r="Z117">
        <f t="shared" si="6"/>
        <v>5576</v>
      </c>
    </row>
    <row r="118" spans="4:26" x14ac:dyDescent="0.25">
      <c r="D118" t="s">
        <v>35</v>
      </c>
      <c r="E118">
        <v>2014</v>
      </c>
      <c r="F118" t="s">
        <v>33</v>
      </c>
      <c r="S118">
        <v>0.91452591179594955</v>
      </c>
    </row>
    <row r="119" spans="4:26" x14ac:dyDescent="0.25">
      <c r="D119" t="s">
        <v>35</v>
      </c>
      <c r="E119">
        <v>2015</v>
      </c>
      <c r="F119" t="s">
        <v>33</v>
      </c>
      <c r="S119">
        <v>0.91253872954244497</v>
      </c>
    </row>
    <row r="120" spans="4:26" x14ac:dyDescent="0.25">
      <c r="D120" t="s">
        <v>35</v>
      </c>
      <c r="E120">
        <v>2013</v>
      </c>
      <c r="F120" t="s">
        <v>34</v>
      </c>
      <c r="G120">
        <v>0.86612588436203952</v>
      </c>
      <c r="H120">
        <v>0.83015198444140315</v>
      </c>
      <c r="I120">
        <v>0.90897168865231814</v>
      </c>
      <c r="J120">
        <v>0.89517088256284194</v>
      </c>
      <c r="K120">
        <v>0.90718512256973793</v>
      </c>
      <c r="L120">
        <v>0.9377688557499283</v>
      </c>
      <c r="M120">
        <v>0.94146300495506841</v>
      </c>
      <c r="N120">
        <v>0.88722426470588234</v>
      </c>
      <c r="O120">
        <v>0.95662295336385506</v>
      </c>
      <c r="P120">
        <v>0.9638293264024258</v>
      </c>
      <c r="Q120">
        <v>0.93521720792914387</v>
      </c>
      <c r="R120">
        <v>0.94962606378406256</v>
      </c>
    </row>
    <row r="121" spans="4:26" x14ac:dyDescent="0.25">
      <c r="D121" t="s">
        <v>35</v>
      </c>
      <c r="E121">
        <v>2014</v>
      </c>
      <c r="F121" t="s">
        <v>34</v>
      </c>
      <c r="G121">
        <v>0.92045382918373775</v>
      </c>
      <c r="H121">
        <v>0.87656747780112521</v>
      </c>
      <c r="I121">
        <v>0.90414814814814815</v>
      </c>
      <c r="J121">
        <v>0.9286193029490617</v>
      </c>
      <c r="K121">
        <v>0.90657600596125187</v>
      </c>
      <c r="L121">
        <v>0.91162878430632843</v>
      </c>
      <c r="M121">
        <v>0.9690762261177861</v>
      </c>
      <c r="N121">
        <v>0.93536559815629583</v>
      </c>
      <c r="O121">
        <v>0.90707184092366899</v>
      </c>
      <c r="P121">
        <v>0.95548254620123207</v>
      </c>
      <c r="Q121">
        <v>0.96367346938775511</v>
      </c>
      <c r="R121">
        <v>0.95441078084679343</v>
      </c>
    </row>
    <row r="122" spans="4:26" x14ac:dyDescent="0.25">
      <c r="D122" t="s">
        <v>35</v>
      </c>
      <c r="E122">
        <v>2015</v>
      </c>
      <c r="F122" t="s">
        <v>34</v>
      </c>
      <c r="G122">
        <v>0.93856188098880744</v>
      </c>
      <c r="H122">
        <v>0.90924512298558102</v>
      </c>
      <c r="I122">
        <v>0.92567932337592229</v>
      </c>
      <c r="J122">
        <v>0.89747116707226748</v>
      </c>
      <c r="K122">
        <v>0.90667248146532931</v>
      </c>
      <c r="L122">
        <v>0.92167411324883741</v>
      </c>
      <c r="M122">
        <v>0.8842699512445471</v>
      </c>
    </row>
    <row r="123" spans="4:26" x14ac:dyDescent="0.25">
      <c r="D123" t="s">
        <v>36</v>
      </c>
      <c r="E123">
        <v>2013</v>
      </c>
      <c r="F123" t="s">
        <v>17</v>
      </c>
      <c r="S123">
        <v>0.83555368437935429</v>
      </c>
    </row>
    <row r="124" spans="4:26" x14ac:dyDescent="0.25">
      <c r="D124" t="s">
        <v>36</v>
      </c>
      <c r="E124">
        <v>2014</v>
      </c>
      <c r="F124" t="s">
        <v>17</v>
      </c>
      <c r="S124">
        <v>0.90207492026533753</v>
      </c>
    </row>
    <row r="125" spans="4:26" x14ac:dyDescent="0.25">
      <c r="D125" t="s">
        <v>36</v>
      </c>
      <c r="E125">
        <v>2015</v>
      </c>
      <c r="F125" t="s">
        <v>17</v>
      </c>
      <c r="S125">
        <v>0.9073587653279257</v>
      </c>
    </row>
    <row r="126" spans="4:26" x14ac:dyDescent="0.25">
      <c r="D126" t="s">
        <v>36</v>
      </c>
      <c r="E126">
        <v>2013</v>
      </c>
      <c r="F126" t="s">
        <v>18</v>
      </c>
      <c r="G126">
        <v>0.87145463592635597</v>
      </c>
      <c r="H126">
        <v>0.82938445770784353</v>
      </c>
      <c r="I126">
        <v>0.82042186609235446</v>
      </c>
      <c r="J126">
        <v>0.78649273447820345</v>
      </c>
      <c r="K126">
        <v>0.80613505352731263</v>
      </c>
      <c r="L126">
        <v>0.87739095638255304</v>
      </c>
      <c r="M126">
        <v>0.85453108014625956</v>
      </c>
      <c r="N126">
        <v>0.93171854449802716</v>
      </c>
      <c r="O126">
        <v>0.79659463999389168</v>
      </c>
      <c r="P126">
        <v>0.86708265663731943</v>
      </c>
      <c r="Q126">
        <v>0.87895886421550784</v>
      </c>
      <c r="R126">
        <v>0.92184350375664281</v>
      </c>
    </row>
    <row r="127" spans="4:26" x14ac:dyDescent="0.25">
      <c r="D127" t="s">
        <v>36</v>
      </c>
      <c r="E127">
        <v>2014</v>
      </c>
      <c r="F127" t="s">
        <v>18</v>
      </c>
      <c r="G127">
        <v>0.86914411320236296</v>
      </c>
      <c r="H127">
        <v>0.88203879682714204</v>
      </c>
      <c r="I127">
        <v>0.93588501291989667</v>
      </c>
      <c r="J127">
        <v>0.94271844660194171</v>
      </c>
      <c r="K127">
        <v>0.92467789890981167</v>
      </c>
      <c r="L127">
        <v>0.85843230403800475</v>
      </c>
      <c r="M127">
        <v>0.90856387306753461</v>
      </c>
      <c r="N127">
        <v>0.88280152518563115</v>
      </c>
      <c r="O127">
        <v>0.89998426188227887</v>
      </c>
      <c r="P127">
        <v>0.89923232323232327</v>
      </c>
      <c r="Q127">
        <v>0.83261381475667195</v>
      </c>
      <c r="R127">
        <v>0.84996102883865943</v>
      </c>
    </row>
    <row r="128" spans="4:26" x14ac:dyDescent="0.25">
      <c r="D128" t="s">
        <v>36</v>
      </c>
      <c r="E128">
        <v>2015</v>
      </c>
      <c r="F128" t="s">
        <v>18</v>
      </c>
      <c r="G128">
        <v>0.86689166941060258</v>
      </c>
      <c r="H128">
        <v>0.90005237430167595</v>
      </c>
      <c r="I128">
        <v>0.9474991719112289</v>
      </c>
      <c r="J128">
        <v>0.93918465227817749</v>
      </c>
      <c r="K128">
        <v>0.85261692004177791</v>
      </c>
      <c r="L128">
        <v>0.90558020961193464</v>
      </c>
      <c r="M128">
        <v>0.93789808917197448</v>
      </c>
    </row>
    <row r="129" spans="4:19" x14ac:dyDescent="0.25">
      <c r="D129" t="s">
        <v>36</v>
      </c>
      <c r="E129">
        <v>2013</v>
      </c>
      <c r="F129" t="s">
        <v>19</v>
      </c>
      <c r="S129">
        <v>0.64212643667387148</v>
      </c>
    </row>
    <row r="130" spans="4:19" x14ac:dyDescent="0.25">
      <c r="D130" t="s">
        <v>36</v>
      </c>
      <c r="E130">
        <v>2014</v>
      </c>
      <c r="F130" t="s">
        <v>19</v>
      </c>
      <c r="S130">
        <v>0.89061616732617299</v>
      </c>
    </row>
    <row r="131" spans="4:19" x14ac:dyDescent="0.25">
      <c r="D131" t="s">
        <v>36</v>
      </c>
      <c r="E131">
        <v>2015</v>
      </c>
      <c r="F131" t="s">
        <v>19</v>
      </c>
      <c r="S131">
        <v>0.95361630862212909</v>
      </c>
    </row>
    <row r="132" spans="4:19" x14ac:dyDescent="0.25">
      <c r="D132" t="s">
        <v>36</v>
      </c>
      <c r="E132">
        <v>2013</v>
      </c>
      <c r="F132" t="s">
        <v>20</v>
      </c>
      <c r="G132">
        <v>0.67186414827121321</v>
      </c>
      <c r="H132">
        <v>0.64554550500277519</v>
      </c>
      <c r="I132">
        <v>0.53743964438085989</v>
      </c>
      <c r="J132">
        <v>0.46503500382767687</v>
      </c>
      <c r="K132">
        <v>0.51975228346011371</v>
      </c>
      <c r="L132">
        <v>0.67542381945558583</v>
      </c>
      <c r="M132">
        <v>0.99363979848866502</v>
      </c>
      <c r="N132">
        <v>0.96679323685341745</v>
      </c>
      <c r="O132">
        <v>0.98734611723955001</v>
      </c>
      <c r="P132">
        <v>0.99075846746555107</v>
      </c>
      <c r="Q132">
        <v>0.95907230559345158</v>
      </c>
      <c r="R132">
        <v>0.90270825649401976</v>
      </c>
    </row>
    <row r="133" spans="4:19" x14ac:dyDescent="0.25">
      <c r="D133" t="s">
        <v>36</v>
      </c>
      <c r="E133">
        <v>2014</v>
      </c>
      <c r="F133" t="s">
        <v>20</v>
      </c>
      <c r="G133">
        <v>0.98016863724150927</v>
      </c>
      <c r="H133">
        <v>0.98690539818278999</v>
      </c>
      <c r="I133">
        <v>0.77247036909455102</v>
      </c>
      <c r="J133">
        <v>0.73602797860134639</v>
      </c>
      <c r="K133">
        <v>0.76933300957225192</v>
      </c>
      <c r="L133">
        <v>0.99148626408406126</v>
      </c>
      <c r="M133">
        <v>0.99276641864656523</v>
      </c>
      <c r="N133">
        <v>0.99057788944723613</v>
      </c>
      <c r="O133">
        <v>0.9868582596276716</v>
      </c>
      <c r="P133">
        <v>0.99101951011427669</v>
      </c>
      <c r="Q133">
        <v>0.9905275349529824</v>
      </c>
      <c r="R133">
        <v>0.9887669980573649</v>
      </c>
    </row>
    <row r="134" spans="4:19" x14ac:dyDescent="0.25">
      <c r="D134" t="s">
        <v>36</v>
      </c>
      <c r="E134">
        <v>2015</v>
      </c>
      <c r="F134" t="s">
        <v>20</v>
      </c>
      <c r="G134">
        <v>0.98374391966107011</v>
      </c>
      <c r="H134">
        <v>0.98862237908375317</v>
      </c>
      <c r="I134">
        <v>0.97899621738552456</v>
      </c>
      <c r="J134">
        <v>0.99290676416819013</v>
      </c>
      <c r="K134">
        <v>0.74658613445378152</v>
      </c>
      <c r="L134">
        <v>0.96376728638153675</v>
      </c>
      <c r="M134">
        <v>0.98586774725829807</v>
      </c>
    </row>
    <row r="135" spans="4:19" x14ac:dyDescent="0.25">
      <c r="D135" t="s">
        <v>36</v>
      </c>
      <c r="E135">
        <v>2013</v>
      </c>
      <c r="F135" t="s">
        <v>21</v>
      </c>
      <c r="S135">
        <v>0.9872088714436682</v>
      </c>
    </row>
    <row r="136" spans="4:19" x14ac:dyDescent="0.25">
      <c r="D136" t="s">
        <v>36</v>
      </c>
      <c r="E136">
        <v>2014</v>
      </c>
      <c r="F136" t="s">
        <v>21</v>
      </c>
      <c r="S136">
        <v>0.99304742563612469</v>
      </c>
    </row>
    <row r="137" spans="4:19" x14ac:dyDescent="0.25">
      <c r="D137" t="s">
        <v>36</v>
      </c>
      <c r="E137">
        <v>2015</v>
      </c>
      <c r="F137" t="s">
        <v>21</v>
      </c>
      <c r="S137">
        <v>0.98441016312776208</v>
      </c>
    </row>
    <row r="138" spans="4:19" x14ac:dyDescent="0.25">
      <c r="D138" t="s">
        <v>36</v>
      </c>
      <c r="E138">
        <v>2013</v>
      </c>
      <c r="F138" t="s">
        <v>22</v>
      </c>
      <c r="G138">
        <v>0.99317321927948676</v>
      </c>
      <c r="H138">
        <v>0.98550124275062134</v>
      </c>
      <c r="I138">
        <v>0.98704993623074655</v>
      </c>
      <c r="J138">
        <v>0.99241405799884774</v>
      </c>
      <c r="K138">
        <v>0.98921417565485359</v>
      </c>
      <c r="L138">
        <v>0.96483072258716529</v>
      </c>
      <c r="M138">
        <v>0.99546287409475609</v>
      </c>
      <c r="N138">
        <v>0.94557362240289067</v>
      </c>
      <c r="O138">
        <v>0.93860491929285161</v>
      </c>
      <c r="P138">
        <v>0.96858937749857221</v>
      </c>
      <c r="Q138">
        <v>0.79076308864894296</v>
      </c>
      <c r="R138">
        <v>0.88650996819486461</v>
      </c>
    </row>
    <row r="139" spans="4:19" x14ac:dyDescent="0.25">
      <c r="D139" t="s">
        <v>36</v>
      </c>
      <c r="E139">
        <v>2014</v>
      </c>
      <c r="F139" t="s">
        <v>22</v>
      </c>
      <c r="G139">
        <v>0.9980578172854262</v>
      </c>
      <c r="H139">
        <v>0.99564104993840619</v>
      </c>
      <c r="I139">
        <v>0.99675567756426253</v>
      </c>
      <c r="J139">
        <v>0.99682992550324934</v>
      </c>
      <c r="K139">
        <v>0.97593860194980298</v>
      </c>
      <c r="L139">
        <v>0.98512770772712577</v>
      </c>
      <c r="M139">
        <v>0.99885644583365096</v>
      </c>
      <c r="N139">
        <v>0.99988939276628697</v>
      </c>
      <c r="O139">
        <v>0.83730642074125627</v>
      </c>
      <c r="P139">
        <v>0.96566245545837381</v>
      </c>
      <c r="Q139">
        <v>0.84343103286824606</v>
      </c>
      <c r="R139">
        <v>0.98312748869541744</v>
      </c>
    </row>
    <row r="140" spans="4:19" x14ac:dyDescent="0.25">
      <c r="D140" t="s">
        <v>36</v>
      </c>
      <c r="E140">
        <v>2015</v>
      </c>
      <c r="F140" t="s">
        <v>22</v>
      </c>
      <c r="G140">
        <v>0.94587433762301287</v>
      </c>
      <c r="H140">
        <v>0.98955726244929665</v>
      </c>
      <c r="I140">
        <v>0.99398960363872646</v>
      </c>
      <c r="J140">
        <v>0.99437846397466345</v>
      </c>
      <c r="K140">
        <v>0.99692084767252309</v>
      </c>
      <c r="L140">
        <v>0.9931442080378251</v>
      </c>
      <c r="M140">
        <v>0.98087876322213186</v>
      </c>
    </row>
    <row r="141" spans="4:19" x14ac:dyDescent="0.25">
      <c r="D141" t="s">
        <v>36</v>
      </c>
      <c r="E141">
        <v>2013</v>
      </c>
      <c r="F141" t="s">
        <v>23</v>
      </c>
      <c r="S141">
        <v>161792</v>
      </c>
    </row>
    <row r="142" spans="4:19" x14ac:dyDescent="0.25">
      <c r="D142" t="s">
        <v>36</v>
      </c>
      <c r="E142">
        <v>2014</v>
      </c>
      <c r="F142" t="s">
        <v>23</v>
      </c>
      <c r="S142">
        <v>165189</v>
      </c>
    </row>
    <row r="143" spans="4:19" x14ac:dyDescent="0.25">
      <c r="D143" t="s">
        <v>36</v>
      </c>
      <c r="E143">
        <v>2015</v>
      </c>
      <c r="F143" t="s">
        <v>23</v>
      </c>
      <c r="S143">
        <v>146672</v>
      </c>
    </row>
    <row r="144" spans="4:19" x14ac:dyDescent="0.25">
      <c r="D144" t="s">
        <v>36</v>
      </c>
      <c r="E144">
        <v>2013</v>
      </c>
      <c r="F144" t="s">
        <v>24</v>
      </c>
      <c r="G144">
        <v>26180</v>
      </c>
      <c r="H144">
        <v>28777</v>
      </c>
      <c r="I144">
        <v>24967</v>
      </c>
      <c r="J144">
        <v>20814</v>
      </c>
      <c r="K144">
        <v>20597</v>
      </c>
      <c r="L144">
        <v>19063</v>
      </c>
      <c r="M144">
        <v>21394</v>
      </c>
      <c r="N144">
        <v>21159</v>
      </c>
      <c r="O144">
        <v>25783</v>
      </c>
      <c r="P144">
        <v>23558</v>
      </c>
      <c r="Q144">
        <v>21953</v>
      </c>
      <c r="R144">
        <v>23195</v>
      </c>
    </row>
    <row r="145" spans="4:19" x14ac:dyDescent="0.25">
      <c r="D145" t="s">
        <v>36</v>
      </c>
      <c r="E145">
        <v>2014</v>
      </c>
      <c r="F145" t="s">
        <v>24</v>
      </c>
      <c r="G145">
        <v>26671</v>
      </c>
      <c r="H145">
        <v>26157</v>
      </c>
      <c r="I145">
        <v>24795</v>
      </c>
      <c r="J145">
        <v>20066</v>
      </c>
      <c r="K145">
        <v>19907</v>
      </c>
      <c r="L145">
        <v>22327</v>
      </c>
      <c r="M145">
        <v>25266</v>
      </c>
      <c r="N145">
        <v>22519</v>
      </c>
      <c r="O145">
        <v>28455</v>
      </c>
      <c r="P145">
        <v>27117</v>
      </c>
      <c r="Q145">
        <v>21410</v>
      </c>
      <c r="R145">
        <v>22249</v>
      </c>
    </row>
    <row r="146" spans="4:19" x14ac:dyDescent="0.25">
      <c r="D146" t="s">
        <v>36</v>
      </c>
      <c r="E146">
        <v>2015</v>
      </c>
      <c r="F146" t="s">
        <v>24</v>
      </c>
      <c r="G146">
        <v>21531</v>
      </c>
      <c r="H146">
        <v>20437</v>
      </c>
      <c r="I146">
        <v>20700</v>
      </c>
      <c r="J146">
        <v>22908</v>
      </c>
      <c r="K146">
        <v>17636</v>
      </c>
      <c r="L146">
        <v>20875</v>
      </c>
      <c r="M146">
        <v>22585</v>
      </c>
    </row>
    <row r="147" spans="4:19" x14ac:dyDescent="0.25">
      <c r="D147" t="s">
        <v>36</v>
      </c>
      <c r="E147">
        <v>2013</v>
      </c>
      <c r="F147" t="s">
        <v>25</v>
      </c>
      <c r="S147">
        <v>433501</v>
      </c>
    </row>
    <row r="148" spans="4:19" x14ac:dyDescent="0.25">
      <c r="D148" t="s">
        <v>36</v>
      </c>
      <c r="E148">
        <v>2014</v>
      </c>
      <c r="F148" t="s">
        <v>25</v>
      </c>
      <c r="S148">
        <v>410731</v>
      </c>
    </row>
    <row r="149" spans="4:19" x14ac:dyDescent="0.25">
      <c r="D149" t="s">
        <v>36</v>
      </c>
      <c r="E149">
        <v>2015</v>
      </c>
      <c r="F149" t="s">
        <v>25</v>
      </c>
      <c r="S149">
        <v>436356</v>
      </c>
    </row>
    <row r="150" spans="4:19" x14ac:dyDescent="0.25">
      <c r="D150" t="s">
        <v>36</v>
      </c>
      <c r="E150">
        <v>2013</v>
      </c>
      <c r="F150" t="s">
        <v>26</v>
      </c>
      <c r="G150">
        <v>72882</v>
      </c>
      <c r="H150">
        <v>66033</v>
      </c>
      <c r="I150">
        <v>59308</v>
      </c>
      <c r="J150">
        <v>60416</v>
      </c>
      <c r="K150">
        <v>54451</v>
      </c>
      <c r="L150">
        <v>55108</v>
      </c>
      <c r="M150">
        <v>65303</v>
      </c>
      <c r="N150">
        <v>52655</v>
      </c>
      <c r="O150">
        <v>68746</v>
      </c>
      <c r="P150">
        <v>79006</v>
      </c>
      <c r="Q150">
        <v>66936</v>
      </c>
      <c r="R150">
        <v>66239</v>
      </c>
    </row>
    <row r="151" spans="4:19" x14ac:dyDescent="0.25">
      <c r="D151" t="s">
        <v>36</v>
      </c>
      <c r="E151">
        <v>2014</v>
      </c>
      <c r="F151" t="s">
        <v>26</v>
      </c>
      <c r="G151">
        <v>67940</v>
      </c>
      <c r="H151">
        <v>60984</v>
      </c>
      <c r="I151">
        <v>59773</v>
      </c>
      <c r="J151">
        <v>55487</v>
      </c>
      <c r="K151">
        <v>50331</v>
      </c>
      <c r="L151">
        <v>54207</v>
      </c>
      <c r="M151">
        <v>62009</v>
      </c>
      <c r="N151">
        <v>56259</v>
      </c>
      <c r="O151">
        <v>69056</v>
      </c>
      <c r="P151">
        <v>67366</v>
      </c>
      <c r="Q151">
        <v>69522</v>
      </c>
      <c r="R151">
        <v>74556</v>
      </c>
    </row>
    <row r="152" spans="4:19" x14ac:dyDescent="0.25">
      <c r="D152" t="s">
        <v>36</v>
      </c>
      <c r="E152">
        <v>2015</v>
      </c>
      <c r="F152" t="s">
        <v>26</v>
      </c>
      <c r="G152">
        <v>68397</v>
      </c>
      <c r="H152">
        <v>60992</v>
      </c>
      <c r="I152">
        <v>58367</v>
      </c>
      <c r="J152">
        <v>62644</v>
      </c>
      <c r="K152">
        <v>51792</v>
      </c>
      <c r="L152">
        <v>63488</v>
      </c>
      <c r="M152">
        <v>70676</v>
      </c>
    </row>
    <row r="153" spans="4:19" x14ac:dyDescent="0.25">
      <c r="D153" t="s">
        <v>36</v>
      </c>
      <c r="E153">
        <v>2013</v>
      </c>
      <c r="F153" t="s">
        <v>27</v>
      </c>
      <c r="S153">
        <v>797223</v>
      </c>
    </row>
    <row r="154" spans="4:19" x14ac:dyDescent="0.25">
      <c r="D154" t="s">
        <v>36</v>
      </c>
      <c r="E154">
        <v>2014</v>
      </c>
      <c r="F154" t="s">
        <v>27</v>
      </c>
      <c r="S154">
        <v>726611</v>
      </c>
    </row>
    <row r="155" spans="4:19" x14ac:dyDescent="0.25">
      <c r="D155" t="s">
        <v>36</v>
      </c>
      <c r="E155">
        <v>2015</v>
      </c>
      <c r="F155" t="s">
        <v>27</v>
      </c>
      <c r="S155">
        <v>789635</v>
      </c>
    </row>
    <row r="156" spans="4:19" x14ac:dyDescent="0.25">
      <c r="D156" t="s">
        <v>36</v>
      </c>
      <c r="E156">
        <v>2013</v>
      </c>
      <c r="F156" t="s">
        <v>28</v>
      </c>
      <c r="G156">
        <v>132272</v>
      </c>
      <c r="H156">
        <v>129182</v>
      </c>
      <c r="I156">
        <v>108593</v>
      </c>
      <c r="J156">
        <v>110153</v>
      </c>
      <c r="K156">
        <v>99623</v>
      </c>
      <c r="L156">
        <v>97659</v>
      </c>
      <c r="M156">
        <v>119741</v>
      </c>
      <c r="N156">
        <v>92957</v>
      </c>
      <c r="O156">
        <v>110885</v>
      </c>
      <c r="P156">
        <v>135546</v>
      </c>
      <c r="Q156">
        <v>113005</v>
      </c>
      <c r="R156">
        <v>122195</v>
      </c>
    </row>
    <row r="157" spans="4:19" x14ac:dyDescent="0.25">
      <c r="D157" t="s">
        <v>36</v>
      </c>
      <c r="E157">
        <v>2014</v>
      </c>
      <c r="F157" t="s">
        <v>28</v>
      </c>
      <c r="G157">
        <v>120404</v>
      </c>
      <c r="H157">
        <v>109714</v>
      </c>
      <c r="I157">
        <v>109816</v>
      </c>
      <c r="J157">
        <v>101771</v>
      </c>
      <c r="K157">
        <v>85926</v>
      </c>
      <c r="L157">
        <v>90706</v>
      </c>
      <c r="M157">
        <v>108274</v>
      </c>
      <c r="N157">
        <v>95475</v>
      </c>
      <c r="O157">
        <v>121579</v>
      </c>
      <c r="P157">
        <v>121604</v>
      </c>
      <c r="Q157">
        <v>115290</v>
      </c>
      <c r="R157">
        <v>131746</v>
      </c>
    </row>
    <row r="158" spans="4:19" x14ac:dyDescent="0.25">
      <c r="D158" t="s">
        <v>36</v>
      </c>
      <c r="E158">
        <v>2015</v>
      </c>
      <c r="F158" t="s">
        <v>28</v>
      </c>
      <c r="G158">
        <v>125013</v>
      </c>
      <c r="H158">
        <v>116016</v>
      </c>
      <c r="I158">
        <v>107395</v>
      </c>
      <c r="J158">
        <v>115070</v>
      </c>
      <c r="K158">
        <v>92600</v>
      </c>
      <c r="L158">
        <v>112590</v>
      </c>
      <c r="M158">
        <v>120951</v>
      </c>
    </row>
    <row r="159" spans="4:19" x14ac:dyDescent="0.25">
      <c r="D159" t="s">
        <v>36</v>
      </c>
      <c r="E159">
        <v>2013</v>
      </c>
      <c r="F159" t="s">
        <v>29</v>
      </c>
      <c r="S159">
        <v>99759</v>
      </c>
    </row>
    <row r="160" spans="4:19" x14ac:dyDescent="0.25">
      <c r="D160" t="s">
        <v>36</v>
      </c>
      <c r="E160">
        <v>2014</v>
      </c>
      <c r="F160" t="s">
        <v>29</v>
      </c>
      <c r="S160">
        <v>82461</v>
      </c>
    </row>
    <row r="161" spans="4:19" x14ac:dyDescent="0.25">
      <c r="D161" t="s">
        <v>36</v>
      </c>
      <c r="E161">
        <v>2015</v>
      </c>
      <c r="F161" t="s">
        <v>29</v>
      </c>
      <c r="S161">
        <v>73477</v>
      </c>
    </row>
    <row r="162" spans="4:19" x14ac:dyDescent="0.25">
      <c r="D162" t="s">
        <v>36</v>
      </c>
      <c r="E162">
        <v>2013</v>
      </c>
      <c r="F162" t="s">
        <v>30</v>
      </c>
      <c r="G162">
        <v>18087</v>
      </c>
      <c r="H162">
        <v>16587</v>
      </c>
      <c r="I162">
        <v>15787</v>
      </c>
      <c r="J162">
        <v>12112</v>
      </c>
      <c r="K162">
        <v>14572</v>
      </c>
      <c r="L162">
        <v>12495</v>
      </c>
      <c r="M162">
        <v>10119</v>
      </c>
      <c r="N162">
        <v>9124</v>
      </c>
      <c r="O162">
        <v>13097</v>
      </c>
      <c r="P162">
        <v>11699</v>
      </c>
      <c r="Q162">
        <v>10988</v>
      </c>
      <c r="R162">
        <v>10914</v>
      </c>
    </row>
    <row r="163" spans="4:19" x14ac:dyDescent="0.25">
      <c r="D163" t="s">
        <v>36</v>
      </c>
      <c r="E163">
        <v>2014</v>
      </c>
      <c r="F163" t="s">
        <v>30</v>
      </c>
      <c r="G163">
        <v>14558</v>
      </c>
      <c r="H163">
        <v>12733</v>
      </c>
      <c r="I163">
        <v>12384</v>
      </c>
      <c r="J163">
        <v>11330</v>
      </c>
      <c r="K163">
        <v>11099</v>
      </c>
      <c r="L163">
        <v>10525</v>
      </c>
      <c r="M163">
        <v>9832</v>
      </c>
      <c r="N163">
        <v>9966</v>
      </c>
      <c r="O163">
        <v>12708</v>
      </c>
      <c r="P163">
        <v>12375</v>
      </c>
      <c r="Q163">
        <v>10192</v>
      </c>
      <c r="R163">
        <v>10264</v>
      </c>
    </row>
    <row r="164" spans="4:19" x14ac:dyDescent="0.25">
      <c r="D164" t="s">
        <v>36</v>
      </c>
      <c r="E164">
        <v>2015</v>
      </c>
      <c r="F164" t="s">
        <v>30</v>
      </c>
      <c r="G164">
        <v>12148</v>
      </c>
      <c r="H164">
        <v>11456</v>
      </c>
      <c r="I164">
        <v>12076</v>
      </c>
      <c r="J164">
        <v>10425</v>
      </c>
      <c r="K164">
        <v>8617</v>
      </c>
      <c r="L164">
        <v>10591</v>
      </c>
      <c r="M164">
        <v>8164</v>
      </c>
    </row>
    <row r="165" spans="4:19" x14ac:dyDescent="0.25">
      <c r="D165" t="s">
        <v>36</v>
      </c>
      <c r="E165">
        <v>2013</v>
      </c>
      <c r="F165" t="s">
        <v>31</v>
      </c>
      <c r="S165">
        <v>0.88989566851265822</v>
      </c>
    </row>
    <row r="166" spans="4:19" x14ac:dyDescent="0.25">
      <c r="D166" t="s">
        <v>36</v>
      </c>
      <c r="E166">
        <v>2014</v>
      </c>
      <c r="F166" t="s">
        <v>31</v>
      </c>
      <c r="S166">
        <v>0.91588422957945137</v>
      </c>
    </row>
    <row r="167" spans="4:19" x14ac:dyDescent="0.25">
      <c r="D167" t="s">
        <v>36</v>
      </c>
      <c r="E167">
        <v>2015</v>
      </c>
      <c r="F167" t="s">
        <v>31</v>
      </c>
      <c r="S167">
        <v>0.89714464928548054</v>
      </c>
    </row>
    <row r="168" spans="4:19" x14ac:dyDescent="0.25">
      <c r="D168" t="s">
        <v>36</v>
      </c>
      <c r="E168">
        <v>2013</v>
      </c>
      <c r="F168" t="s">
        <v>32</v>
      </c>
      <c r="G168">
        <v>0.89472880061115356</v>
      </c>
      <c r="H168">
        <v>0.84063661952253532</v>
      </c>
      <c r="I168">
        <v>0.87491488765170022</v>
      </c>
      <c r="J168">
        <v>0.90564043432305175</v>
      </c>
      <c r="K168">
        <v>0.88653687430208283</v>
      </c>
      <c r="L168">
        <v>0.88406861459371555</v>
      </c>
      <c r="M168">
        <v>0.96083013929139016</v>
      </c>
      <c r="N168">
        <v>0.95207713029916352</v>
      </c>
      <c r="O168">
        <v>0.89489198308963269</v>
      </c>
      <c r="P168">
        <v>0.9584854401901689</v>
      </c>
      <c r="Q168">
        <v>0.93727508768733203</v>
      </c>
      <c r="R168">
        <v>0.9351584393188187</v>
      </c>
    </row>
    <row r="169" spans="4:19" x14ac:dyDescent="0.25">
      <c r="D169" t="s">
        <v>36</v>
      </c>
      <c r="E169">
        <v>2014</v>
      </c>
      <c r="F169" t="s">
        <v>32</v>
      </c>
      <c r="G169">
        <v>0.92651194180945595</v>
      </c>
      <c r="H169">
        <v>0.94001605688725776</v>
      </c>
      <c r="I169">
        <v>0.94115749142972371</v>
      </c>
      <c r="J169">
        <v>0.93401774145320438</v>
      </c>
      <c r="K169">
        <v>0.92967297935399607</v>
      </c>
      <c r="L169">
        <v>0.84422448156940033</v>
      </c>
      <c r="M169">
        <v>0.89293912768146921</v>
      </c>
      <c r="N169">
        <v>0.91140814423375816</v>
      </c>
      <c r="O169">
        <v>0.91189597610261819</v>
      </c>
      <c r="P169">
        <v>0.92052955710439943</v>
      </c>
      <c r="Q169">
        <v>0.89406819243344227</v>
      </c>
      <c r="R169">
        <v>0.93082835183603763</v>
      </c>
    </row>
    <row r="170" spans="4:19" x14ac:dyDescent="0.25">
      <c r="D170" t="s">
        <v>36</v>
      </c>
      <c r="E170">
        <v>2015</v>
      </c>
      <c r="F170" t="s">
        <v>32</v>
      </c>
      <c r="G170">
        <v>0.91960429148669365</v>
      </c>
      <c r="H170">
        <v>0.89494544209032634</v>
      </c>
      <c r="I170">
        <v>0.8897101449275362</v>
      </c>
      <c r="J170">
        <v>0.93172690763052213</v>
      </c>
      <c r="K170">
        <v>0.88716262190973005</v>
      </c>
      <c r="L170">
        <v>0.89676646706586827</v>
      </c>
      <c r="M170">
        <v>0.85760460482621204</v>
      </c>
    </row>
    <row r="171" spans="4:19" x14ac:dyDescent="0.25">
      <c r="D171" t="s">
        <v>36</v>
      </c>
      <c r="E171">
        <v>2013</v>
      </c>
      <c r="F171" t="s">
        <v>33</v>
      </c>
      <c r="S171">
        <v>0.91487318752727798</v>
      </c>
    </row>
    <row r="172" spans="4:19" x14ac:dyDescent="0.25">
      <c r="D172" t="s">
        <v>36</v>
      </c>
      <c r="E172">
        <v>2014</v>
      </c>
      <c r="F172" t="s">
        <v>33</v>
      </c>
      <c r="S172">
        <v>0.90693921463152227</v>
      </c>
    </row>
    <row r="173" spans="4:19" x14ac:dyDescent="0.25">
      <c r="D173" t="s">
        <v>36</v>
      </c>
      <c r="E173">
        <v>2015</v>
      </c>
      <c r="F173" t="s">
        <v>33</v>
      </c>
      <c r="S173">
        <v>0.90410687123867473</v>
      </c>
    </row>
    <row r="174" spans="4:19" x14ac:dyDescent="0.25">
      <c r="D174" t="s">
        <v>36</v>
      </c>
      <c r="E174">
        <v>2013</v>
      </c>
      <c r="F174" t="s">
        <v>34</v>
      </c>
      <c r="G174">
        <v>0.9251400643700084</v>
      </c>
      <c r="H174">
        <v>0.85110420979986201</v>
      </c>
      <c r="I174">
        <v>0.90492636517659319</v>
      </c>
      <c r="J174">
        <v>0.95122845617895124</v>
      </c>
      <c r="K174">
        <v>0.91255205234979175</v>
      </c>
      <c r="L174">
        <v>0.91667998082760827</v>
      </c>
      <c r="M174">
        <v>0.95790451686678102</v>
      </c>
      <c r="N174">
        <v>0.9237823211064341</v>
      </c>
      <c r="O174">
        <v>0.84466353318812337</v>
      </c>
      <c r="P174">
        <v>0.93909957033439195</v>
      </c>
      <c r="Q174">
        <v>0.90727897111305633</v>
      </c>
      <c r="R174">
        <v>0.89951897381079637</v>
      </c>
    </row>
    <row r="175" spans="4:19" x14ac:dyDescent="0.25">
      <c r="D175" t="s">
        <v>36</v>
      </c>
      <c r="E175">
        <v>2014</v>
      </c>
      <c r="F175" t="s">
        <v>34</v>
      </c>
      <c r="G175">
        <v>0.89458398321949117</v>
      </c>
      <c r="H175">
        <v>0.90608164731234286</v>
      </c>
      <c r="I175">
        <v>0.91136087484811668</v>
      </c>
      <c r="J175">
        <v>0.90513720713620405</v>
      </c>
      <c r="K175">
        <v>0.91137759578824218</v>
      </c>
      <c r="L175">
        <v>0.90364538764333391</v>
      </c>
      <c r="M175">
        <v>0.92031321971441737</v>
      </c>
      <c r="N175">
        <v>0.94840775662693466</v>
      </c>
      <c r="O175">
        <v>0.90472300608941036</v>
      </c>
      <c r="P175">
        <v>0.93805031446540876</v>
      </c>
      <c r="Q175">
        <v>0.87247109826589597</v>
      </c>
      <c r="R175">
        <v>0.9485543530931998</v>
      </c>
    </row>
    <row r="176" spans="4:19" x14ac:dyDescent="0.25">
      <c r="D176" t="s">
        <v>36</v>
      </c>
      <c r="E176">
        <v>2015</v>
      </c>
      <c r="F176" t="s">
        <v>34</v>
      </c>
      <c r="G176">
        <v>0.93124077383264703</v>
      </c>
      <c r="H176">
        <v>0.89453034848834523</v>
      </c>
      <c r="I176">
        <v>0.91132930513595167</v>
      </c>
      <c r="J176">
        <v>0.96426611796982165</v>
      </c>
      <c r="K176">
        <v>0.89161160058737154</v>
      </c>
      <c r="L176">
        <v>0.89582003828972556</v>
      </c>
      <c r="M176">
        <v>0.8337253748897383</v>
      </c>
    </row>
    <row r="177" spans="4:19" x14ac:dyDescent="0.25">
      <c r="D177" t="s">
        <v>37</v>
      </c>
      <c r="E177">
        <v>2013</v>
      </c>
      <c r="F177" t="s">
        <v>17</v>
      </c>
      <c r="S177">
        <v>0.99901858359451678</v>
      </c>
    </row>
    <row r="178" spans="4:19" x14ac:dyDescent="0.25">
      <c r="D178" t="s">
        <v>37</v>
      </c>
      <c r="E178">
        <v>2014</v>
      </c>
      <c r="F178" t="s">
        <v>17</v>
      </c>
      <c r="S178">
        <v>0.99879630867995184</v>
      </c>
    </row>
    <row r="179" spans="4:19" x14ac:dyDescent="0.25">
      <c r="D179" t="s">
        <v>37</v>
      </c>
      <c r="E179">
        <v>2015</v>
      </c>
      <c r="F179" t="s">
        <v>17</v>
      </c>
      <c r="S179">
        <v>0.99912748424624331</v>
      </c>
    </row>
    <row r="180" spans="4:19" x14ac:dyDescent="0.25">
      <c r="D180" t="s">
        <v>37</v>
      </c>
      <c r="E180">
        <v>2013</v>
      </c>
      <c r="F180" t="s">
        <v>18</v>
      </c>
      <c r="G180">
        <v>0.99897426333457662</v>
      </c>
      <c r="H180">
        <v>0.99889447236180906</v>
      </c>
      <c r="I180">
        <v>0.99911298370107549</v>
      </c>
      <c r="J180">
        <v>0.99919706354668503</v>
      </c>
      <c r="K180">
        <v>0.99904099736274277</v>
      </c>
      <c r="L180">
        <v>0.99885247991839854</v>
      </c>
      <c r="M180">
        <v>0.99906738167404985</v>
      </c>
      <c r="N180">
        <v>0.99921895339755273</v>
      </c>
      <c r="O180">
        <v>0.99862782351699386</v>
      </c>
      <c r="P180">
        <v>0.99887283533148885</v>
      </c>
      <c r="Q180">
        <v>0.99901671583087515</v>
      </c>
      <c r="R180">
        <v>0.99874256973022402</v>
      </c>
    </row>
    <row r="181" spans="4:19" x14ac:dyDescent="0.25">
      <c r="D181" t="s">
        <v>37</v>
      </c>
      <c r="E181">
        <v>2014</v>
      </c>
      <c r="F181" t="s">
        <v>18</v>
      </c>
      <c r="G181">
        <v>0.99886656362699644</v>
      </c>
      <c r="H181">
        <v>0.99856749311294768</v>
      </c>
      <c r="I181">
        <v>0.99885228968208428</v>
      </c>
      <c r="J181">
        <v>0.99903463255701697</v>
      </c>
      <c r="K181">
        <v>0.99936094069529657</v>
      </c>
      <c r="L181">
        <v>0.99847016828148905</v>
      </c>
      <c r="M181">
        <v>0.99844646271510518</v>
      </c>
      <c r="N181">
        <v>0.99936515997968511</v>
      </c>
      <c r="O181">
        <v>0.99911730090231465</v>
      </c>
      <c r="P181">
        <v>0.99929292929292934</v>
      </c>
      <c r="Q181">
        <v>0.99901489964290113</v>
      </c>
      <c r="R181">
        <v>0.99923921312900776</v>
      </c>
    </row>
    <row r="182" spans="4:19" x14ac:dyDescent="0.25">
      <c r="D182" t="s">
        <v>37</v>
      </c>
      <c r="E182">
        <v>2015</v>
      </c>
      <c r="F182" t="s">
        <v>18</v>
      </c>
      <c r="G182">
        <v>0.9989328780279586</v>
      </c>
      <c r="H182">
        <v>0.99866131191432395</v>
      </c>
      <c r="I182">
        <v>0.99938180019782397</v>
      </c>
      <c r="J182">
        <v>0.99931356397583748</v>
      </c>
      <c r="K182">
        <v>0.99846035411855272</v>
      </c>
      <c r="L182">
        <v>0.99950488921896274</v>
      </c>
      <c r="M182">
        <v>0.99935699588477367</v>
      </c>
    </row>
    <row r="183" spans="4:19" x14ac:dyDescent="0.25">
      <c r="D183" t="s">
        <v>37</v>
      </c>
      <c r="E183">
        <v>2013</v>
      </c>
      <c r="F183" t="s">
        <v>19</v>
      </c>
      <c r="S183">
        <v>0.8228542963232427</v>
      </c>
    </row>
    <row r="184" spans="4:19" x14ac:dyDescent="0.25">
      <c r="D184" t="s">
        <v>37</v>
      </c>
      <c r="E184">
        <v>2014</v>
      </c>
      <c r="F184" t="s">
        <v>19</v>
      </c>
      <c r="S184">
        <v>0.97043186651398661</v>
      </c>
    </row>
    <row r="185" spans="4:19" x14ac:dyDescent="0.25">
      <c r="D185" t="s">
        <v>37</v>
      </c>
      <c r="E185">
        <v>2015</v>
      </c>
      <c r="F185" t="s">
        <v>19</v>
      </c>
      <c r="S185">
        <v>0.8442028144307292</v>
      </c>
    </row>
    <row r="186" spans="4:19" x14ac:dyDescent="0.25">
      <c r="D186" t="s">
        <v>37</v>
      </c>
      <c r="E186">
        <v>2013</v>
      </c>
      <c r="F186" t="s">
        <v>20</v>
      </c>
      <c r="G186">
        <v>0.83909486879847017</v>
      </c>
      <c r="H186">
        <v>0.80935636389555465</v>
      </c>
      <c r="I186">
        <v>0.68762546137408531</v>
      </c>
      <c r="J186">
        <v>0.71571965121131587</v>
      </c>
      <c r="K186">
        <v>0.77428088827065433</v>
      </c>
      <c r="L186">
        <v>0.95459778745557389</v>
      </c>
      <c r="M186">
        <v>0.99681158760163069</v>
      </c>
      <c r="N186">
        <v>0.99975701615842549</v>
      </c>
      <c r="O186">
        <v>0.99871757373950998</v>
      </c>
      <c r="P186">
        <v>0.99279502659192176</v>
      </c>
      <c r="Q186">
        <v>0.87282199457140353</v>
      </c>
      <c r="R186">
        <v>0.97640085815061273</v>
      </c>
    </row>
    <row r="187" spans="4:19" x14ac:dyDescent="0.25">
      <c r="D187" t="s">
        <v>37</v>
      </c>
      <c r="E187">
        <v>2014</v>
      </c>
      <c r="F187" t="s">
        <v>20</v>
      </c>
      <c r="G187">
        <v>0.99810515562439239</v>
      </c>
      <c r="H187">
        <v>0.99961792362717838</v>
      </c>
      <c r="I187">
        <v>0.88133967385758316</v>
      </c>
      <c r="J187">
        <v>0.93471230575388498</v>
      </c>
      <c r="K187">
        <v>0.99016264123802233</v>
      </c>
      <c r="L187">
        <v>0.99587564858752053</v>
      </c>
      <c r="M187">
        <v>0.99082679541339769</v>
      </c>
      <c r="N187">
        <v>0.98346674809693113</v>
      </c>
      <c r="O187">
        <v>0.92300214973361994</v>
      </c>
      <c r="P187">
        <v>0.9581873052959502</v>
      </c>
      <c r="Q187">
        <v>0.82089665942939849</v>
      </c>
      <c r="R187">
        <v>0.88910000522948729</v>
      </c>
    </row>
    <row r="188" spans="4:19" x14ac:dyDescent="0.25">
      <c r="D188" t="s">
        <v>37</v>
      </c>
      <c r="E188">
        <v>2015</v>
      </c>
      <c r="F188" t="s">
        <v>20</v>
      </c>
      <c r="G188">
        <v>0.83030651794932553</v>
      </c>
      <c r="H188">
        <v>0.86413833970802134</v>
      </c>
      <c r="I188">
        <v>0.8485762091173128</v>
      </c>
      <c r="J188">
        <v>0.85282266270503482</v>
      </c>
      <c r="K188">
        <v>0.81281256915246736</v>
      </c>
      <c r="L188">
        <v>0.85297671650404894</v>
      </c>
      <c r="M188">
        <v>0.84323636728818663</v>
      </c>
    </row>
    <row r="189" spans="4:19" x14ac:dyDescent="0.25">
      <c r="D189" t="s">
        <v>37</v>
      </c>
      <c r="E189">
        <v>2013</v>
      </c>
      <c r="F189" t="s">
        <v>21</v>
      </c>
      <c r="S189">
        <v>0.96431997925580193</v>
      </c>
    </row>
    <row r="190" spans="4:19" x14ac:dyDescent="0.25">
      <c r="D190" t="s">
        <v>37</v>
      </c>
      <c r="E190">
        <v>2014</v>
      </c>
      <c r="F190" t="s">
        <v>21</v>
      </c>
      <c r="S190">
        <v>0.99709008848506442</v>
      </c>
    </row>
    <row r="191" spans="4:19" x14ac:dyDescent="0.25">
      <c r="D191" t="s">
        <v>37</v>
      </c>
      <c r="E191">
        <v>2015</v>
      </c>
      <c r="F191" t="s">
        <v>21</v>
      </c>
      <c r="S191">
        <v>0.92282361049951178</v>
      </c>
    </row>
    <row r="192" spans="4:19" x14ac:dyDescent="0.25">
      <c r="D192" t="s">
        <v>37</v>
      </c>
      <c r="E192">
        <v>2013</v>
      </c>
      <c r="F192" t="s">
        <v>22</v>
      </c>
      <c r="G192">
        <v>0.94989262705798139</v>
      </c>
      <c r="H192">
        <v>0.92506459948320419</v>
      </c>
      <c r="I192">
        <v>0.95893567986591244</v>
      </c>
      <c r="J192">
        <v>0.95812395309882747</v>
      </c>
      <c r="K192">
        <v>0.97467472118959109</v>
      </c>
      <c r="L192">
        <v>0.98699979687182615</v>
      </c>
      <c r="M192">
        <v>0.99233556298773695</v>
      </c>
      <c r="N192">
        <v>0.99861495844875348</v>
      </c>
      <c r="O192">
        <v>0.99931926480599043</v>
      </c>
      <c r="P192">
        <v>0.98007348784624082</v>
      </c>
      <c r="Q192">
        <v>0.93081525804038889</v>
      </c>
      <c r="R192">
        <v>0.99253980625765503</v>
      </c>
    </row>
    <row r="193" spans="4:19" x14ac:dyDescent="0.25">
      <c r="D193" t="s">
        <v>37</v>
      </c>
      <c r="E193">
        <v>2014</v>
      </c>
      <c r="F193" t="s">
        <v>22</v>
      </c>
      <c r="G193">
        <v>0.99976187641385883</v>
      </c>
      <c r="H193">
        <v>0.99861821196628442</v>
      </c>
      <c r="I193">
        <v>0.99746942218473222</v>
      </c>
      <c r="J193">
        <v>0.99814577093139356</v>
      </c>
      <c r="K193">
        <v>0.99529337935362405</v>
      </c>
      <c r="L193">
        <v>0.9980999707687811</v>
      </c>
      <c r="M193">
        <v>0.99191088715024534</v>
      </c>
      <c r="N193">
        <v>0.9792405961674947</v>
      </c>
      <c r="O193">
        <v>0.9563992288298977</v>
      </c>
      <c r="P193">
        <v>0.89101533966398827</v>
      </c>
      <c r="Q193">
        <v>0.77163461538461542</v>
      </c>
      <c r="R193">
        <v>0.95980525362318836</v>
      </c>
    </row>
    <row r="194" spans="4:19" x14ac:dyDescent="0.25">
      <c r="D194" t="s">
        <v>37</v>
      </c>
      <c r="E194">
        <v>2015</v>
      </c>
      <c r="F194" t="s">
        <v>22</v>
      </c>
      <c r="G194">
        <v>0.93758189398451464</v>
      </c>
      <c r="H194">
        <v>0.83229181804970209</v>
      </c>
      <c r="I194">
        <v>0.88714117184427843</v>
      </c>
      <c r="J194">
        <v>0.87398751825786747</v>
      </c>
      <c r="K194">
        <v>0.99429515087824649</v>
      </c>
      <c r="L194">
        <v>0.99560836993025059</v>
      </c>
      <c r="M194">
        <v>0.93628246753246758</v>
      </c>
    </row>
    <row r="195" spans="4:19" x14ac:dyDescent="0.25">
      <c r="D195" t="s">
        <v>37</v>
      </c>
      <c r="E195">
        <v>2013</v>
      </c>
      <c r="F195" t="s">
        <v>23</v>
      </c>
      <c r="S195">
        <v>89369</v>
      </c>
    </row>
    <row r="196" spans="4:19" x14ac:dyDescent="0.25">
      <c r="D196" t="s">
        <v>37</v>
      </c>
      <c r="E196">
        <v>2014</v>
      </c>
      <c r="F196" t="s">
        <v>23</v>
      </c>
      <c r="S196">
        <v>81031</v>
      </c>
    </row>
    <row r="197" spans="4:19" x14ac:dyDescent="0.25">
      <c r="D197" t="s">
        <v>37</v>
      </c>
      <c r="E197">
        <v>2015</v>
      </c>
      <c r="F197" t="s">
        <v>23</v>
      </c>
      <c r="S197">
        <v>84053</v>
      </c>
    </row>
    <row r="198" spans="4:19" x14ac:dyDescent="0.25">
      <c r="D198" t="s">
        <v>37</v>
      </c>
      <c r="E198">
        <v>2013</v>
      </c>
      <c r="F198" t="s">
        <v>24</v>
      </c>
      <c r="G198">
        <v>14871</v>
      </c>
      <c r="H198">
        <v>15922</v>
      </c>
      <c r="I198">
        <v>12774</v>
      </c>
      <c r="J198">
        <v>12538</v>
      </c>
      <c r="K198">
        <v>11726</v>
      </c>
      <c r="L198">
        <v>10122</v>
      </c>
      <c r="M198">
        <v>11416</v>
      </c>
      <c r="N198">
        <v>10969</v>
      </c>
      <c r="O198">
        <v>11709</v>
      </c>
      <c r="P198">
        <v>12107</v>
      </c>
      <c r="Q198">
        <v>11687</v>
      </c>
      <c r="R198">
        <v>12293</v>
      </c>
    </row>
    <row r="199" spans="4:19" x14ac:dyDescent="0.25">
      <c r="D199" t="s">
        <v>37</v>
      </c>
      <c r="E199">
        <v>2014</v>
      </c>
      <c r="F199" t="s">
        <v>24</v>
      </c>
      <c r="G199">
        <v>13412</v>
      </c>
      <c r="H199">
        <v>13618</v>
      </c>
      <c r="I199">
        <v>11246</v>
      </c>
      <c r="J199">
        <v>10194</v>
      </c>
      <c r="K199">
        <v>9759</v>
      </c>
      <c r="L199">
        <v>10455</v>
      </c>
      <c r="M199">
        <v>12347</v>
      </c>
      <c r="N199">
        <v>12061</v>
      </c>
      <c r="O199">
        <v>15690</v>
      </c>
      <c r="P199">
        <v>14028</v>
      </c>
      <c r="Q199">
        <v>12437</v>
      </c>
      <c r="R199">
        <v>13870</v>
      </c>
    </row>
    <row r="200" spans="4:19" x14ac:dyDescent="0.25">
      <c r="D200" t="s">
        <v>37</v>
      </c>
      <c r="E200">
        <v>2015</v>
      </c>
      <c r="F200" t="s">
        <v>24</v>
      </c>
      <c r="G200">
        <v>13378</v>
      </c>
      <c r="H200">
        <v>12761</v>
      </c>
      <c r="I200">
        <v>12443</v>
      </c>
      <c r="J200">
        <v>10979</v>
      </c>
      <c r="K200">
        <v>10172</v>
      </c>
      <c r="L200">
        <v>11512</v>
      </c>
      <c r="M200">
        <v>12808</v>
      </c>
    </row>
    <row r="201" spans="4:19" x14ac:dyDescent="0.25">
      <c r="D201" t="s">
        <v>37</v>
      </c>
      <c r="E201">
        <v>2013</v>
      </c>
      <c r="F201" t="s">
        <v>25</v>
      </c>
      <c r="S201">
        <v>257229</v>
      </c>
    </row>
    <row r="202" spans="4:19" x14ac:dyDescent="0.25">
      <c r="D202" t="s">
        <v>37</v>
      </c>
      <c r="E202">
        <v>2014</v>
      </c>
      <c r="F202" t="s">
        <v>25</v>
      </c>
      <c r="S202">
        <v>249381</v>
      </c>
    </row>
    <row r="203" spans="4:19" x14ac:dyDescent="0.25">
      <c r="D203" t="s">
        <v>37</v>
      </c>
      <c r="E203">
        <v>2015</v>
      </c>
      <c r="F203" t="s">
        <v>25</v>
      </c>
      <c r="S203">
        <v>274420</v>
      </c>
    </row>
    <row r="204" spans="4:19" x14ac:dyDescent="0.25">
      <c r="D204" t="s">
        <v>37</v>
      </c>
      <c r="E204">
        <v>2013</v>
      </c>
      <c r="F204" t="s">
        <v>26</v>
      </c>
      <c r="G204">
        <v>44134</v>
      </c>
      <c r="H204">
        <v>38472</v>
      </c>
      <c r="I204">
        <v>38089</v>
      </c>
      <c r="J204">
        <v>35284</v>
      </c>
      <c r="K204">
        <v>31757</v>
      </c>
      <c r="L204">
        <v>32886</v>
      </c>
      <c r="M204">
        <v>36607</v>
      </c>
      <c r="N204">
        <v>34583</v>
      </c>
      <c r="O204">
        <v>42109</v>
      </c>
      <c r="P204">
        <v>50719</v>
      </c>
      <c r="Q204">
        <v>38570</v>
      </c>
      <c r="R204">
        <v>42550</v>
      </c>
    </row>
    <row r="205" spans="4:19" x14ac:dyDescent="0.25">
      <c r="D205" t="s">
        <v>37</v>
      </c>
      <c r="E205">
        <v>2014</v>
      </c>
      <c r="F205" t="s">
        <v>26</v>
      </c>
      <c r="G205">
        <v>43128</v>
      </c>
      <c r="H205">
        <v>36277</v>
      </c>
      <c r="I205">
        <v>36865</v>
      </c>
      <c r="J205">
        <v>33523</v>
      </c>
      <c r="K205">
        <v>31033</v>
      </c>
      <c r="L205">
        <v>32807</v>
      </c>
      <c r="M205">
        <v>35748</v>
      </c>
      <c r="N205">
        <v>35457</v>
      </c>
      <c r="O205">
        <v>42914</v>
      </c>
      <c r="P205">
        <v>47567</v>
      </c>
      <c r="Q205">
        <v>44846</v>
      </c>
      <c r="R205">
        <v>46416</v>
      </c>
    </row>
    <row r="206" spans="4:19" x14ac:dyDescent="0.25">
      <c r="D206" t="s">
        <v>37</v>
      </c>
      <c r="E206">
        <v>2015</v>
      </c>
      <c r="F206" t="s">
        <v>26</v>
      </c>
      <c r="G206">
        <v>43316</v>
      </c>
      <c r="H206">
        <v>40071</v>
      </c>
      <c r="I206">
        <v>43978</v>
      </c>
      <c r="J206">
        <v>37294</v>
      </c>
      <c r="K206">
        <v>31929</v>
      </c>
      <c r="L206">
        <v>38795</v>
      </c>
      <c r="M206">
        <v>39037</v>
      </c>
    </row>
    <row r="207" spans="4:19" x14ac:dyDescent="0.25">
      <c r="D207" t="s">
        <v>37</v>
      </c>
      <c r="E207">
        <v>2013</v>
      </c>
      <c r="F207" t="s">
        <v>27</v>
      </c>
      <c r="S207">
        <v>467626</v>
      </c>
    </row>
    <row r="208" spans="4:19" x14ac:dyDescent="0.25">
      <c r="D208" t="s">
        <v>37</v>
      </c>
      <c r="E208">
        <v>2014</v>
      </c>
      <c r="F208" t="s">
        <v>27</v>
      </c>
      <c r="S208">
        <v>441507</v>
      </c>
    </row>
    <row r="209" spans="4:19" x14ac:dyDescent="0.25">
      <c r="D209" t="s">
        <v>37</v>
      </c>
      <c r="E209">
        <v>2015</v>
      </c>
      <c r="F209" t="s">
        <v>27</v>
      </c>
      <c r="S209">
        <v>476752</v>
      </c>
    </row>
    <row r="210" spans="4:19" x14ac:dyDescent="0.25">
      <c r="D210" t="s">
        <v>37</v>
      </c>
      <c r="E210">
        <v>2013</v>
      </c>
      <c r="F210" t="s">
        <v>28</v>
      </c>
      <c r="G210">
        <v>76829</v>
      </c>
      <c r="H210">
        <v>70300</v>
      </c>
      <c r="I210">
        <v>68572</v>
      </c>
      <c r="J210">
        <v>66176</v>
      </c>
      <c r="K210">
        <v>57250</v>
      </c>
      <c r="L210">
        <v>61700</v>
      </c>
      <c r="M210">
        <v>66799</v>
      </c>
      <c r="N210">
        <v>60789</v>
      </c>
      <c r="O210">
        <v>75311</v>
      </c>
      <c r="P210">
        <v>85976</v>
      </c>
      <c r="Q210">
        <v>66045</v>
      </c>
      <c r="R210">
        <v>77257</v>
      </c>
    </row>
    <row r="211" spans="4:19" x14ac:dyDescent="0.25">
      <c r="D211" t="s">
        <v>37</v>
      </c>
      <c r="E211">
        <v>2014</v>
      </c>
      <c r="F211" t="s">
        <v>28</v>
      </c>
      <c r="G211">
        <v>77648</v>
      </c>
      <c r="H211">
        <v>66698</v>
      </c>
      <c r="I211">
        <v>63651</v>
      </c>
      <c r="J211">
        <v>59509</v>
      </c>
      <c r="K211">
        <v>54148</v>
      </c>
      <c r="L211">
        <v>57286</v>
      </c>
      <c r="M211">
        <v>62567</v>
      </c>
      <c r="N211">
        <v>58787</v>
      </c>
      <c r="O211">
        <v>74816</v>
      </c>
      <c r="P211">
        <v>83500</v>
      </c>
      <c r="Q211">
        <v>74807</v>
      </c>
      <c r="R211">
        <v>81861</v>
      </c>
    </row>
    <row r="212" spans="4:19" x14ac:dyDescent="0.25">
      <c r="D212" t="s">
        <v>37</v>
      </c>
      <c r="E212">
        <v>2015</v>
      </c>
      <c r="F212" t="s">
        <v>28</v>
      </c>
      <c r="G212">
        <v>74778</v>
      </c>
      <c r="H212">
        <v>70539</v>
      </c>
      <c r="I212">
        <v>75836</v>
      </c>
      <c r="J212">
        <v>64223</v>
      </c>
      <c r="K212">
        <v>54661</v>
      </c>
      <c r="L212">
        <v>67842</v>
      </c>
      <c r="M212">
        <v>68873</v>
      </c>
    </row>
    <row r="213" spans="4:19" x14ac:dyDescent="0.25">
      <c r="D213" t="s">
        <v>37</v>
      </c>
      <c r="E213">
        <v>2013</v>
      </c>
      <c r="F213" t="s">
        <v>29</v>
      </c>
      <c r="S213">
        <v>63174</v>
      </c>
    </row>
    <row r="214" spans="4:19" x14ac:dyDescent="0.25">
      <c r="D214" t="s">
        <v>37</v>
      </c>
      <c r="E214">
        <v>2014</v>
      </c>
      <c r="F214" t="s">
        <v>29</v>
      </c>
      <c r="S214">
        <v>59816</v>
      </c>
    </row>
    <row r="215" spans="4:19" x14ac:dyDescent="0.25">
      <c r="D215" t="s">
        <v>37</v>
      </c>
      <c r="E215">
        <v>2015</v>
      </c>
      <c r="F215" t="s">
        <v>29</v>
      </c>
      <c r="S215">
        <v>51575</v>
      </c>
    </row>
    <row r="216" spans="4:19" x14ac:dyDescent="0.25">
      <c r="D216" t="s">
        <v>37</v>
      </c>
      <c r="E216">
        <v>2013</v>
      </c>
      <c r="F216" t="s">
        <v>30</v>
      </c>
      <c r="G216">
        <v>10724</v>
      </c>
      <c r="H216">
        <v>9950</v>
      </c>
      <c r="I216">
        <v>9019</v>
      </c>
      <c r="J216">
        <v>8718</v>
      </c>
      <c r="K216">
        <v>8342</v>
      </c>
      <c r="L216">
        <v>7843</v>
      </c>
      <c r="M216">
        <v>8578</v>
      </c>
      <c r="N216">
        <v>7682</v>
      </c>
      <c r="O216">
        <v>9474</v>
      </c>
      <c r="P216">
        <v>9759</v>
      </c>
      <c r="Q216">
        <v>8136</v>
      </c>
      <c r="R216">
        <v>8748</v>
      </c>
    </row>
    <row r="217" spans="4:19" x14ac:dyDescent="0.25">
      <c r="D217" t="s">
        <v>37</v>
      </c>
      <c r="E217">
        <v>2014</v>
      </c>
      <c r="F217" t="s">
        <v>30</v>
      </c>
      <c r="G217">
        <v>9705</v>
      </c>
      <c r="H217">
        <v>9075</v>
      </c>
      <c r="I217">
        <v>8713</v>
      </c>
      <c r="J217">
        <v>8287</v>
      </c>
      <c r="K217">
        <v>7824</v>
      </c>
      <c r="L217">
        <v>7844</v>
      </c>
      <c r="M217">
        <v>8368</v>
      </c>
      <c r="N217">
        <v>7876</v>
      </c>
      <c r="O217">
        <v>10196</v>
      </c>
      <c r="P217">
        <v>9900</v>
      </c>
      <c r="Q217">
        <v>8121</v>
      </c>
      <c r="R217">
        <v>9201</v>
      </c>
    </row>
    <row r="218" spans="4:19" x14ac:dyDescent="0.25">
      <c r="D218" t="s">
        <v>37</v>
      </c>
      <c r="E218">
        <v>2015</v>
      </c>
      <c r="F218" t="s">
        <v>30</v>
      </c>
      <c r="G218">
        <v>9371</v>
      </c>
      <c r="H218">
        <v>4482</v>
      </c>
      <c r="I218">
        <v>8088</v>
      </c>
      <c r="J218">
        <v>7284</v>
      </c>
      <c r="K218">
        <v>6495</v>
      </c>
      <c r="L218">
        <v>8079</v>
      </c>
      <c r="M218">
        <v>7776</v>
      </c>
    </row>
    <row r="219" spans="4:19" x14ac:dyDescent="0.25">
      <c r="D219" t="s">
        <v>37</v>
      </c>
      <c r="E219">
        <v>2013</v>
      </c>
      <c r="F219" t="s">
        <v>31</v>
      </c>
      <c r="S219">
        <v>0.8892121429130907</v>
      </c>
    </row>
    <row r="220" spans="4:19" x14ac:dyDescent="0.25">
      <c r="D220" t="s">
        <v>37</v>
      </c>
      <c r="E220">
        <v>2014</v>
      </c>
      <c r="F220" t="s">
        <v>31</v>
      </c>
      <c r="S220">
        <v>0.91661216077797392</v>
      </c>
    </row>
    <row r="221" spans="4:19" x14ac:dyDescent="0.25">
      <c r="D221" t="s">
        <v>37</v>
      </c>
      <c r="E221">
        <v>2015</v>
      </c>
      <c r="F221" t="s">
        <v>31</v>
      </c>
      <c r="S221">
        <v>0.8795878790762971</v>
      </c>
    </row>
    <row r="222" spans="4:19" x14ac:dyDescent="0.25">
      <c r="D222" t="s">
        <v>37</v>
      </c>
      <c r="E222">
        <v>2013</v>
      </c>
      <c r="F222" t="s">
        <v>32</v>
      </c>
      <c r="G222">
        <v>0.8780176181830408</v>
      </c>
      <c r="H222">
        <v>0.86019344303479461</v>
      </c>
      <c r="I222">
        <v>0.89071551589165487</v>
      </c>
      <c r="J222">
        <v>0.88020417929494332</v>
      </c>
      <c r="K222">
        <v>0.89433736994712609</v>
      </c>
      <c r="L222">
        <v>0.89280774550484099</v>
      </c>
      <c r="M222">
        <v>0.94402592852137346</v>
      </c>
      <c r="N222">
        <v>0.91047497492934637</v>
      </c>
      <c r="O222">
        <v>0.95832265778461012</v>
      </c>
      <c r="P222">
        <v>0.97422978442223507</v>
      </c>
      <c r="Q222">
        <v>0.96200906990673396</v>
      </c>
      <c r="R222">
        <v>0.9701456113235174</v>
      </c>
    </row>
    <row r="223" spans="4:19" x14ac:dyDescent="0.25">
      <c r="D223" t="s">
        <v>37</v>
      </c>
      <c r="E223">
        <v>2014</v>
      </c>
      <c r="F223" t="s">
        <v>32</v>
      </c>
      <c r="G223">
        <v>0.93408887563376086</v>
      </c>
      <c r="H223">
        <v>0.89528565134380966</v>
      </c>
      <c r="I223">
        <v>0.92850791392495113</v>
      </c>
      <c r="J223">
        <v>0.94604669413380416</v>
      </c>
      <c r="K223">
        <v>0.92868121733784204</v>
      </c>
      <c r="L223">
        <v>0.90081300813008125</v>
      </c>
      <c r="M223">
        <v>0.88985178585891311</v>
      </c>
      <c r="N223">
        <v>0.90382223696210928</v>
      </c>
      <c r="O223">
        <v>0.90503505417463348</v>
      </c>
      <c r="P223">
        <v>0.9230824066153408</v>
      </c>
      <c r="Q223">
        <v>0.90335289860898926</v>
      </c>
      <c r="R223">
        <v>0.90670511896178807</v>
      </c>
    </row>
    <row r="224" spans="4:19" x14ac:dyDescent="0.25">
      <c r="D224" t="s">
        <v>37</v>
      </c>
      <c r="E224">
        <v>2015</v>
      </c>
      <c r="F224" t="s">
        <v>32</v>
      </c>
      <c r="G224">
        <v>0.88653012408431753</v>
      </c>
      <c r="H224">
        <v>0.87884961993574173</v>
      </c>
      <c r="I224">
        <v>0.89046049987945031</v>
      </c>
      <c r="J224">
        <v>0.88824118772201477</v>
      </c>
      <c r="K224">
        <v>0.89461266220998825</v>
      </c>
      <c r="L224">
        <v>0.90288394718554554</v>
      </c>
      <c r="M224">
        <v>0.82222048719550278</v>
      </c>
    </row>
    <row r="225" spans="4:19" x14ac:dyDescent="0.25">
      <c r="D225" t="s">
        <v>37</v>
      </c>
      <c r="E225">
        <v>2013</v>
      </c>
      <c r="F225" t="s">
        <v>33</v>
      </c>
      <c r="S225">
        <v>0.90843554279749483</v>
      </c>
    </row>
    <row r="226" spans="4:19" x14ac:dyDescent="0.25">
      <c r="D226" t="s">
        <v>37</v>
      </c>
      <c r="E226">
        <v>2014</v>
      </c>
      <c r="F226" t="s">
        <v>33</v>
      </c>
      <c r="S226">
        <v>0.90409976793766389</v>
      </c>
    </row>
    <row r="227" spans="4:19" x14ac:dyDescent="0.25">
      <c r="D227" t="s">
        <v>37</v>
      </c>
      <c r="E227">
        <v>2015</v>
      </c>
      <c r="F227" t="s">
        <v>33</v>
      </c>
      <c r="S227">
        <v>0.89145837433576069</v>
      </c>
    </row>
    <row r="228" spans="4:19" x14ac:dyDescent="0.25">
      <c r="D228" t="s">
        <v>37</v>
      </c>
      <c r="E228">
        <v>2013</v>
      </c>
      <c r="F228" t="s">
        <v>34</v>
      </c>
      <c r="G228">
        <v>0.89459879541480469</v>
      </c>
      <c r="H228">
        <v>0.86281356243682805</v>
      </c>
      <c r="I228">
        <v>0.91509978082823851</v>
      </c>
      <c r="J228">
        <v>0.90044474854601442</v>
      </c>
      <c r="K228">
        <v>0.92471378795420611</v>
      </c>
      <c r="L228">
        <v>0.93743765141798485</v>
      </c>
      <c r="M228">
        <v>0.94989534275248566</v>
      </c>
      <c r="N228">
        <v>0.87269959872699598</v>
      </c>
      <c r="O228">
        <v>0.9690040650406504</v>
      </c>
      <c r="P228">
        <v>0.97031767447565309</v>
      </c>
      <c r="Q228">
        <v>0.94999338536843503</v>
      </c>
      <c r="R228">
        <v>0.96141558122388793</v>
      </c>
    </row>
    <row r="229" spans="4:19" x14ac:dyDescent="0.25">
      <c r="D229" t="s">
        <v>37</v>
      </c>
      <c r="E229">
        <v>2014</v>
      </c>
      <c r="F229" t="s">
        <v>34</v>
      </c>
      <c r="G229">
        <v>0.91570674991925938</v>
      </c>
      <c r="H229">
        <v>0.85464116888697894</v>
      </c>
      <c r="I229">
        <v>0.90796277145811788</v>
      </c>
      <c r="J229">
        <v>0.9327493642271828</v>
      </c>
      <c r="K229">
        <v>0.90843409023886756</v>
      </c>
      <c r="L229">
        <v>0.88566402814423928</v>
      </c>
      <c r="M229">
        <v>0.94021376085504338</v>
      </c>
      <c r="N229">
        <v>0.94918297719518763</v>
      </c>
      <c r="O229">
        <v>0.89816003423192126</v>
      </c>
      <c r="P229">
        <v>0.95122979620520032</v>
      </c>
      <c r="Q229">
        <v>0.91819194652236191</v>
      </c>
      <c r="R229">
        <v>0.93466574776016542</v>
      </c>
    </row>
    <row r="230" spans="4:19" x14ac:dyDescent="0.25">
      <c r="D230" t="s">
        <v>37</v>
      </c>
      <c r="E230">
        <v>2015</v>
      </c>
      <c r="F230" t="s">
        <v>34</v>
      </c>
      <c r="G230">
        <v>0.93036935704514367</v>
      </c>
      <c r="H230">
        <v>0.87514032680553822</v>
      </c>
      <c r="I230">
        <v>0.91996931731015086</v>
      </c>
      <c r="J230">
        <v>0.90530475756193951</v>
      </c>
      <c r="K230">
        <v>0.90542099192618219</v>
      </c>
      <c r="L230">
        <v>0.92764250138350857</v>
      </c>
      <c r="M230">
        <v>0.78689788053949905</v>
      </c>
    </row>
    <row r="231" spans="4:19" x14ac:dyDescent="0.25">
      <c r="D231" t="s">
        <v>38</v>
      </c>
      <c r="E231">
        <v>2013</v>
      </c>
      <c r="F231" t="s">
        <v>17</v>
      </c>
      <c r="S231">
        <v>0.99923799847599692</v>
      </c>
    </row>
    <row r="232" spans="4:19" x14ac:dyDescent="0.25">
      <c r="D232" t="s">
        <v>38</v>
      </c>
      <c r="E232">
        <v>2014</v>
      </c>
      <c r="F232" t="s">
        <v>17</v>
      </c>
      <c r="S232">
        <v>0.99934256481899986</v>
      </c>
    </row>
    <row r="233" spans="4:19" x14ac:dyDescent="0.25">
      <c r="D233" t="s">
        <v>38</v>
      </c>
      <c r="E233">
        <v>2015</v>
      </c>
      <c r="F233" t="s">
        <v>17</v>
      </c>
      <c r="S233">
        <v>0.9236186803051899</v>
      </c>
    </row>
    <row r="234" spans="4:19" x14ac:dyDescent="0.25">
      <c r="D234" t="s">
        <v>38</v>
      </c>
      <c r="E234">
        <v>2013</v>
      </c>
      <c r="F234" t="s">
        <v>18</v>
      </c>
      <c r="G234">
        <v>0.99950112247443257</v>
      </c>
      <c r="H234">
        <v>0.99835481217438993</v>
      </c>
      <c r="I234">
        <v>0.99944336209295848</v>
      </c>
      <c r="J234">
        <v>0.99785790789003925</v>
      </c>
      <c r="K234">
        <v>1</v>
      </c>
      <c r="L234">
        <v>0.99967500812479693</v>
      </c>
      <c r="M234">
        <v>0.99969278033794162</v>
      </c>
      <c r="N234">
        <v>0.9849648112603967</v>
      </c>
      <c r="O234">
        <v>0.99972994869025111</v>
      </c>
      <c r="P234">
        <v>0.99949899799599196</v>
      </c>
      <c r="Q234">
        <v>0.99812441387933726</v>
      </c>
      <c r="R234">
        <v>1</v>
      </c>
    </row>
    <row r="235" spans="4:19" x14ac:dyDescent="0.25">
      <c r="D235" t="s">
        <v>38</v>
      </c>
      <c r="E235">
        <v>2014</v>
      </c>
      <c r="F235" t="s">
        <v>18</v>
      </c>
      <c r="G235">
        <v>0.99952673923331758</v>
      </c>
      <c r="H235">
        <v>0.99975192259985113</v>
      </c>
      <c r="I235">
        <v>0.99862750480373319</v>
      </c>
      <c r="J235">
        <v>0.99886557005104937</v>
      </c>
      <c r="K235">
        <v>0.9993199591975519</v>
      </c>
      <c r="L235">
        <v>0.99961685823754787</v>
      </c>
      <c r="M235">
        <v>0.99970238095238095</v>
      </c>
      <c r="N235">
        <v>0.99934080421885296</v>
      </c>
      <c r="O235">
        <v>0.99976381672177606</v>
      </c>
      <c r="P235">
        <v>0.99973808276584597</v>
      </c>
      <c r="Q235">
        <v>0.98713629402756509</v>
      </c>
      <c r="R235">
        <v>0.99915254237288131</v>
      </c>
    </row>
    <row r="236" spans="4:19" x14ac:dyDescent="0.25">
      <c r="D236" t="s">
        <v>38</v>
      </c>
      <c r="E236">
        <v>2015</v>
      </c>
      <c r="F236" t="s">
        <v>18</v>
      </c>
      <c r="G236">
        <v>0.97531806615776084</v>
      </c>
      <c r="H236">
        <v>0.93776282590412108</v>
      </c>
      <c r="I236">
        <v>0.89140271493212675</v>
      </c>
      <c r="J236">
        <v>0.87223434091617325</v>
      </c>
      <c r="K236">
        <v>0.91857730746619637</v>
      </c>
      <c r="L236">
        <v>0.91654379239162487</v>
      </c>
      <c r="M236">
        <v>0.93958908310334255</v>
      </c>
    </row>
    <row r="237" spans="4:19" x14ac:dyDescent="0.25">
      <c r="D237" t="s">
        <v>38</v>
      </c>
      <c r="E237">
        <v>2013</v>
      </c>
      <c r="F237" t="s">
        <v>19</v>
      </c>
      <c r="S237">
        <v>0.94427073203572653</v>
      </c>
    </row>
    <row r="238" spans="4:19" x14ac:dyDescent="0.25">
      <c r="D238" t="s">
        <v>38</v>
      </c>
      <c r="E238">
        <v>2014</v>
      </c>
      <c r="F238" t="s">
        <v>19</v>
      </c>
      <c r="S238">
        <v>0.99716763308344136</v>
      </c>
    </row>
    <row r="239" spans="4:19" x14ac:dyDescent="0.25">
      <c r="D239" t="s">
        <v>38</v>
      </c>
      <c r="E239">
        <v>2015</v>
      </c>
      <c r="F239" t="s">
        <v>19</v>
      </c>
      <c r="S239">
        <v>0.770285701103819</v>
      </c>
    </row>
    <row r="240" spans="4:19" x14ac:dyDescent="0.25">
      <c r="D240" t="s">
        <v>38</v>
      </c>
      <c r="E240">
        <v>2013</v>
      </c>
      <c r="F240" t="s">
        <v>20</v>
      </c>
      <c r="G240">
        <v>0.72355922658156557</v>
      </c>
      <c r="H240">
        <v>0.99885195168214036</v>
      </c>
      <c r="I240">
        <v>0.99913296271739682</v>
      </c>
      <c r="J240">
        <v>0.99895532477109317</v>
      </c>
      <c r="K240">
        <v>0.99987504685742845</v>
      </c>
      <c r="L240">
        <v>0.99934918944503615</v>
      </c>
      <c r="M240">
        <v>0.99906721536351162</v>
      </c>
      <c r="N240">
        <v>0.99977253340915551</v>
      </c>
      <c r="O240">
        <v>0.99985014985014986</v>
      </c>
      <c r="P240">
        <v>0.9988016020688133</v>
      </c>
      <c r="Q240">
        <v>0.99952117703390941</v>
      </c>
      <c r="R240">
        <v>0.99966237399315105</v>
      </c>
    </row>
    <row r="241" spans="4:19" x14ac:dyDescent="0.25">
      <c r="D241" t="s">
        <v>38</v>
      </c>
      <c r="E241">
        <v>2014</v>
      </c>
      <c r="F241" t="s">
        <v>20</v>
      </c>
      <c r="G241">
        <v>0.99840521425599782</v>
      </c>
      <c r="H241">
        <v>0.99975364257056376</v>
      </c>
      <c r="I241">
        <v>0.99731171846360633</v>
      </c>
      <c r="J241">
        <v>0.99340741355004558</v>
      </c>
      <c r="K241">
        <v>0.99550619834710741</v>
      </c>
      <c r="L241">
        <v>0.99613767058621583</v>
      </c>
      <c r="M241">
        <v>0.99862966769441586</v>
      </c>
      <c r="N241">
        <v>0.99751143005960996</v>
      </c>
      <c r="O241">
        <v>0.84859018926226337</v>
      </c>
      <c r="P241">
        <v>0.84147765176784528</v>
      </c>
      <c r="Q241">
        <v>0.83617710190271766</v>
      </c>
      <c r="R241">
        <v>0.99928366762177645</v>
      </c>
    </row>
    <row r="242" spans="4:19" x14ac:dyDescent="0.25">
      <c r="D242" t="s">
        <v>38</v>
      </c>
      <c r="E242">
        <v>2015</v>
      </c>
      <c r="F242" t="s">
        <v>20</v>
      </c>
      <c r="G242">
        <v>0.88134455109215148</v>
      </c>
      <c r="H242">
        <v>0.74814587264668453</v>
      </c>
      <c r="I242">
        <v>0.61278876095300172</v>
      </c>
      <c r="J242">
        <v>0.67037171277838181</v>
      </c>
      <c r="K242">
        <v>0.74208347320129797</v>
      </c>
      <c r="L242">
        <v>0.77149683936726854</v>
      </c>
      <c r="M242">
        <v>0.99794595581522727</v>
      </c>
    </row>
    <row r="243" spans="4:19" x14ac:dyDescent="0.25">
      <c r="D243" t="s">
        <v>38</v>
      </c>
      <c r="E243">
        <v>2013</v>
      </c>
      <c r="F243" t="s">
        <v>21</v>
      </c>
      <c r="S243">
        <v>0.98976749169613198</v>
      </c>
    </row>
    <row r="244" spans="4:19" x14ac:dyDescent="0.25">
      <c r="D244" t="s">
        <v>38</v>
      </c>
      <c r="E244">
        <v>2014</v>
      </c>
      <c r="F244" t="s">
        <v>21</v>
      </c>
      <c r="S244">
        <v>0.99647535127411291</v>
      </c>
    </row>
    <row r="245" spans="4:19" x14ac:dyDescent="0.25">
      <c r="D245" t="s">
        <v>38</v>
      </c>
      <c r="E245">
        <v>2015</v>
      </c>
      <c r="F245" t="s">
        <v>21</v>
      </c>
      <c r="S245">
        <v>0.97725173210161664</v>
      </c>
    </row>
    <row r="246" spans="4:19" x14ac:dyDescent="0.25">
      <c r="D246" t="s">
        <v>38</v>
      </c>
      <c r="E246">
        <v>2013</v>
      </c>
      <c r="F246" t="s">
        <v>22</v>
      </c>
      <c r="G246">
        <v>0.95084745762711864</v>
      </c>
      <c r="H246">
        <v>0.99833402748854649</v>
      </c>
      <c r="I246">
        <v>0.99895579533588585</v>
      </c>
      <c r="J246">
        <v>0.99957155098543271</v>
      </c>
      <c r="K246">
        <v>0.99781849912739962</v>
      </c>
      <c r="L246">
        <v>0.99922510654784968</v>
      </c>
      <c r="M246">
        <v>0.99924385633270318</v>
      </c>
      <c r="N246">
        <v>1</v>
      </c>
      <c r="O246">
        <v>1</v>
      </c>
      <c r="P246">
        <v>1</v>
      </c>
      <c r="Q246">
        <v>0.99784250269687158</v>
      </c>
      <c r="R246">
        <v>0.99714285714285711</v>
      </c>
    </row>
    <row r="247" spans="4:19" x14ac:dyDescent="0.25">
      <c r="D247" t="s">
        <v>38</v>
      </c>
      <c r="E247">
        <v>2014</v>
      </c>
      <c r="F247" t="s">
        <v>22</v>
      </c>
      <c r="G247">
        <v>0.99684089603676052</v>
      </c>
      <c r="H247">
        <v>1</v>
      </c>
      <c r="I247">
        <v>0.99842717835797423</v>
      </c>
      <c r="J247">
        <v>0.99863201094391241</v>
      </c>
      <c r="K247">
        <v>0.98459167950693371</v>
      </c>
      <c r="L247">
        <v>0.99574166075230663</v>
      </c>
      <c r="M247">
        <v>0.99938912645082467</v>
      </c>
      <c r="N247">
        <v>0.98476890756302526</v>
      </c>
      <c r="O247">
        <v>0.98052763819095479</v>
      </c>
      <c r="P247">
        <v>0.97530082330588985</v>
      </c>
      <c r="Q247">
        <v>0.96040682891391205</v>
      </c>
      <c r="R247">
        <v>0.99814900509023596</v>
      </c>
    </row>
    <row r="248" spans="4:19" x14ac:dyDescent="0.25">
      <c r="D248" t="s">
        <v>38</v>
      </c>
      <c r="E248">
        <v>2015</v>
      </c>
      <c r="F248" t="s">
        <v>22</v>
      </c>
      <c r="G248">
        <v>0.98764186633039097</v>
      </c>
      <c r="H248">
        <v>0.96258028483663782</v>
      </c>
      <c r="I248">
        <v>0.97856008470089995</v>
      </c>
      <c r="J248">
        <v>0.98388888888888892</v>
      </c>
      <c r="K248">
        <v>0.96242101762554044</v>
      </c>
      <c r="L248">
        <v>0.98405627198124268</v>
      </c>
      <c r="M248">
        <v>0.97674418604651159</v>
      </c>
    </row>
    <row r="249" spans="4:19" x14ac:dyDescent="0.25">
      <c r="D249" t="s">
        <v>38</v>
      </c>
      <c r="E249">
        <v>2013</v>
      </c>
      <c r="F249" t="s">
        <v>23</v>
      </c>
      <c r="S249">
        <v>51120</v>
      </c>
    </row>
    <row r="250" spans="4:19" x14ac:dyDescent="0.25">
      <c r="D250" t="s">
        <v>38</v>
      </c>
      <c r="E250">
        <v>2014</v>
      </c>
      <c r="F250" t="s">
        <v>23</v>
      </c>
      <c r="S250">
        <v>44572</v>
      </c>
    </row>
    <row r="251" spans="4:19" x14ac:dyDescent="0.25">
      <c r="D251" t="s">
        <v>38</v>
      </c>
      <c r="E251">
        <v>2015</v>
      </c>
      <c r="F251" t="s">
        <v>23</v>
      </c>
      <c r="S251">
        <v>47287</v>
      </c>
    </row>
    <row r="252" spans="4:19" x14ac:dyDescent="0.25">
      <c r="D252" t="s">
        <v>38</v>
      </c>
      <c r="E252">
        <v>2013</v>
      </c>
      <c r="F252" t="s">
        <v>24</v>
      </c>
      <c r="G252">
        <v>11241</v>
      </c>
      <c r="H252">
        <v>11169</v>
      </c>
      <c r="I252">
        <v>7334</v>
      </c>
      <c r="J252">
        <v>5251</v>
      </c>
      <c r="K252">
        <v>5855</v>
      </c>
      <c r="L252">
        <v>5474</v>
      </c>
      <c r="M252">
        <v>4796</v>
      </c>
      <c r="N252">
        <v>5072</v>
      </c>
      <c r="O252">
        <v>5148</v>
      </c>
      <c r="P252">
        <v>5009</v>
      </c>
      <c r="Q252">
        <v>5212</v>
      </c>
      <c r="R252">
        <v>5595</v>
      </c>
    </row>
    <row r="253" spans="4:19" x14ac:dyDescent="0.25">
      <c r="D253" t="s">
        <v>38</v>
      </c>
      <c r="E253">
        <v>2014</v>
      </c>
      <c r="F253" t="s">
        <v>24</v>
      </c>
      <c r="G253">
        <v>7243</v>
      </c>
      <c r="H253">
        <v>8903</v>
      </c>
      <c r="I253">
        <v>7103</v>
      </c>
      <c r="J253">
        <v>5542</v>
      </c>
      <c r="K253">
        <v>4952</v>
      </c>
      <c r="L253">
        <v>5339</v>
      </c>
      <c r="M253">
        <v>5490</v>
      </c>
      <c r="N253">
        <v>5751</v>
      </c>
      <c r="O253">
        <v>7575</v>
      </c>
      <c r="P253">
        <v>6370</v>
      </c>
      <c r="Q253">
        <v>5818</v>
      </c>
      <c r="R253">
        <v>5881</v>
      </c>
    </row>
    <row r="254" spans="4:19" x14ac:dyDescent="0.25">
      <c r="D254" t="s">
        <v>38</v>
      </c>
      <c r="E254">
        <v>2015</v>
      </c>
      <c r="F254" t="s">
        <v>24</v>
      </c>
      <c r="G254">
        <v>6720</v>
      </c>
      <c r="H254">
        <v>8692</v>
      </c>
      <c r="I254">
        <v>8136</v>
      </c>
      <c r="J254">
        <v>6704</v>
      </c>
      <c r="K254">
        <v>5106</v>
      </c>
      <c r="L254">
        <v>6102</v>
      </c>
      <c r="M254">
        <v>5827</v>
      </c>
    </row>
    <row r="255" spans="4:19" x14ac:dyDescent="0.25">
      <c r="D255" t="s">
        <v>38</v>
      </c>
      <c r="E255">
        <v>2013</v>
      </c>
      <c r="F255" t="s">
        <v>25</v>
      </c>
      <c r="S255">
        <v>110663</v>
      </c>
    </row>
    <row r="256" spans="4:19" x14ac:dyDescent="0.25">
      <c r="D256" t="s">
        <v>38</v>
      </c>
      <c r="E256">
        <v>2014</v>
      </c>
      <c r="F256" t="s">
        <v>25</v>
      </c>
      <c r="S256">
        <v>114981</v>
      </c>
    </row>
    <row r="257" spans="4:19" x14ac:dyDescent="0.25">
      <c r="D257" t="s">
        <v>38</v>
      </c>
      <c r="E257">
        <v>2015</v>
      </c>
      <c r="F257" t="s">
        <v>25</v>
      </c>
      <c r="S257">
        <v>128173</v>
      </c>
    </row>
    <row r="258" spans="4:19" x14ac:dyDescent="0.25">
      <c r="D258" t="s">
        <v>38</v>
      </c>
      <c r="E258">
        <v>2013</v>
      </c>
      <c r="F258" t="s">
        <v>26</v>
      </c>
      <c r="G258">
        <v>20138</v>
      </c>
      <c r="H258">
        <v>16358</v>
      </c>
      <c r="I258">
        <v>16692</v>
      </c>
      <c r="J258">
        <v>13457</v>
      </c>
      <c r="K258">
        <v>13213</v>
      </c>
      <c r="L258">
        <v>14405</v>
      </c>
      <c r="M258">
        <v>16400</v>
      </c>
      <c r="N258">
        <v>15146</v>
      </c>
      <c r="O258">
        <v>17722</v>
      </c>
      <c r="P258">
        <v>23162</v>
      </c>
      <c r="Q258">
        <v>16940</v>
      </c>
      <c r="R258">
        <v>17859</v>
      </c>
    </row>
    <row r="259" spans="4:19" x14ac:dyDescent="0.25">
      <c r="D259" t="s">
        <v>38</v>
      </c>
      <c r="E259">
        <v>2014</v>
      </c>
      <c r="F259" t="s">
        <v>26</v>
      </c>
      <c r="G259">
        <v>20706</v>
      </c>
      <c r="H259">
        <v>18959</v>
      </c>
      <c r="I259">
        <v>16410</v>
      </c>
      <c r="J259">
        <v>15956</v>
      </c>
      <c r="K259">
        <v>13254</v>
      </c>
      <c r="L259">
        <v>13278</v>
      </c>
      <c r="M259">
        <v>16418</v>
      </c>
      <c r="O259">
        <v>17337</v>
      </c>
      <c r="P259">
        <v>17827</v>
      </c>
      <c r="Q259">
        <v>18384</v>
      </c>
      <c r="R259">
        <v>18842</v>
      </c>
    </row>
    <row r="260" spans="4:19" x14ac:dyDescent="0.25">
      <c r="D260" t="s">
        <v>38</v>
      </c>
      <c r="E260">
        <v>2015</v>
      </c>
      <c r="F260" t="s">
        <v>26</v>
      </c>
      <c r="G260">
        <v>19943</v>
      </c>
      <c r="H260">
        <v>19167</v>
      </c>
      <c r="I260">
        <v>18138</v>
      </c>
      <c r="J260">
        <v>18090</v>
      </c>
      <c r="K260">
        <v>14696</v>
      </c>
      <c r="L260">
        <v>19428</v>
      </c>
      <c r="M260">
        <v>18711</v>
      </c>
    </row>
    <row r="261" spans="4:19" x14ac:dyDescent="0.25">
      <c r="D261" t="s">
        <v>38</v>
      </c>
      <c r="E261">
        <v>2013</v>
      </c>
      <c r="F261" t="s">
        <v>27</v>
      </c>
      <c r="S261">
        <v>200858</v>
      </c>
    </row>
    <row r="262" spans="4:19" x14ac:dyDescent="0.25">
      <c r="D262" t="s">
        <v>38</v>
      </c>
      <c r="E262">
        <v>2014</v>
      </c>
      <c r="F262" t="s">
        <v>27</v>
      </c>
      <c r="S262">
        <v>201717</v>
      </c>
    </row>
    <row r="263" spans="4:19" x14ac:dyDescent="0.25">
      <c r="D263" t="s">
        <v>38</v>
      </c>
      <c r="E263">
        <v>2015</v>
      </c>
      <c r="F263" t="s">
        <v>27</v>
      </c>
      <c r="S263">
        <v>218055</v>
      </c>
    </row>
    <row r="264" spans="4:19" x14ac:dyDescent="0.25">
      <c r="D264" t="s">
        <v>38</v>
      </c>
      <c r="E264">
        <v>2013</v>
      </c>
      <c r="F264" t="s">
        <v>28</v>
      </c>
      <c r="G264">
        <v>35390</v>
      </c>
      <c r="H264">
        <v>30453</v>
      </c>
      <c r="I264">
        <v>30532</v>
      </c>
      <c r="J264">
        <v>24477</v>
      </c>
      <c r="K264">
        <v>25260</v>
      </c>
      <c r="L264">
        <v>25728</v>
      </c>
      <c r="M264">
        <v>29018</v>
      </c>
      <c r="N264">
        <v>26236</v>
      </c>
      <c r="O264">
        <v>31396</v>
      </c>
      <c r="P264">
        <v>39239</v>
      </c>
      <c r="Q264">
        <v>29830</v>
      </c>
      <c r="R264">
        <v>31305</v>
      </c>
    </row>
    <row r="265" spans="4:19" x14ac:dyDescent="0.25">
      <c r="D265" t="s">
        <v>38</v>
      </c>
      <c r="E265">
        <v>2014</v>
      </c>
      <c r="F265" t="s">
        <v>28</v>
      </c>
      <c r="G265">
        <v>32763</v>
      </c>
      <c r="H265">
        <v>34085</v>
      </c>
      <c r="I265">
        <v>29505</v>
      </c>
      <c r="J265">
        <v>29105</v>
      </c>
      <c r="K265">
        <v>23408</v>
      </c>
      <c r="L265">
        <v>23147</v>
      </c>
      <c r="M265">
        <v>29704</v>
      </c>
      <c r="N265">
        <v>28005</v>
      </c>
      <c r="O265">
        <v>30643</v>
      </c>
      <c r="P265">
        <v>30175</v>
      </c>
      <c r="Q265">
        <v>29775</v>
      </c>
      <c r="R265">
        <v>31081</v>
      </c>
    </row>
    <row r="266" spans="4:19" x14ac:dyDescent="0.25">
      <c r="D266" t="s">
        <v>38</v>
      </c>
      <c r="E266">
        <v>2015</v>
      </c>
      <c r="F266" t="s">
        <v>28</v>
      </c>
      <c r="G266">
        <v>32620</v>
      </c>
      <c r="H266">
        <v>31367</v>
      </c>
      <c r="I266">
        <v>30382</v>
      </c>
      <c r="J266">
        <v>32160</v>
      </c>
      <c r="K266">
        <v>26676</v>
      </c>
      <c r="L266">
        <v>32639</v>
      </c>
      <c r="M266">
        <v>32211</v>
      </c>
    </row>
    <row r="267" spans="4:19" x14ac:dyDescent="0.25">
      <c r="D267" t="s">
        <v>38</v>
      </c>
      <c r="E267">
        <v>2013</v>
      </c>
      <c r="F267" t="s">
        <v>29</v>
      </c>
      <c r="S267">
        <v>23622</v>
      </c>
    </row>
    <row r="268" spans="4:19" x14ac:dyDescent="0.25">
      <c r="D268" t="s">
        <v>38</v>
      </c>
      <c r="E268">
        <v>2014</v>
      </c>
      <c r="F268" t="s">
        <v>29</v>
      </c>
      <c r="S268">
        <v>24337</v>
      </c>
    </row>
    <row r="269" spans="4:19" x14ac:dyDescent="0.25">
      <c r="D269" t="s">
        <v>38</v>
      </c>
      <c r="E269">
        <v>2015</v>
      </c>
      <c r="F269" t="s">
        <v>29</v>
      </c>
      <c r="S269">
        <v>23854</v>
      </c>
    </row>
    <row r="270" spans="4:19" x14ac:dyDescent="0.25">
      <c r="D270" t="s">
        <v>38</v>
      </c>
      <c r="E270">
        <v>2013</v>
      </c>
      <c r="F270" t="s">
        <v>30</v>
      </c>
      <c r="G270">
        <v>4009</v>
      </c>
      <c r="H270">
        <v>3647</v>
      </c>
      <c r="I270">
        <v>3593</v>
      </c>
      <c r="J270">
        <v>2801</v>
      </c>
      <c r="K270">
        <v>3240</v>
      </c>
      <c r="L270">
        <v>3077</v>
      </c>
      <c r="M270">
        <v>3255</v>
      </c>
      <c r="N270">
        <v>3126</v>
      </c>
      <c r="O270">
        <v>3703</v>
      </c>
      <c r="P270">
        <v>3992</v>
      </c>
      <c r="Q270">
        <v>3199</v>
      </c>
      <c r="R270">
        <v>3375</v>
      </c>
    </row>
    <row r="271" spans="4:19" x14ac:dyDescent="0.25">
      <c r="D271" t="s">
        <v>38</v>
      </c>
      <c r="E271">
        <v>2014</v>
      </c>
      <c r="F271" t="s">
        <v>30</v>
      </c>
      <c r="G271">
        <v>4226</v>
      </c>
      <c r="H271">
        <v>4031</v>
      </c>
      <c r="I271">
        <v>3643</v>
      </c>
      <c r="J271">
        <v>3526</v>
      </c>
      <c r="K271">
        <v>2941</v>
      </c>
      <c r="L271">
        <v>2610</v>
      </c>
      <c r="M271">
        <v>3360</v>
      </c>
      <c r="N271">
        <v>3034</v>
      </c>
      <c r="O271">
        <v>4234</v>
      </c>
      <c r="P271">
        <v>3818</v>
      </c>
      <c r="Q271">
        <v>3265</v>
      </c>
      <c r="R271">
        <v>3540</v>
      </c>
    </row>
    <row r="272" spans="4:19" x14ac:dyDescent="0.25">
      <c r="D272" t="s">
        <v>38</v>
      </c>
      <c r="E272">
        <v>2015</v>
      </c>
      <c r="F272" t="s">
        <v>30</v>
      </c>
      <c r="G272">
        <v>3930</v>
      </c>
      <c r="H272">
        <v>3567</v>
      </c>
      <c r="I272">
        <v>3094</v>
      </c>
      <c r="J272">
        <v>3209</v>
      </c>
      <c r="K272">
        <v>3402</v>
      </c>
      <c r="L272">
        <v>3391</v>
      </c>
      <c r="M272">
        <v>3261</v>
      </c>
    </row>
    <row r="273" spans="4:19" x14ac:dyDescent="0.25">
      <c r="D273" t="s">
        <v>38</v>
      </c>
      <c r="E273">
        <v>2013</v>
      </c>
      <c r="F273" t="s">
        <v>31</v>
      </c>
      <c r="S273">
        <v>0.6193661971830986</v>
      </c>
    </row>
    <row r="274" spans="4:19" x14ac:dyDescent="0.25">
      <c r="D274" t="s">
        <v>38</v>
      </c>
      <c r="E274">
        <v>2014</v>
      </c>
      <c r="F274" t="s">
        <v>31</v>
      </c>
      <c r="S274">
        <v>0.92569326034281607</v>
      </c>
    </row>
    <row r="275" spans="4:19" x14ac:dyDescent="0.25">
      <c r="D275" t="s">
        <v>38</v>
      </c>
      <c r="E275">
        <v>2015</v>
      </c>
      <c r="F275" t="s">
        <v>31</v>
      </c>
      <c r="S275">
        <v>0.8867553450208302</v>
      </c>
    </row>
    <row r="276" spans="4:19" x14ac:dyDescent="0.25">
      <c r="D276" t="s">
        <v>38</v>
      </c>
      <c r="E276">
        <v>2013</v>
      </c>
      <c r="F276" t="s">
        <v>32</v>
      </c>
      <c r="G276">
        <v>0.53473890223289744</v>
      </c>
      <c r="H276">
        <v>0.50568537917450085</v>
      </c>
      <c r="I276">
        <v>0.58644668666484867</v>
      </c>
      <c r="J276">
        <v>0.75680822700438011</v>
      </c>
      <c r="K276">
        <v>0.66695132365499576</v>
      </c>
      <c r="L276">
        <v>0.60869565217391308</v>
      </c>
      <c r="M276">
        <v>0.9364053377814846</v>
      </c>
      <c r="N276">
        <v>0.92212145110410093</v>
      </c>
      <c r="O276">
        <v>0.95765345765345766</v>
      </c>
      <c r="P276">
        <v>0.97165102814933124</v>
      </c>
      <c r="Q276">
        <v>0.95970836531082115</v>
      </c>
      <c r="R276">
        <v>0.96854334226988381</v>
      </c>
    </row>
    <row r="277" spans="4:19" x14ac:dyDescent="0.25">
      <c r="D277" t="s">
        <v>38</v>
      </c>
      <c r="E277">
        <v>2014</v>
      </c>
      <c r="F277" t="s">
        <v>32</v>
      </c>
      <c r="G277">
        <v>0.94518845782134475</v>
      </c>
      <c r="H277">
        <v>0.90755924969111534</v>
      </c>
      <c r="I277">
        <v>0.94312262424327753</v>
      </c>
      <c r="J277">
        <v>0.95759653554673407</v>
      </c>
      <c r="K277">
        <v>0.9388126009693053</v>
      </c>
      <c r="L277">
        <v>0.89679715302491103</v>
      </c>
      <c r="M277">
        <v>0.89089253187613848</v>
      </c>
      <c r="N277">
        <v>0.91218918448965403</v>
      </c>
      <c r="O277">
        <v>0.90772277227722775</v>
      </c>
      <c r="P277">
        <v>0.92621664050235475</v>
      </c>
      <c r="Q277">
        <v>0.90924716397387417</v>
      </c>
      <c r="R277">
        <v>0.92501275293317464</v>
      </c>
    </row>
    <row r="278" spans="4:19" x14ac:dyDescent="0.25">
      <c r="D278" t="s">
        <v>38</v>
      </c>
      <c r="E278">
        <v>2015</v>
      </c>
      <c r="F278" t="s">
        <v>32</v>
      </c>
      <c r="G278">
        <v>0.91145833333333337</v>
      </c>
      <c r="H278">
        <v>0.87344684767602399</v>
      </c>
      <c r="I278">
        <v>0.90363815142576209</v>
      </c>
      <c r="J278">
        <v>0.88544152744630067</v>
      </c>
      <c r="K278">
        <v>0.90658049353701531</v>
      </c>
      <c r="L278">
        <v>0.90314650934119955</v>
      </c>
      <c r="M278">
        <v>0.82152050798009268</v>
      </c>
    </row>
    <row r="279" spans="4:19" x14ac:dyDescent="0.25">
      <c r="D279" t="s">
        <v>38</v>
      </c>
      <c r="E279">
        <v>2013</v>
      </c>
      <c r="F279" t="s">
        <v>33</v>
      </c>
      <c r="S279">
        <v>0.47467512843759446</v>
      </c>
    </row>
    <row r="280" spans="4:19" x14ac:dyDescent="0.25">
      <c r="D280" t="s">
        <v>38</v>
      </c>
      <c r="E280">
        <v>2014</v>
      </c>
      <c r="F280" t="s">
        <v>33</v>
      </c>
      <c r="S280">
        <v>0.90242231994809319</v>
      </c>
    </row>
    <row r="281" spans="4:19" x14ac:dyDescent="0.25">
      <c r="D281" t="s">
        <v>38</v>
      </c>
      <c r="E281">
        <v>2015</v>
      </c>
      <c r="F281" t="s">
        <v>33</v>
      </c>
      <c r="S281">
        <v>0.88883516938909413</v>
      </c>
    </row>
    <row r="282" spans="4:19" x14ac:dyDescent="0.25">
      <c r="D282" t="s">
        <v>38</v>
      </c>
      <c r="E282">
        <v>2013</v>
      </c>
      <c r="F282" t="s">
        <v>34</v>
      </c>
      <c r="G282">
        <v>0.373719029705539</v>
      </c>
      <c r="H282">
        <v>0.26522678185745141</v>
      </c>
      <c r="I282">
        <v>0.45421974522292996</v>
      </c>
      <c r="J282">
        <v>0.70440251572327039</v>
      </c>
      <c r="K282">
        <v>0.55986286919831219</v>
      </c>
      <c r="L282">
        <v>0.4887323943661972</v>
      </c>
      <c r="M282">
        <v>0.91248626876601979</v>
      </c>
      <c r="N282">
        <v>0.85992907801418439</v>
      </c>
      <c r="O282">
        <v>0.93312883435582827</v>
      </c>
      <c r="P282">
        <v>0.95420831989680743</v>
      </c>
      <c r="Q282">
        <v>0.94088507265521792</v>
      </c>
      <c r="R282">
        <v>0.94980034227039356</v>
      </c>
    </row>
    <row r="283" spans="4:19" x14ac:dyDescent="0.25">
      <c r="D283" t="s">
        <v>38</v>
      </c>
      <c r="E283">
        <v>2014</v>
      </c>
      <c r="F283" t="s">
        <v>34</v>
      </c>
      <c r="G283">
        <v>0.90303813833225599</v>
      </c>
      <c r="H283">
        <v>0.84935017389712608</v>
      </c>
      <c r="I283">
        <v>0.91087579969115373</v>
      </c>
      <c r="J283">
        <v>0.93716577540106949</v>
      </c>
      <c r="K283">
        <v>0.91040804257835595</v>
      </c>
      <c r="L283">
        <v>0.90389294403892939</v>
      </c>
      <c r="M283">
        <v>0.9346938775510204</v>
      </c>
      <c r="N283">
        <v>0.94245385450597174</v>
      </c>
      <c r="O283">
        <v>0.89954467842914054</v>
      </c>
      <c r="P283">
        <v>0.95209934949733888</v>
      </c>
      <c r="Q283">
        <v>0.91314102564102562</v>
      </c>
      <c r="R283">
        <v>0.93844221105527637</v>
      </c>
    </row>
    <row r="284" spans="4:19" x14ac:dyDescent="0.25">
      <c r="D284" t="s">
        <v>38</v>
      </c>
      <c r="E284">
        <v>2015</v>
      </c>
      <c r="F284" t="s">
        <v>34</v>
      </c>
      <c r="G284">
        <v>0.92014152135456151</v>
      </c>
      <c r="H284">
        <v>0.86382900313248567</v>
      </c>
      <c r="I284">
        <v>0.93054459352801899</v>
      </c>
      <c r="J284">
        <v>0.89163405088062619</v>
      </c>
      <c r="K284">
        <v>0.9089430894308943</v>
      </c>
      <c r="L284">
        <v>0.91605839416058399</v>
      </c>
      <c r="M284">
        <v>0.78123217341699946</v>
      </c>
    </row>
    <row r="285" spans="4:19" x14ac:dyDescent="0.25">
      <c r="D285" t="s">
        <v>39</v>
      </c>
      <c r="E285">
        <v>2013</v>
      </c>
      <c r="F285" t="s">
        <v>17</v>
      </c>
      <c r="S285">
        <v>0.91831046312178388</v>
      </c>
    </row>
    <row r="286" spans="4:19" x14ac:dyDescent="0.25">
      <c r="D286" t="s">
        <v>39</v>
      </c>
      <c r="E286">
        <v>2014</v>
      </c>
      <c r="F286" t="s">
        <v>17</v>
      </c>
      <c r="S286">
        <v>0.87943917387289061</v>
      </c>
    </row>
    <row r="287" spans="4:19" x14ac:dyDescent="0.25">
      <c r="D287" t="s">
        <v>39</v>
      </c>
      <c r="E287">
        <v>2015</v>
      </c>
      <c r="F287" t="s">
        <v>17</v>
      </c>
      <c r="S287">
        <v>0.91092655919231391</v>
      </c>
    </row>
    <row r="288" spans="4:19" x14ac:dyDescent="0.25">
      <c r="D288" t="s">
        <v>39</v>
      </c>
      <c r="E288">
        <v>2013</v>
      </c>
      <c r="F288" t="s">
        <v>18</v>
      </c>
      <c r="G288">
        <v>0.9171525753158406</v>
      </c>
      <c r="H288">
        <v>0.87722368037328668</v>
      </c>
      <c r="I288">
        <v>0.88533333333333331</v>
      </c>
      <c r="J288">
        <v>0.9021212121212121</v>
      </c>
      <c r="K288">
        <v>0.94448094612352174</v>
      </c>
      <c r="L288">
        <v>0.97015937605968128</v>
      </c>
      <c r="M288">
        <v>0.94335371741229479</v>
      </c>
      <c r="N288">
        <v>0.94459930313588847</v>
      </c>
      <c r="O288">
        <v>0.93010176754151042</v>
      </c>
      <c r="P288">
        <v>0.96579424721430418</v>
      </c>
      <c r="Q288">
        <v>0.92565284178187401</v>
      </c>
      <c r="R288">
        <v>0.96168582375478928</v>
      </c>
    </row>
    <row r="289" spans="4:19" x14ac:dyDescent="0.25">
      <c r="D289" t="s">
        <v>39</v>
      </c>
      <c r="E289">
        <v>2014</v>
      </c>
      <c r="F289" t="s">
        <v>18</v>
      </c>
      <c r="G289">
        <v>0.86659979939819454</v>
      </c>
      <c r="H289">
        <v>0.87305122494432075</v>
      </c>
      <c r="I289">
        <v>0.84068985676702723</v>
      </c>
      <c r="J289">
        <v>0.86682956627978014</v>
      </c>
      <c r="K289">
        <v>0.87590361445783127</v>
      </c>
      <c r="L289">
        <v>0.8971619365609349</v>
      </c>
      <c r="M289">
        <v>0.94337871287128716</v>
      </c>
      <c r="N289">
        <v>0.89844961240310073</v>
      </c>
      <c r="O289">
        <v>0.9243716854968872</v>
      </c>
      <c r="P289">
        <v>0.9320600272851296</v>
      </c>
      <c r="Q289">
        <v>0.91208791208791207</v>
      </c>
      <c r="R289">
        <v>0.93075183719615606</v>
      </c>
    </row>
    <row r="290" spans="4:19" x14ac:dyDescent="0.25">
      <c r="D290" t="s">
        <v>39</v>
      </c>
      <c r="E290">
        <v>2015</v>
      </c>
      <c r="F290" t="s">
        <v>18</v>
      </c>
      <c r="G290">
        <v>0.85727300334041912</v>
      </c>
      <c r="H290">
        <v>0.94883889695210455</v>
      </c>
      <c r="I290">
        <v>0.91637990364762556</v>
      </c>
      <c r="J290">
        <v>0.91015625</v>
      </c>
      <c r="K290">
        <v>0.90660841070453302</v>
      </c>
      <c r="L290">
        <v>0.93544935805991436</v>
      </c>
      <c r="M290">
        <v>0.90981082270127589</v>
      </c>
    </row>
    <row r="291" spans="4:19" x14ac:dyDescent="0.25">
      <c r="D291" t="s">
        <v>39</v>
      </c>
      <c r="E291">
        <v>2013</v>
      </c>
      <c r="F291" t="s">
        <v>19</v>
      </c>
      <c r="S291">
        <v>0.74084031841425479</v>
      </c>
    </row>
    <row r="292" spans="4:19" x14ac:dyDescent="0.25">
      <c r="D292" t="s">
        <v>39</v>
      </c>
      <c r="E292">
        <v>2014</v>
      </c>
      <c r="F292" t="s">
        <v>19</v>
      </c>
      <c r="S292">
        <v>0.99669417803894189</v>
      </c>
    </row>
    <row r="293" spans="4:19" x14ac:dyDescent="0.25">
      <c r="D293" t="s">
        <v>39</v>
      </c>
      <c r="E293">
        <v>2015</v>
      </c>
      <c r="F293" t="s">
        <v>19</v>
      </c>
      <c r="S293">
        <v>0.99454940181994544</v>
      </c>
    </row>
    <row r="294" spans="4:19" x14ac:dyDescent="0.25">
      <c r="D294" t="s">
        <v>39</v>
      </c>
      <c r="E294">
        <v>2013</v>
      </c>
      <c r="F294" t="s">
        <v>20</v>
      </c>
      <c r="G294">
        <v>0.58605832965090587</v>
      </c>
      <c r="H294">
        <v>0.57882716464029016</v>
      </c>
      <c r="I294">
        <v>0.54555134879318501</v>
      </c>
      <c r="J294">
        <v>0.6712020513893977</v>
      </c>
      <c r="K294">
        <v>0.89288691303139756</v>
      </c>
      <c r="L294">
        <v>0.98646089091546829</v>
      </c>
      <c r="M294">
        <v>0.99801967943560865</v>
      </c>
      <c r="N294">
        <v>0.97443270127447934</v>
      </c>
      <c r="O294">
        <v>0.89747918728532339</v>
      </c>
      <c r="P294">
        <v>0.93490524460114588</v>
      </c>
      <c r="Q294">
        <v>0.75534374823755002</v>
      </c>
      <c r="R294">
        <v>0.80180438207074323</v>
      </c>
    </row>
    <row r="295" spans="4:19" x14ac:dyDescent="0.25">
      <c r="D295" t="s">
        <v>39</v>
      </c>
      <c r="E295">
        <v>2014</v>
      </c>
      <c r="F295" t="s">
        <v>20</v>
      </c>
      <c r="G295">
        <v>0.99488338886244643</v>
      </c>
      <c r="H295">
        <v>0.99962843038377835</v>
      </c>
      <c r="I295">
        <v>0.99841316485454012</v>
      </c>
      <c r="J295">
        <v>0.99336429993364295</v>
      </c>
      <c r="K295">
        <v>0.99670038405365935</v>
      </c>
      <c r="L295">
        <v>0.99791243838793853</v>
      </c>
      <c r="M295">
        <v>0.99698167050817688</v>
      </c>
      <c r="N295">
        <v>0.99605087014725568</v>
      </c>
      <c r="O295">
        <v>0.99144417214841563</v>
      </c>
      <c r="P295">
        <v>0.99711009174311926</v>
      </c>
      <c r="Q295">
        <v>0.99393035337688396</v>
      </c>
      <c r="R295">
        <v>0.99759524110872044</v>
      </c>
    </row>
    <row r="296" spans="4:19" x14ac:dyDescent="0.25">
      <c r="D296" t="s">
        <v>39</v>
      </c>
      <c r="E296">
        <v>2015</v>
      </c>
      <c r="F296" t="s">
        <v>20</v>
      </c>
      <c r="G296">
        <v>0.98947290108990815</v>
      </c>
      <c r="H296">
        <v>0.99661016949152548</v>
      </c>
      <c r="I296">
        <v>0.99433794386475771</v>
      </c>
      <c r="J296">
        <v>0.99947491527041865</v>
      </c>
      <c r="K296">
        <v>0.9952164009111617</v>
      </c>
      <c r="L296">
        <v>0.99963573445041431</v>
      </c>
      <c r="M296">
        <v>0.98718312255430163</v>
      </c>
    </row>
    <row r="297" spans="4:19" x14ac:dyDescent="0.25">
      <c r="D297" t="s">
        <v>39</v>
      </c>
      <c r="E297">
        <v>2013</v>
      </c>
      <c r="F297" t="s">
        <v>21</v>
      </c>
      <c r="S297">
        <v>0.99469236678539008</v>
      </c>
    </row>
    <row r="298" spans="4:19" x14ac:dyDescent="0.25">
      <c r="D298" t="s">
        <v>39</v>
      </c>
      <c r="E298">
        <v>2014</v>
      </c>
      <c r="F298" t="s">
        <v>21</v>
      </c>
      <c r="S298">
        <v>0.97593829150356892</v>
      </c>
    </row>
    <row r="299" spans="4:19" x14ac:dyDescent="0.25">
      <c r="D299" t="s">
        <v>39</v>
      </c>
      <c r="E299">
        <v>2015</v>
      </c>
      <c r="F299" t="s">
        <v>21</v>
      </c>
      <c r="S299">
        <v>0.98400747702372915</v>
      </c>
    </row>
    <row r="300" spans="4:19" x14ac:dyDescent="0.25">
      <c r="D300" t="s">
        <v>39</v>
      </c>
      <c r="E300">
        <v>2013</v>
      </c>
      <c r="F300" t="s">
        <v>22</v>
      </c>
      <c r="G300">
        <v>0.99450317124735732</v>
      </c>
      <c r="H300">
        <v>0.98583877995642699</v>
      </c>
      <c r="I300">
        <v>0.99900199600798401</v>
      </c>
      <c r="J300">
        <v>0.99689027099067085</v>
      </c>
      <c r="K300">
        <v>0.99192044748290864</v>
      </c>
      <c r="L300">
        <v>0.99641760491299902</v>
      </c>
      <c r="M300">
        <v>0.99652173913043474</v>
      </c>
      <c r="N300">
        <v>0.99542483660130721</v>
      </c>
      <c r="O300">
        <v>0.99739989599583978</v>
      </c>
      <c r="P300">
        <v>0.99390462531373247</v>
      </c>
      <c r="Q300">
        <v>0.9928057553956835</v>
      </c>
      <c r="R300">
        <v>0.99042027194066751</v>
      </c>
    </row>
    <row r="301" spans="4:19" x14ac:dyDescent="0.25">
      <c r="D301" t="s">
        <v>39</v>
      </c>
      <c r="E301">
        <v>2014</v>
      </c>
      <c r="F301" t="s">
        <v>22</v>
      </c>
      <c r="G301">
        <v>0.99669239250275632</v>
      </c>
      <c r="H301">
        <v>0.95132530120481928</v>
      </c>
      <c r="I301">
        <v>0.88444077589764758</v>
      </c>
      <c r="J301">
        <v>0.99829816201497612</v>
      </c>
      <c r="K301">
        <v>0.997364953886693</v>
      </c>
      <c r="L301">
        <v>0.99868823786620031</v>
      </c>
      <c r="M301">
        <v>0.99471897397208597</v>
      </c>
      <c r="N301">
        <v>0.99364069952305245</v>
      </c>
      <c r="O301">
        <v>0.98494117647058821</v>
      </c>
      <c r="P301">
        <v>0.98966408268733852</v>
      </c>
      <c r="Q301">
        <v>0.97518248175182487</v>
      </c>
      <c r="R301">
        <v>0.99864864864864866</v>
      </c>
    </row>
    <row r="302" spans="4:19" x14ac:dyDescent="0.25">
      <c r="D302" t="s">
        <v>39</v>
      </c>
      <c r="E302">
        <v>2015</v>
      </c>
      <c r="F302" t="s">
        <v>22</v>
      </c>
      <c r="G302">
        <v>0.96386785960082588</v>
      </c>
      <c r="H302">
        <v>0.95104619028819581</v>
      </c>
      <c r="I302">
        <v>0.99451612903225806</v>
      </c>
      <c r="J302">
        <v>0.99321428571428572</v>
      </c>
      <c r="K302">
        <v>0.99727838258164847</v>
      </c>
      <c r="L302">
        <v>0.99389148401006111</v>
      </c>
      <c r="M302">
        <v>0.99259259259259258</v>
      </c>
    </row>
    <row r="303" spans="4:19" x14ac:dyDescent="0.25">
      <c r="D303" t="s">
        <v>39</v>
      </c>
      <c r="E303">
        <v>2013</v>
      </c>
      <c r="F303" t="s">
        <v>23</v>
      </c>
      <c r="S303">
        <v>46412</v>
      </c>
    </row>
    <row r="304" spans="4:19" x14ac:dyDescent="0.25">
      <c r="D304" t="s">
        <v>39</v>
      </c>
      <c r="E304">
        <v>2014</v>
      </c>
      <c r="F304" t="s">
        <v>23</v>
      </c>
      <c r="S304">
        <v>38029</v>
      </c>
    </row>
    <row r="305" spans="4:19" x14ac:dyDescent="0.25">
      <c r="D305" t="s">
        <v>39</v>
      </c>
      <c r="E305">
        <v>2015</v>
      </c>
      <c r="F305" t="s">
        <v>23</v>
      </c>
      <c r="S305">
        <v>31923</v>
      </c>
    </row>
    <row r="306" spans="4:19" x14ac:dyDescent="0.25">
      <c r="D306" t="s">
        <v>39</v>
      </c>
      <c r="E306">
        <v>2013</v>
      </c>
      <c r="F306" t="s">
        <v>24</v>
      </c>
      <c r="G306">
        <v>9146</v>
      </c>
      <c r="H306">
        <v>8742</v>
      </c>
      <c r="I306">
        <v>6944</v>
      </c>
      <c r="J306">
        <v>5654</v>
      </c>
      <c r="K306">
        <v>5465</v>
      </c>
      <c r="L306">
        <v>5375</v>
      </c>
      <c r="M306">
        <v>5086</v>
      </c>
      <c r="N306">
        <v>5072</v>
      </c>
      <c r="O306">
        <v>5422</v>
      </c>
      <c r="P306">
        <v>4930</v>
      </c>
      <c r="Q306">
        <v>4589</v>
      </c>
      <c r="R306">
        <v>4567</v>
      </c>
    </row>
    <row r="307" spans="4:19" x14ac:dyDescent="0.25">
      <c r="D307" t="s">
        <v>39</v>
      </c>
      <c r="E307">
        <v>2014</v>
      </c>
      <c r="F307" t="s">
        <v>24</v>
      </c>
      <c r="G307">
        <v>6353</v>
      </c>
      <c r="H307">
        <v>6499</v>
      </c>
      <c r="I307">
        <v>5811</v>
      </c>
      <c r="J307">
        <v>4720</v>
      </c>
      <c r="K307">
        <v>5629</v>
      </c>
      <c r="L307">
        <v>4408</v>
      </c>
      <c r="M307">
        <v>4609</v>
      </c>
      <c r="N307">
        <v>4657</v>
      </c>
      <c r="O307">
        <v>6675</v>
      </c>
      <c r="P307">
        <v>5179</v>
      </c>
      <c r="Q307">
        <v>4955</v>
      </c>
      <c r="R307">
        <v>5250</v>
      </c>
    </row>
    <row r="308" spans="4:19" x14ac:dyDescent="0.25">
      <c r="D308" t="s">
        <v>39</v>
      </c>
      <c r="E308">
        <v>2015</v>
      </c>
      <c r="F308" t="s">
        <v>24</v>
      </c>
      <c r="G308">
        <v>5414</v>
      </c>
      <c r="H308">
        <v>4864</v>
      </c>
      <c r="I308">
        <v>4685</v>
      </c>
      <c r="J308">
        <v>4245</v>
      </c>
      <c r="K308">
        <v>3754</v>
      </c>
      <c r="L308">
        <v>4552</v>
      </c>
      <c r="M308">
        <v>4409</v>
      </c>
    </row>
    <row r="309" spans="4:19" x14ac:dyDescent="0.25">
      <c r="D309" t="s">
        <v>39</v>
      </c>
      <c r="E309">
        <v>2013</v>
      </c>
      <c r="F309" t="s">
        <v>25</v>
      </c>
      <c r="S309">
        <v>91069</v>
      </c>
    </row>
    <row r="310" spans="4:19" x14ac:dyDescent="0.25">
      <c r="D310" t="s">
        <v>39</v>
      </c>
      <c r="E310">
        <v>2014</v>
      </c>
      <c r="F310" t="s">
        <v>25</v>
      </c>
      <c r="S310">
        <v>92482</v>
      </c>
    </row>
    <row r="311" spans="4:19" x14ac:dyDescent="0.25">
      <c r="D311" t="s">
        <v>39</v>
      </c>
      <c r="E311">
        <v>2015</v>
      </c>
      <c r="F311" t="s">
        <v>25</v>
      </c>
      <c r="S311">
        <v>99157</v>
      </c>
    </row>
    <row r="312" spans="4:19" x14ac:dyDescent="0.25">
      <c r="D312" t="s">
        <v>39</v>
      </c>
      <c r="E312">
        <v>2013</v>
      </c>
      <c r="F312" t="s">
        <v>26</v>
      </c>
      <c r="G312">
        <v>14465</v>
      </c>
      <c r="H312">
        <v>12163</v>
      </c>
      <c r="I312">
        <v>13038</v>
      </c>
      <c r="J312">
        <v>12856</v>
      </c>
      <c r="K312">
        <v>11884</v>
      </c>
      <c r="L312">
        <v>12217</v>
      </c>
      <c r="M312">
        <v>14446</v>
      </c>
      <c r="N312">
        <v>12281</v>
      </c>
      <c r="O312">
        <v>15421</v>
      </c>
      <c r="P312">
        <v>17112</v>
      </c>
      <c r="Q312">
        <v>18279</v>
      </c>
      <c r="R312">
        <v>14799</v>
      </c>
    </row>
    <row r="313" spans="4:19" x14ac:dyDescent="0.25">
      <c r="D313" t="s">
        <v>39</v>
      </c>
      <c r="E313">
        <v>2014</v>
      </c>
      <c r="F313" t="s">
        <v>26</v>
      </c>
      <c r="G313">
        <v>16884</v>
      </c>
      <c r="H313">
        <v>13491</v>
      </c>
      <c r="I313">
        <v>12169</v>
      </c>
      <c r="J313">
        <v>12435</v>
      </c>
      <c r="K313">
        <v>11882</v>
      </c>
      <c r="L313">
        <v>12184</v>
      </c>
      <c r="M313">
        <v>13437</v>
      </c>
      <c r="N313">
        <v>13335</v>
      </c>
      <c r="O313">
        <v>16724</v>
      </c>
      <c r="P313">
        <v>16324</v>
      </c>
      <c r="Q313">
        <v>15535</v>
      </c>
      <c r="R313">
        <v>18922</v>
      </c>
    </row>
    <row r="314" spans="4:19" x14ac:dyDescent="0.25">
      <c r="D314" t="s">
        <v>39</v>
      </c>
      <c r="E314">
        <v>2015</v>
      </c>
      <c r="F314" t="s">
        <v>26</v>
      </c>
      <c r="G314">
        <v>16877</v>
      </c>
      <c r="H314">
        <v>13494</v>
      </c>
      <c r="I314">
        <v>14649</v>
      </c>
      <c r="J314">
        <v>14023</v>
      </c>
      <c r="K314">
        <v>11596</v>
      </c>
      <c r="L314">
        <v>14643</v>
      </c>
      <c r="M314">
        <v>13875</v>
      </c>
    </row>
    <row r="315" spans="4:19" x14ac:dyDescent="0.25">
      <c r="D315" t="s">
        <v>39</v>
      </c>
      <c r="E315">
        <v>2013</v>
      </c>
      <c r="F315" t="s">
        <v>27</v>
      </c>
      <c r="S315">
        <v>166040</v>
      </c>
    </row>
    <row r="316" spans="4:19" x14ac:dyDescent="0.25">
      <c r="D316" t="s">
        <v>39</v>
      </c>
      <c r="E316">
        <v>2014</v>
      </c>
      <c r="F316" t="s">
        <v>27</v>
      </c>
      <c r="S316">
        <v>169487</v>
      </c>
    </row>
    <row r="317" spans="4:19" x14ac:dyDescent="0.25">
      <c r="D317" t="s">
        <v>39</v>
      </c>
      <c r="E317">
        <v>2015</v>
      </c>
      <c r="F317" t="s">
        <v>27</v>
      </c>
      <c r="S317">
        <v>186783</v>
      </c>
    </row>
    <row r="318" spans="4:19" x14ac:dyDescent="0.25">
      <c r="D318" t="s">
        <v>39</v>
      </c>
      <c r="E318">
        <v>2013</v>
      </c>
      <c r="F318" t="s">
        <v>28</v>
      </c>
      <c r="G318">
        <v>26877</v>
      </c>
      <c r="H318">
        <v>23419</v>
      </c>
      <c r="I318">
        <v>23432</v>
      </c>
      <c r="J318">
        <v>23634</v>
      </c>
      <c r="K318">
        <v>21877</v>
      </c>
      <c r="L318">
        <v>21618</v>
      </c>
      <c r="M318">
        <v>25183</v>
      </c>
      <c r="N318">
        <v>21013</v>
      </c>
      <c r="O318">
        <v>27343</v>
      </c>
      <c r="P318">
        <v>30913</v>
      </c>
      <c r="Q318">
        <v>31116</v>
      </c>
      <c r="R318">
        <v>26962</v>
      </c>
    </row>
    <row r="319" spans="4:19" x14ac:dyDescent="0.25">
      <c r="D319" t="s">
        <v>39</v>
      </c>
      <c r="E319">
        <v>2014</v>
      </c>
      <c r="F319" t="s">
        <v>28</v>
      </c>
      <c r="G319">
        <v>30925</v>
      </c>
      <c r="H319">
        <v>25174</v>
      </c>
      <c r="I319">
        <v>22843</v>
      </c>
      <c r="J319">
        <v>22557</v>
      </c>
      <c r="K319">
        <v>21787</v>
      </c>
      <c r="L319">
        <v>22340</v>
      </c>
      <c r="M319">
        <v>23861</v>
      </c>
      <c r="N319">
        <v>22791</v>
      </c>
      <c r="O319">
        <v>29842</v>
      </c>
      <c r="P319">
        <v>29461</v>
      </c>
      <c r="Q319">
        <v>27570</v>
      </c>
      <c r="R319">
        <v>34179</v>
      </c>
    </row>
    <row r="320" spans="4:19" x14ac:dyDescent="0.25">
      <c r="D320" t="s">
        <v>39</v>
      </c>
      <c r="E320">
        <v>2015</v>
      </c>
      <c r="F320" t="s">
        <v>28</v>
      </c>
      <c r="G320">
        <v>32845</v>
      </c>
      <c r="H320">
        <v>27843</v>
      </c>
      <c r="I320">
        <v>28443</v>
      </c>
      <c r="J320">
        <v>25675</v>
      </c>
      <c r="K320">
        <v>21109</v>
      </c>
      <c r="L320">
        <v>26731</v>
      </c>
      <c r="M320">
        <v>24137</v>
      </c>
    </row>
    <row r="321" spans="4:19" x14ac:dyDescent="0.25">
      <c r="D321" t="s">
        <v>39</v>
      </c>
      <c r="E321">
        <v>2013</v>
      </c>
      <c r="F321" t="s">
        <v>29</v>
      </c>
      <c r="S321">
        <v>23320</v>
      </c>
    </row>
    <row r="322" spans="4:19" x14ac:dyDescent="0.25">
      <c r="D322" t="s">
        <v>39</v>
      </c>
      <c r="E322">
        <v>2014</v>
      </c>
      <c r="F322" t="s">
        <v>29</v>
      </c>
      <c r="S322">
        <v>23822</v>
      </c>
    </row>
    <row r="323" spans="4:19" x14ac:dyDescent="0.25">
      <c r="D323" t="s">
        <v>39</v>
      </c>
      <c r="E323">
        <v>2015</v>
      </c>
      <c r="F323" t="s">
        <v>29</v>
      </c>
      <c r="S323">
        <v>18423</v>
      </c>
    </row>
    <row r="324" spans="4:19" x14ac:dyDescent="0.25">
      <c r="D324" t="s">
        <v>39</v>
      </c>
      <c r="E324">
        <v>2013</v>
      </c>
      <c r="F324" t="s">
        <v>30</v>
      </c>
      <c r="G324">
        <v>4116</v>
      </c>
      <c r="H324">
        <v>3429</v>
      </c>
      <c r="I324">
        <v>3375</v>
      </c>
      <c r="J324">
        <v>3300</v>
      </c>
      <c r="K324">
        <v>3044</v>
      </c>
      <c r="L324">
        <v>2949</v>
      </c>
      <c r="M324">
        <v>3107</v>
      </c>
      <c r="N324">
        <v>2870</v>
      </c>
      <c r="O324">
        <v>3734</v>
      </c>
      <c r="P324">
        <v>3859</v>
      </c>
      <c r="Q324">
        <v>3255</v>
      </c>
      <c r="R324">
        <v>3393</v>
      </c>
    </row>
    <row r="325" spans="4:19" x14ac:dyDescent="0.25">
      <c r="D325" t="s">
        <v>39</v>
      </c>
      <c r="E325">
        <v>2014</v>
      </c>
      <c r="F325" t="s">
        <v>30</v>
      </c>
      <c r="G325">
        <v>3988</v>
      </c>
      <c r="H325">
        <v>3592</v>
      </c>
      <c r="I325">
        <v>3421</v>
      </c>
      <c r="J325">
        <v>3274</v>
      </c>
      <c r="K325">
        <v>3320</v>
      </c>
      <c r="L325">
        <v>2995</v>
      </c>
      <c r="M325">
        <v>3232</v>
      </c>
      <c r="N325">
        <v>2580</v>
      </c>
      <c r="O325">
        <v>4337</v>
      </c>
      <c r="P325">
        <v>3665</v>
      </c>
      <c r="Q325">
        <v>2821</v>
      </c>
      <c r="R325">
        <v>3538</v>
      </c>
    </row>
    <row r="326" spans="4:19" x14ac:dyDescent="0.25">
      <c r="D326" t="s">
        <v>39</v>
      </c>
      <c r="E326">
        <v>2015</v>
      </c>
      <c r="F326" t="s">
        <v>30</v>
      </c>
      <c r="G326">
        <v>3293</v>
      </c>
      <c r="H326">
        <v>2756</v>
      </c>
      <c r="I326">
        <v>2906</v>
      </c>
      <c r="J326">
        <v>2560</v>
      </c>
      <c r="K326">
        <v>1831</v>
      </c>
      <c r="L326">
        <v>2804</v>
      </c>
      <c r="M326">
        <v>2273</v>
      </c>
    </row>
    <row r="327" spans="4:19" x14ac:dyDescent="0.25">
      <c r="D327" t="s">
        <v>39</v>
      </c>
      <c r="E327">
        <v>2013</v>
      </c>
      <c r="F327" t="s">
        <v>31</v>
      </c>
      <c r="S327">
        <v>0.64664310954063609</v>
      </c>
    </row>
    <row r="328" spans="4:19" x14ac:dyDescent="0.25">
      <c r="D328" t="s">
        <v>39</v>
      </c>
      <c r="E328">
        <v>2014</v>
      </c>
      <c r="F328" t="s">
        <v>31</v>
      </c>
      <c r="S328">
        <v>0.7988114333797891</v>
      </c>
    </row>
    <row r="329" spans="4:19" x14ac:dyDescent="0.25">
      <c r="D329" t="s">
        <v>39</v>
      </c>
      <c r="E329">
        <v>2015</v>
      </c>
      <c r="F329" t="s">
        <v>31</v>
      </c>
      <c r="S329">
        <v>0.88359490022867526</v>
      </c>
    </row>
    <row r="330" spans="4:19" x14ac:dyDescent="0.25">
      <c r="D330" t="s">
        <v>39</v>
      </c>
      <c r="E330">
        <v>2013</v>
      </c>
      <c r="F330" t="s">
        <v>32</v>
      </c>
      <c r="G330">
        <v>0.56363437568335883</v>
      </c>
      <c r="H330">
        <v>0.54358270418668497</v>
      </c>
      <c r="I330">
        <v>0.66013824884792627</v>
      </c>
      <c r="J330">
        <v>0.78581535196321184</v>
      </c>
      <c r="K330">
        <v>0.69569990850869168</v>
      </c>
      <c r="L330">
        <v>0.6390697674418605</v>
      </c>
      <c r="M330">
        <v>0.75521038143924502</v>
      </c>
      <c r="N330">
        <v>0.71037066246056779</v>
      </c>
      <c r="O330">
        <v>0.76429361859092582</v>
      </c>
      <c r="P330">
        <v>0.94117647058823528</v>
      </c>
      <c r="Q330">
        <v>0.93724122902593154</v>
      </c>
      <c r="R330">
        <v>0.92971315962338519</v>
      </c>
    </row>
    <row r="331" spans="4:19" x14ac:dyDescent="0.25">
      <c r="D331" t="s">
        <v>39</v>
      </c>
      <c r="E331">
        <v>2014</v>
      </c>
      <c r="F331" t="s">
        <v>32</v>
      </c>
      <c r="G331">
        <v>0.81709428616401703</v>
      </c>
      <c r="H331">
        <v>0.76073242037236499</v>
      </c>
      <c r="I331">
        <v>0.86663224918258475</v>
      </c>
      <c r="J331">
        <v>0.82733050847457623</v>
      </c>
      <c r="K331">
        <v>0.64789483034286732</v>
      </c>
      <c r="L331">
        <v>0.84550816696914699</v>
      </c>
      <c r="M331">
        <v>0.85224560642221736</v>
      </c>
      <c r="N331">
        <v>0.91969078806098348</v>
      </c>
      <c r="O331">
        <v>0.88434456928838956</v>
      </c>
      <c r="P331">
        <v>0.93917744738366482</v>
      </c>
      <c r="Q331">
        <v>0.86215943491422808</v>
      </c>
      <c r="R331">
        <v>0.86723809523809525</v>
      </c>
    </row>
    <row r="332" spans="4:19" x14ac:dyDescent="0.25">
      <c r="D332" t="s">
        <v>39</v>
      </c>
      <c r="E332">
        <v>2015</v>
      </c>
      <c r="F332" t="s">
        <v>32</v>
      </c>
      <c r="G332">
        <v>0.8803103066124861</v>
      </c>
      <c r="H332">
        <v>0.87582236842105265</v>
      </c>
      <c r="I332">
        <v>0.89647812166488794</v>
      </c>
      <c r="J332">
        <v>0.90388692579505303</v>
      </c>
      <c r="K332">
        <v>0.90463505594033033</v>
      </c>
      <c r="L332">
        <v>0.8811511423550088</v>
      </c>
      <c r="M332">
        <v>0.84758448627806759</v>
      </c>
    </row>
    <row r="333" spans="4:19" x14ac:dyDescent="0.25">
      <c r="D333" t="s">
        <v>39</v>
      </c>
      <c r="E333">
        <v>2013</v>
      </c>
      <c r="F333" t="s">
        <v>33</v>
      </c>
      <c r="S333">
        <v>0.55262098646933155</v>
      </c>
    </row>
    <row r="334" spans="4:19" x14ac:dyDescent="0.25">
      <c r="D334" t="s">
        <v>39</v>
      </c>
      <c r="E334">
        <v>2014</v>
      </c>
      <c r="F334" t="s">
        <v>33</v>
      </c>
      <c r="S334">
        <v>0.71614524720534178</v>
      </c>
    </row>
    <row r="335" spans="4:19" x14ac:dyDescent="0.25">
      <c r="D335" t="s">
        <v>39</v>
      </c>
      <c r="E335">
        <v>2015</v>
      </c>
      <c r="F335" t="s">
        <v>33</v>
      </c>
      <c r="S335">
        <v>0.88266217020432458</v>
      </c>
    </row>
    <row r="336" spans="4:19" x14ac:dyDescent="0.25">
      <c r="D336" t="s">
        <v>39</v>
      </c>
      <c r="E336">
        <v>2013</v>
      </c>
      <c r="F336" t="s">
        <v>34</v>
      </c>
      <c r="G336">
        <v>0.44312026002166849</v>
      </c>
      <c r="H336">
        <v>0.37035757471065817</v>
      </c>
      <c r="I336">
        <v>0.59499702203692673</v>
      </c>
      <c r="J336">
        <v>0.76566354218056243</v>
      </c>
      <c r="K336">
        <v>0.63982043834169522</v>
      </c>
      <c r="L336">
        <v>0.56732026143790848</v>
      </c>
      <c r="M336">
        <v>0.64204545454545459</v>
      </c>
      <c r="N336">
        <v>0.58290743895513908</v>
      </c>
      <c r="O336">
        <v>0.67364657814096018</v>
      </c>
      <c r="P336">
        <v>0.91515506143943826</v>
      </c>
      <c r="Q336">
        <v>0.90676594367109098</v>
      </c>
      <c r="R336">
        <v>0.89126016260162599</v>
      </c>
    </row>
    <row r="337" spans="4:19" x14ac:dyDescent="0.25">
      <c r="D337" t="s">
        <v>39</v>
      </c>
      <c r="E337">
        <v>2014</v>
      </c>
      <c r="F337" t="s">
        <v>34</v>
      </c>
      <c r="G337">
        <v>0.73846500112536573</v>
      </c>
      <c r="H337">
        <v>0.66688089117395033</v>
      </c>
      <c r="I337">
        <v>0.80995586071603731</v>
      </c>
      <c r="J337">
        <v>0.76148668422592913</v>
      </c>
      <c r="K337">
        <v>0.53077651515151514</v>
      </c>
      <c r="L337">
        <v>0.77322677322677325</v>
      </c>
      <c r="M337">
        <v>0.78867256637168137</v>
      </c>
      <c r="N337">
        <v>0.97676767676767673</v>
      </c>
      <c r="O337">
        <v>0.86324786324786329</v>
      </c>
      <c r="P337">
        <v>0.97279411764705881</v>
      </c>
      <c r="Q337">
        <v>0.8510861948142957</v>
      </c>
      <c r="R337">
        <v>0.8462804476629362</v>
      </c>
    </row>
    <row r="338" spans="4:19" x14ac:dyDescent="0.25">
      <c r="D338" t="s">
        <v>39</v>
      </c>
      <c r="E338">
        <v>2015</v>
      </c>
      <c r="F338" t="s">
        <v>34</v>
      </c>
      <c r="G338">
        <v>0.87641117052881756</v>
      </c>
      <c r="H338">
        <v>0.86944181646168406</v>
      </c>
      <c r="I338">
        <v>0.90598017268947872</v>
      </c>
      <c r="J338">
        <v>0.91025129637016355</v>
      </c>
      <c r="K338">
        <v>0.90909090909090906</v>
      </c>
      <c r="L338">
        <v>0.88592642591967596</v>
      </c>
      <c r="M338">
        <v>0.82554634513941216</v>
      </c>
    </row>
    <row r="339" spans="4:19" x14ac:dyDescent="0.25">
      <c r="D339" t="s">
        <v>40</v>
      </c>
      <c r="E339">
        <v>2013</v>
      </c>
      <c r="F339" t="s">
        <v>17</v>
      </c>
      <c r="S339">
        <v>0.87386103988245878</v>
      </c>
    </row>
    <row r="340" spans="4:19" x14ac:dyDescent="0.25">
      <c r="D340" t="s">
        <v>40</v>
      </c>
      <c r="E340">
        <v>2014</v>
      </c>
      <c r="F340" t="s">
        <v>17</v>
      </c>
      <c r="S340">
        <v>0.89201123304881202</v>
      </c>
    </row>
    <row r="341" spans="4:19" x14ac:dyDescent="0.25">
      <c r="D341" t="s">
        <v>40</v>
      </c>
      <c r="E341">
        <v>2015</v>
      </c>
      <c r="F341" t="s">
        <v>17</v>
      </c>
      <c r="S341">
        <v>0.99682539682539684</v>
      </c>
    </row>
    <row r="342" spans="4:19" x14ac:dyDescent="0.25">
      <c r="D342" t="s">
        <v>40</v>
      </c>
      <c r="E342">
        <v>2013</v>
      </c>
      <c r="F342" t="s">
        <v>18</v>
      </c>
      <c r="G342">
        <v>0.8542138549786733</v>
      </c>
      <c r="H342">
        <v>0.82933221511688859</v>
      </c>
      <c r="I342">
        <v>0.85265669331957694</v>
      </c>
      <c r="J342">
        <v>0.85197380323479388</v>
      </c>
      <c r="K342">
        <v>0.89608828671328666</v>
      </c>
      <c r="L342">
        <v>0.92799358925436926</v>
      </c>
      <c r="M342">
        <v>0.9171177612092738</v>
      </c>
      <c r="N342">
        <v>0.92210803689064558</v>
      </c>
      <c r="O342">
        <v>0.89057619150712897</v>
      </c>
      <c r="P342">
        <v>0.91854252128649727</v>
      </c>
      <c r="Q342">
        <v>0.88897865464750403</v>
      </c>
      <c r="R342">
        <v>0.91701028690481357</v>
      </c>
    </row>
    <row r="343" spans="4:19" x14ac:dyDescent="0.25">
      <c r="D343" t="s">
        <v>40</v>
      </c>
      <c r="E343">
        <v>2014</v>
      </c>
      <c r="F343" t="s">
        <v>18</v>
      </c>
      <c r="G343">
        <v>0.89734472860125258</v>
      </c>
      <c r="H343">
        <v>0.8956273424950919</v>
      </c>
      <c r="I343">
        <v>0.89481203314420998</v>
      </c>
      <c r="J343">
        <v>0.88090684330829871</v>
      </c>
      <c r="K343">
        <v>0.8767158767158767</v>
      </c>
      <c r="L343">
        <v>0.90609021414468693</v>
      </c>
      <c r="M343">
        <v>0.88783198845722222</v>
      </c>
      <c r="N343">
        <v>0.91473694409456452</v>
      </c>
      <c r="O343">
        <v>0.91881638846737479</v>
      </c>
      <c r="P343">
        <v>0.91501695286011153</v>
      </c>
      <c r="Q343">
        <v>0.99375000000000002</v>
      </c>
      <c r="R343">
        <v>1</v>
      </c>
    </row>
    <row r="344" spans="4:19" x14ac:dyDescent="0.25">
      <c r="D344" t="s">
        <v>40</v>
      </c>
      <c r="E344">
        <v>2015</v>
      </c>
      <c r="F344" t="s">
        <v>18</v>
      </c>
      <c r="G344">
        <v>1</v>
      </c>
      <c r="H344">
        <v>0.9943820224719101</v>
      </c>
      <c r="I344">
        <v>0.99484536082474229</v>
      </c>
      <c r="J344">
        <v>0.99687499999999996</v>
      </c>
      <c r="K344">
        <v>1</v>
      </c>
      <c r="L344">
        <v>0.99337748344370858</v>
      </c>
      <c r="M344">
        <v>1</v>
      </c>
    </row>
    <row r="345" spans="4:19" x14ac:dyDescent="0.25">
      <c r="D345" t="s">
        <v>40</v>
      </c>
      <c r="E345">
        <v>2013</v>
      </c>
      <c r="F345" t="s">
        <v>19</v>
      </c>
      <c r="S345">
        <v>0.58285828014159191</v>
      </c>
    </row>
    <row r="346" spans="4:19" x14ac:dyDescent="0.25">
      <c r="D346" t="s">
        <v>40</v>
      </c>
      <c r="E346">
        <v>2014</v>
      </c>
      <c r="F346" t="s">
        <v>19</v>
      </c>
      <c r="S346">
        <v>0.71840436234271798</v>
      </c>
    </row>
    <row r="347" spans="4:19" x14ac:dyDescent="0.25">
      <c r="D347" t="s">
        <v>40</v>
      </c>
      <c r="E347">
        <v>2015</v>
      </c>
      <c r="F347" t="s">
        <v>19</v>
      </c>
      <c r="S347">
        <v>0.81873600802991353</v>
      </c>
    </row>
    <row r="348" spans="4:19" x14ac:dyDescent="0.25">
      <c r="D348" t="s">
        <v>40</v>
      </c>
      <c r="E348">
        <v>2013</v>
      </c>
      <c r="F348" t="s">
        <v>20</v>
      </c>
      <c r="G348">
        <v>0.6808362150760231</v>
      </c>
      <c r="H348">
        <v>0.58547126618250711</v>
      </c>
      <c r="I348">
        <v>0.50010366612191137</v>
      </c>
      <c r="J348">
        <v>0.59882368909197847</v>
      </c>
      <c r="K348">
        <v>0.58808337239222142</v>
      </c>
      <c r="L348">
        <v>0.57138215491254352</v>
      </c>
      <c r="M348">
        <v>0.58104002360427742</v>
      </c>
      <c r="N348">
        <v>0.61148252215009313</v>
      </c>
      <c r="O348">
        <v>0.6546081748467526</v>
      </c>
      <c r="P348">
        <v>0.71251336245074981</v>
      </c>
      <c r="Q348">
        <v>0.65488733992543358</v>
      </c>
      <c r="R348">
        <v>0.79297075220994695</v>
      </c>
    </row>
    <row r="349" spans="4:19" x14ac:dyDescent="0.25">
      <c r="D349" t="s">
        <v>40</v>
      </c>
      <c r="E349">
        <v>2014</v>
      </c>
      <c r="F349" t="s">
        <v>20</v>
      </c>
      <c r="G349">
        <v>0.86256989922550165</v>
      </c>
      <c r="H349">
        <v>0.74096317360610042</v>
      </c>
      <c r="I349">
        <v>0.59526308325060273</v>
      </c>
      <c r="J349">
        <v>0.6107215160150028</v>
      </c>
      <c r="K349">
        <v>0.67910556989647919</v>
      </c>
      <c r="L349">
        <v>0.75332986085274201</v>
      </c>
      <c r="M349">
        <v>0.77639908500904353</v>
      </c>
      <c r="N349">
        <v>0.75378590078328978</v>
      </c>
      <c r="O349">
        <v>0.67798095263771596</v>
      </c>
      <c r="P349">
        <v>0.8049670284142566</v>
      </c>
      <c r="Q349">
        <v>0.88365207967116477</v>
      </c>
      <c r="R349">
        <v>0.93899815145913512</v>
      </c>
    </row>
    <row r="350" spans="4:19" x14ac:dyDescent="0.25">
      <c r="D350" t="s">
        <v>40</v>
      </c>
      <c r="E350">
        <v>2015</v>
      </c>
      <c r="F350" t="s">
        <v>20</v>
      </c>
      <c r="G350">
        <v>0.9193084728106814</v>
      </c>
      <c r="H350">
        <v>0.94939793743158385</v>
      </c>
      <c r="I350">
        <v>0.80965336286944789</v>
      </c>
      <c r="J350">
        <v>0.79651656474831978</v>
      </c>
      <c r="K350">
        <v>0.74195907594956834</v>
      </c>
      <c r="L350">
        <v>0.6972335706781837</v>
      </c>
      <c r="M350">
        <v>0.77342955757765919</v>
      </c>
    </row>
    <row r="351" spans="4:19" x14ac:dyDescent="0.25">
      <c r="D351" t="s">
        <v>40</v>
      </c>
      <c r="E351">
        <v>2013</v>
      </c>
      <c r="F351" t="s">
        <v>21</v>
      </c>
      <c r="S351">
        <v>0.90460216872917143</v>
      </c>
    </row>
    <row r="352" spans="4:19" x14ac:dyDescent="0.25">
      <c r="D352" t="s">
        <v>40</v>
      </c>
      <c r="E352">
        <v>2014</v>
      </c>
      <c r="F352" t="s">
        <v>21</v>
      </c>
      <c r="S352">
        <v>0.95393257045932223</v>
      </c>
    </row>
    <row r="353" spans="4:19" x14ac:dyDescent="0.25">
      <c r="D353" t="s">
        <v>40</v>
      </c>
      <c r="E353">
        <v>2015</v>
      </c>
      <c r="F353" t="s">
        <v>21</v>
      </c>
      <c r="S353">
        <v>0.96748847400616489</v>
      </c>
    </row>
    <row r="354" spans="4:19" x14ac:dyDescent="0.25">
      <c r="D354" t="s">
        <v>40</v>
      </c>
      <c r="E354">
        <v>2013</v>
      </c>
      <c r="F354" t="s">
        <v>22</v>
      </c>
      <c r="G354">
        <v>0.82925356495889269</v>
      </c>
      <c r="H354">
        <v>0.78898652606912711</v>
      </c>
      <c r="I354">
        <v>0.87359878037844141</v>
      </c>
      <c r="J354">
        <v>0.96336844289939294</v>
      </c>
      <c r="K354">
        <v>0.92179443107597114</v>
      </c>
      <c r="L354">
        <v>0.9744421452938874</v>
      </c>
      <c r="M354">
        <v>0.97886411987790212</v>
      </c>
      <c r="N354">
        <v>0.97080131723380902</v>
      </c>
      <c r="O354">
        <v>0.97486272731852297</v>
      </c>
      <c r="P354">
        <v>0.97840172786177104</v>
      </c>
      <c r="Q354">
        <v>0.96339574827537655</v>
      </c>
      <c r="R354">
        <v>0.97759267949319573</v>
      </c>
    </row>
    <row r="355" spans="4:19" x14ac:dyDescent="0.25">
      <c r="D355" t="s">
        <v>40</v>
      </c>
      <c r="E355">
        <v>2014</v>
      </c>
      <c r="F355" t="s">
        <v>22</v>
      </c>
      <c r="G355">
        <v>0.98835680751173705</v>
      </c>
      <c r="H355">
        <v>0.97824706255954275</v>
      </c>
      <c r="I355">
        <v>0.90728775356874536</v>
      </c>
      <c r="J355">
        <v>0.93758996124746263</v>
      </c>
      <c r="K355">
        <v>0.95882858046730235</v>
      </c>
      <c r="L355">
        <v>0.95987352954851912</v>
      </c>
      <c r="M355">
        <v>0.94495378230522542</v>
      </c>
      <c r="N355">
        <v>0.9308365758754864</v>
      </c>
      <c r="O355">
        <v>0.95302778021207601</v>
      </c>
      <c r="P355">
        <v>0.95241912855253141</v>
      </c>
      <c r="Q355">
        <v>0.9712204007285975</v>
      </c>
      <c r="R355">
        <v>0.97167872097449559</v>
      </c>
    </row>
    <row r="356" spans="4:19" x14ac:dyDescent="0.25">
      <c r="D356" t="s">
        <v>40</v>
      </c>
      <c r="E356">
        <v>2015</v>
      </c>
      <c r="F356" t="s">
        <v>22</v>
      </c>
      <c r="G356">
        <v>0.93763106270716368</v>
      </c>
      <c r="H356">
        <v>0.94838907876041623</v>
      </c>
      <c r="I356">
        <v>0.97530353200883002</v>
      </c>
      <c r="J356">
        <v>0.97908548139144114</v>
      </c>
      <c r="K356">
        <v>0.98291709635475044</v>
      </c>
      <c r="L356">
        <v>0.97950730324831048</v>
      </c>
      <c r="M356">
        <v>0.97340180898359652</v>
      </c>
    </row>
    <row r="357" spans="4:19" x14ac:dyDescent="0.25">
      <c r="D357" t="s">
        <v>40</v>
      </c>
      <c r="E357">
        <v>2013</v>
      </c>
      <c r="F357" t="s">
        <v>23</v>
      </c>
      <c r="S357">
        <v>579828</v>
      </c>
    </row>
    <row r="358" spans="4:19" x14ac:dyDescent="0.25">
      <c r="D358" t="s">
        <v>40</v>
      </c>
      <c r="E358">
        <v>2014</v>
      </c>
      <c r="F358" t="s">
        <v>23</v>
      </c>
      <c r="S358">
        <v>376836</v>
      </c>
    </row>
    <row r="359" spans="4:19" x14ac:dyDescent="0.25">
      <c r="D359" t="s">
        <v>40</v>
      </c>
      <c r="E359">
        <v>2015</v>
      </c>
      <c r="F359" t="s">
        <v>23</v>
      </c>
      <c r="S359">
        <v>441365</v>
      </c>
    </row>
    <row r="360" spans="4:19" x14ac:dyDescent="0.25">
      <c r="D360" t="s">
        <v>40</v>
      </c>
      <c r="E360">
        <v>2013</v>
      </c>
      <c r="F360" t="s">
        <v>24</v>
      </c>
      <c r="G360">
        <v>138995</v>
      </c>
      <c r="H360">
        <v>125523</v>
      </c>
      <c r="I360">
        <v>82547</v>
      </c>
      <c r="J360">
        <v>54590</v>
      </c>
      <c r="K360">
        <v>64124</v>
      </c>
      <c r="L360">
        <v>59355</v>
      </c>
      <c r="M360">
        <v>54694</v>
      </c>
      <c r="N360">
        <v>57715</v>
      </c>
      <c r="O360">
        <v>64895</v>
      </c>
      <c r="P360">
        <v>62228</v>
      </c>
      <c r="Q360">
        <v>50674</v>
      </c>
      <c r="R360">
        <v>55421</v>
      </c>
    </row>
    <row r="361" spans="4:19" x14ac:dyDescent="0.25">
      <c r="D361" t="s">
        <v>40</v>
      </c>
      <c r="E361">
        <v>2014</v>
      </c>
      <c r="F361" t="s">
        <v>24</v>
      </c>
      <c r="G361">
        <v>62019</v>
      </c>
      <c r="H361">
        <v>80692</v>
      </c>
      <c r="I361">
        <v>54493</v>
      </c>
      <c r="J361">
        <v>45858</v>
      </c>
      <c r="K361">
        <v>48989</v>
      </c>
      <c r="L361">
        <v>41200</v>
      </c>
      <c r="M361">
        <v>43585</v>
      </c>
      <c r="N361">
        <v>48271</v>
      </c>
      <c r="O361">
        <v>69397</v>
      </c>
      <c r="P361">
        <v>60604</v>
      </c>
      <c r="Q361">
        <v>61126</v>
      </c>
      <c r="R361">
        <v>60029</v>
      </c>
    </row>
    <row r="362" spans="4:19" x14ac:dyDescent="0.25">
      <c r="D362" t="s">
        <v>40</v>
      </c>
      <c r="E362">
        <v>2015</v>
      </c>
      <c r="F362" t="s">
        <v>24</v>
      </c>
      <c r="G362">
        <v>71033</v>
      </c>
      <c r="H362">
        <v>68900</v>
      </c>
      <c r="I362">
        <v>68878</v>
      </c>
      <c r="J362">
        <v>61212</v>
      </c>
      <c r="K362">
        <v>50476</v>
      </c>
      <c r="L362">
        <v>60950</v>
      </c>
      <c r="M362">
        <v>59916</v>
      </c>
    </row>
    <row r="363" spans="4:19" x14ac:dyDescent="0.25">
      <c r="D363" t="s">
        <v>40</v>
      </c>
      <c r="E363">
        <v>2013</v>
      </c>
      <c r="F363" t="s">
        <v>25</v>
      </c>
      <c r="S363">
        <v>786026</v>
      </c>
    </row>
    <row r="364" spans="4:19" x14ac:dyDescent="0.25">
      <c r="D364" t="s">
        <v>40</v>
      </c>
      <c r="E364">
        <v>2014</v>
      </c>
      <c r="F364" t="s">
        <v>25</v>
      </c>
      <c r="S364">
        <v>872379</v>
      </c>
    </row>
    <row r="365" spans="4:19" x14ac:dyDescent="0.25">
      <c r="D365" t="s">
        <v>40</v>
      </c>
      <c r="E365">
        <v>2015</v>
      </c>
      <c r="F365" t="s">
        <v>25</v>
      </c>
      <c r="S365">
        <v>985136</v>
      </c>
    </row>
    <row r="366" spans="4:19" x14ac:dyDescent="0.25">
      <c r="D366" t="s">
        <v>40</v>
      </c>
      <c r="E366">
        <v>2013</v>
      </c>
      <c r="F366" t="s">
        <v>26</v>
      </c>
      <c r="G366">
        <v>135794</v>
      </c>
      <c r="H366">
        <v>103577</v>
      </c>
      <c r="I366">
        <v>121502</v>
      </c>
      <c r="J366">
        <v>109283</v>
      </c>
      <c r="K366">
        <v>99870</v>
      </c>
      <c r="L366">
        <v>100980</v>
      </c>
      <c r="M366">
        <v>115020</v>
      </c>
      <c r="N366">
        <v>105290</v>
      </c>
      <c r="O366">
        <v>123423</v>
      </c>
      <c r="P366">
        <v>144631</v>
      </c>
      <c r="Q366">
        <v>134952</v>
      </c>
      <c r="R366">
        <v>149692</v>
      </c>
    </row>
    <row r="367" spans="4:19" x14ac:dyDescent="0.25">
      <c r="D367" t="s">
        <v>40</v>
      </c>
      <c r="E367">
        <v>2014</v>
      </c>
      <c r="F367" t="s">
        <v>26</v>
      </c>
      <c r="G367">
        <v>164980</v>
      </c>
      <c r="H367">
        <v>126364</v>
      </c>
      <c r="I367">
        <v>117505</v>
      </c>
      <c r="J367">
        <v>120082</v>
      </c>
      <c r="K367">
        <v>112158</v>
      </c>
      <c r="L367">
        <v>105609</v>
      </c>
      <c r="M367">
        <v>125681</v>
      </c>
      <c r="N367">
        <v>114676</v>
      </c>
      <c r="O367">
        <v>139543</v>
      </c>
      <c r="P367">
        <v>141250</v>
      </c>
      <c r="Q367">
        <v>146445</v>
      </c>
      <c r="R367">
        <v>174514</v>
      </c>
    </row>
    <row r="368" spans="4:19" x14ac:dyDescent="0.25">
      <c r="D368" t="s">
        <v>40</v>
      </c>
      <c r="E368">
        <v>2015</v>
      </c>
      <c r="F368" t="s">
        <v>26</v>
      </c>
      <c r="G368">
        <v>179094</v>
      </c>
      <c r="H368">
        <v>144135</v>
      </c>
      <c r="I368">
        <v>145818</v>
      </c>
      <c r="J368">
        <v>129983</v>
      </c>
      <c r="K368">
        <v>108329</v>
      </c>
      <c r="L368">
        <v>134899</v>
      </c>
      <c r="M368">
        <v>142878</v>
      </c>
    </row>
    <row r="369" spans="4:19" x14ac:dyDescent="0.25">
      <c r="D369" t="s">
        <v>40</v>
      </c>
      <c r="E369">
        <v>2013</v>
      </c>
      <c r="F369" t="s">
        <v>27</v>
      </c>
      <c r="S369">
        <v>1421513</v>
      </c>
    </row>
    <row r="370" spans="4:19" x14ac:dyDescent="0.25">
      <c r="D370" t="s">
        <v>40</v>
      </c>
      <c r="E370">
        <v>2014</v>
      </c>
      <c r="F370" t="s">
        <v>27</v>
      </c>
      <c r="S370">
        <v>1565467</v>
      </c>
    </row>
    <row r="371" spans="4:19" x14ac:dyDescent="0.25">
      <c r="D371" t="s">
        <v>40</v>
      </c>
      <c r="E371">
        <v>2015</v>
      </c>
      <c r="F371" t="s">
        <v>27</v>
      </c>
      <c r="S371">
        <v>1720018</v>
      </c>
    </row>
    <row r="372" spans="4:19" x14ac:dyDescent="0.25">
      <c r="D372" t="s">
        <v>40</v>
      </c>
      <c r="E372">
        <v>2013</v>
      </c>
      <c r="F372" t="s">
        <v>28</v>
      </c>
      <c r="G372">
        <v>238639</v>
      </c>
      <c r="H372">
        <v>186167</v>
      </c>
      <c r="I372">
        <v>228823</v>
      </c>
      <c r="J372">
        <v>201283</v>
      </c>
      <c r="K372">
        <v>183313</v>
      </c>
      <c r="L372">
        <v>181362</v>
      </c>
      <c r="M372">
        <v>201926</v>
      </c>
      <c r="N372">
        <v>181840</v>
      </c>
      <c r="O372">
        <v>223075</v>
      </c>
      <c r="P372">
        <v>273056</v>
      </c>
      <c r="Q372">
        <v>237471</v>
      </c>
      <c r="R372">
        <v>263142</v>
      </c>
    </row>
    <row r="373" spans="4:19" x14ac:dyDescent="0.25">
      <c r="D373" t="s">
        <v>40</v>
      </c>
      <c r="E373">
        <v>2014</v>
      </c>
      <c r="F373" t="s">
        <v>28</v>
      </c>
      <c r="G373">
        <v>284369</v>
      </c>
      <c r="H373">
        <v>230468</v>
      </c>
      <c r="I373">
        <v>219626</v>
      </c>
      <c r="J373">
        <v>219724</v>
      </c>
      <c r="K373">
        <v>198721</v>
      </c>
      <c r="L373">
        <v>191037</v>
      </c>
      <c r="M373">
        <v>221522</v>
      </c>
      <c r="N373">
        <v>192119</v>
      </c>
      <c r="O373">
        <v>256444</v>
      </c>
      <c r="P373">
        <v>251911</v>
      </c>
      <c r="Q373">
        <v>262705</v>
      </c>
      <c r="R373">
        <v>301720</v>
      </c>
    </row>
    <row r="374" spans="4:19" x14ac:dyDescent="0.25">
      <c r="D374" t="s">
        <v>40</v>
      </c>
      <c r="E374">
        <v>2015</v>
      </c>
      <c r="F374" t="s">
        <v>28</v>
      </c>
      <c r="G374">
        <v>298062</v>
      </c>
      <c r="H374">
        <v>261908</v>
      </c>
      <c r="I374">
        <v>266456</v>
      </c>
      <c r="J374">
        <v>226002</v>
      </c>
      <c r="K374">
        <v>188668</v>
      </c>
      <c r="L374">
        <v>236579</v>
      </c>
      <c r="M374">
        <v>242343</v>
      </c>
    </row>
    <row r="375" spans="4:19" x14ac:dyDescent="0.25">
      <c r="D375" t="s">
        <v>40</v>
      </c>
      <c r="E375">
        <v>2013</v>
      </c>
      <c r="F375" t="s">
        <v>29</v>
      </c>
      <c r="S375">
        <v>179001</v>
      </c>
    </row>
    <row r="376" spans="4:19" x14ac:dyDescent="0.25">
      <c r="D376" t="s">
        <v>40</v>
      </c>
      <c r="E376">
        <v>2014</v>
      </c>
      <c r="F376" t="s">
        <v>29</v>
      </c>
      <c r="S376">
        <v>162378</v>
      </c>
    </row>
    <row r="377" spans="4:19" x14ac:dyDescent="0.25">
      <c r="D377" t="s">
        <v>40</v>
      </c>
      <c r="E377">
        <v>2015</v>
      </c>
      <c r="F377" t="s">
        <v>29</v>
      </c>
      <c r="S377">
        <v>2205</v>
      </c>
    </row>
    <row r="378" spans="4:19" x14ac:dyDescent="0.25">
      <c r="D378" t="s">
        <v>40</v>
      </c>
      <c r="E378">
        <v>2013</v>
      </c>
      <c r="F378" t="s">
        <v>30</v>
      </c>
      <c r="G378">
        <v>33995</v>
      </c>
      <c r="H378">
        <v>28617</v>
      </c>
      <c r="I378">
        <v>15508</v>
      </c>
      <c r="J378">
        <v>27637</v>
      </c>
      <c r="K378">
        <v>27456</v>
      </c>
      <c r="L378">
        <v>26206</v>
      </c>
      <c r="M378">
        <v>19582</v>
      </c>
      <c r="N378">
        <v>18975</v>
      </c>
      <c r="O378">
        <v>32333</v>
      </c>
      <c r="P378">
        <v>29009</v>
      </c>
      <c r="Q378">
        <v>23518</v>
      </c>
      <c r="R378">
        <v>23039</v>
      </c>
    </row>
    <row r="379" spans="4:19" x14ac:dyDescent="0.25">
      <c r="D379" t="s">
        <v>40</v>
      </c>
      <c r="E379">
        <v>2014</v>
      </c>
      <c r="F379" t="s">
        <v>30</v>
      </c>
      <c r="G379">
        <v>30656</v>
      </c>
      <c r="H379">
        <v>28015</v>
      </c>
      <c r="I379">
        <v>24499</v>
      </c>
      <c r="J379">
        <v>21437</v>
      </c>
      <c r="K379">
        <v>19305</v>
      </c>
      <c r="L379">
        <v>19753</v>
      </c>
      <c r="M379">
        <v>18713</v>
      </c>
      <c r="N379">
        <v>10321</v>
      </c>
      <c r="O379">
        <v>14498</v>
      </c>
      <c r="P379">
        <v>9143</v>
      </c>
      <c r="Q379">
        <v>320</v>
      </c>
      <c r="R379">
        <v>260</v>
      </c>
    </row>
    <row r="380" spans="4:19" x14ac:dyDescent="0.25">
      <c r="D380" t="s">
        <v>40</v>
      </c>
      <c r="E380">
        <v>2015</v>
      </c>
      <c r="F380" t="s">
        <v>30</v>
      </c>
      <c r="G380">
        <v>295</v>
      </c>
      <c r="H380">
        <v>356</v>
      </c>
      <c r="I380">
        <v>388</v>
      </c>
      <c r="J380">
        <v>320</v>
      </c>
      <c r="K380">
        <v>260</v>
      </c>
      <c r="L380">
        <v>302</v>
      </c>
      <c r="M380">
        <v>284</v>
      </c>
    </row>
    <row r="381" spans="4:19" x14ac:dyDescent="0.25">
      <c r="D381" t="s">
        <v>40</v>
      </c>
      <c r="E381">
        <v>2013</v>
      </c>
      <c r="F381" t="s">
        <v>31</v>
      </c>
      <c r="S381">
        <v>0.46331843236270065</v>
      </c>
    </row>
    <row r="382" spans="4:19" x14ac:dyDescent="0.25">
      <c r="D382" t="s">
        <v>40</v>
      </c>
      <c r="E382">
        <v>2014</v>
      </c>
      <c r="F382" t="s">
        <v>31</v>
      </c>
      <c r="S382">
        <v>0.80258255580677007</v>
      </c>
    </row>
    <row r="383" spans="4:19" x14ac:dyDescent="0.25">
      <c r="D383" t="s">
        <v>40</v>
      </c>
      <c r="E383">
        <v>2015</v>
      </c>
      <c r="F383" t="s">
        <v>31</v>
      </c>
      <c r="S383">
        <v>0.89737065693926799</v>
      </c>
    </row>
    <row r="384" spans="4:19" x14ac:dyDescent="0.25">
      <c r="D384" t="s">
        <v>40</v>
      </c>
      <c r="E384">
        <v>2013</v>
      </c>
      <c r="F384" t="s">
        <v>32</v>
      </c>
      <c r="G384">
        <v>0.30175186157775458</v>
      </c>
      <c r="H384">
        <v>0.33987396732073005</v>
      </c>
      <c r="I384">
        <v>0.46420826922843955</v>
      </c>
      <c r="J384">
        <v>0.66995786774134458</v>
      </c>
      <c r="K384">
        <v>0.6244463851288129</v>
      </c>
      <c r="L384">
        <v>0.51380675595990233</v>
      </c>
      <c r="M384">
        <v>0.70592752404285664</v>
      </c>
      <c r="N384">
        <v>0.6715931733518149</v>
      </c>
      <c r="O384">
        <v>0.63992603436320206</v>
      </c>
      <c r="P384">
        <v>0.67280002571189823</v>
      </c>
      <c r="Q384">
        <v>0.75658128428780047</v>
      </c>
      <c r="R384">
        <v>0.70704245683044331</v>
      </c>
    </row>
    <row r="385" spans="4:19" x14ac:dyDescent="0.25">
      <c r="D385" t="s">
        <v>40</v>
      </c>
      <c r="E385">
        <v>2014</v>
      </c>
      <c r="F385" t="s">
        <v>32</v>
      </c>
      <c r="G385">
        <v>0.76558796497847437</v>
      </c>
      <c r="H385">
        <v>0.60362861250185895</v>
      </c>
      <c r="I385">
        <v>0.82478483474941733</v>
      </c>
      <c r="J385">
        <v>0.92140956866849844</v>
      </c>
      <c r="K385">
        <v>0.83906591275592479</v>
      </c>
      <c r="L385">
        <v>0.9143932038834951</v>
      </c>
      <c r="M385">
        <v>0.92407938510955601</v>
      </c>
      <c r="N385">
        <v>0.89447080027345616</v>
      </c>
      <c r="O385">
        <v>0.91851232762223156</v>
      </c>
      <c r="P385">
        <v>0.91310804567355286</v>
      </c>
      <c r="Q385">
        <v>0.90298727219186603</v>
      </c>
      <c r="R385">
        <v>0.90206400239884055</v>
      </c>
    </row>
    <row r="386" spans="4:19" x14ac:dyDescent="0.25">
      <c r="D386" t="s">
        <v>40</v>
      </c>
      <c r="E386">
        <v>2015</v>
      </c>
      <c r="F386" t="s">
        <v>32</v>
      </c>
      <c r="G386">
        <v>0.91356130249320733</v>
      </c>
      <c r="H386">
        <v>0.88946298984034833</v>
      </c>
      <c r="I386">
        <v>0.88639333313975432</v>
      </c>
      <c r="J386">
        <v>0.88427105796249106</v>
      </c>
      <c r="K386">
        <v>0.89157223234804661</v>
      </c>
      <c r="L386">
        <v>0.90922067268252671</v>
      </c>
      <c r="M386">
        <v>0.90610187595967684</v>
      </c>
    </row>
    <row r="387" spans="4:19" x14ac:dyDescent="0.25">
      <c r="D387" t="s">
        <v>40</v>
      </c>
      <c r="E387">
        <v>2013</v>
      </c>
      <c r="F387" t="s">
        <v>33</v>
      </c>
      <c r="S387">
        <v>0.26399846117912151</v>
      </c>
    </row>
    <row r="388" spans="4:19" x14ac:dyDescent="0.25">
      <c r="D388" t="s">
        <v>40</v>
      </c>
      <c r="E388">
        <v>2014</v>
      </c>
      <c r="F388" t="s">
        <v>33</v>
      </c>
      <c r="S388">
        <v>0.69777384577401036</v>
      </c>
    </row>
    <row r="389" spans="4:19" x14ac:dyDescent="0.25">
      <c r="D389" t="s">
        <v>40</v>
      </c>
      <c r="E389">
        <v>2015</v>
      </c>
      <c r="F389" t="s">
        <v>33</v>
      </c>
      <c r="S389">
        <v>0.90702099157981508</v>
      </c>
    </row>
    <row r="390" spans="4:19" x14ac:dyDescent="0.25">
      <c r="D390" t="s">
        <v>40</v>
      </c>
      <c r="E390">
        <v>2013</v>
      </c>
      <c r="F390" t="s">
        <v>34</v>
      </c>
      <c r="G390">
        <v>0.11354797321679162</v>
      </c>
      <c r="H390">
        <v>9.8695391688165601E-2</v>
      </c>
      <c r="I390">
        <v>0.29150482636618852</v>
      </c>
      <c r="J390">
        <v>0.5740715173270744</v>
      </c>
      <c r="K390">
        <v>0.46685980159775259</v>
      </c>
      <c r="L390">
        <v>0.35661754579259053</v>
      </c>
      <c r="M390">
        <v>0.51701824770286009</v>
      </c>
      <c r="N390">
        <v>0.40109959555106167</v>
      </c>
      <c r="O390">
        <v>0.4111881063374071</v>
      </c>
      <c r="P390">
        <v>0.46150591097828675</v>
      </c>
      <c r="Q390">
        <v>0.63559822747415062</v>
      </c>
      <c r="R390">
        <v>0.549725442342892</v>
      </c>
    </row>
    <row r="391" spans="4:19" x14ac:dyDescent="0.25">
      <c r="D391" t="s">
        <v>40</v>
      </c>
      <c r="E391">
        <v>2014</v>
      </c>
      <c r="F391" t="s">
        <v>34</v>
      </c>
      <c r="G391">
        <v>0.64810108198387917</v>
      </c>
      <c r="H391">
        <v>0.40583317852498607</v>
      </c>
      <c r="I391">
        <v>0.7331544674547944</v>
      </c>
      <c r="J391">
        <v>0.87290167865707435</v>
      </c>
      <c r="K391">
        <v>0.7528449167685507</v>
      </c>
      <c r="L391">
        <v>0.86736612515042122</v>
      </c>
      <c r="M391">
        <v>0.90645174066299661</v>
      </c>
      <c r="N391">
        <v>0.92606510617105087</v>
      </c>
      <c r="O391">
        <v>0.93053034553315073</v>
      </c>
      <c r="P391">
        <v>0.9331312933815622</v>
      </c>
      <c r="Q391">
        <v>0.89984007024365764</v>
      </c>
      <c r="R391">
        <v>0.90925584610067967</v>
      </c>
    </row>
    <row r="392" spans="4:19" x14ac:dyDescent="0.25">
      <c r="D392" t="s">
        <v>40</v>
      </c>
      <c r="E392">
        <v>2015</v>
      </c>
      <c r="F392" t="s">
        <v>34</v>
      </c>
      <c r="G392">
        <v>0.9220003455680893</v>
      </c>
      <c r="H392">
        <v>0.89098957852992711</v>
      </c>
      <c r="I392">
        <v>0.90002716653083403</v>
      </c>
      <c r="J392">
        <v>0.89181208767822939</v>
      </c>
      <c r="K392">
        <v>0.89921872548712001</v>
      </c>
      <c r="L392">
        <v>0.92724362284415984</v>
      </c>
      <c r="M392">
        <v>0.91926936520464542</v>
      </c>
    </row>
    <row r="393" spans="4:19" x14ac:dyDescent="0.25">
      <c r="D393" t="s">
        <v>41</v>
      </c>
      <c r="E393">
        <v>2013</v>
      </c>
      <c r="F393" t="s">
        <v>17</v>
      </c>
      <c r="S393">
        <v>0.89886676257540188</v>
      </c>
    </row>
    <row r="394" spans="4:19" x14ac:dyDescent="0.25">
      <c r="D394" t="s">
        <v>41</v>
      </c>
      <c r="E394">
        <v>2014</v>
      </c>
      <c r="F394" t="s">
        <v>17</v>
      </c>
      <c r="S394">
        <v>0.8993425411548851</v>
      </c>
    </row>
    <row r="395" spans="4:19" x14ac:dyDescent="0.25">
      <c r="D395" t="s">
        <v>41</v>
      </c>
      <c r="E395">
        <v>2015</v>
      </c>
      <c r="F395" t="s">
        <v>17</v>
      </c>
      <c r="S395">
        <v>0.91507647075453025</v>
      </c>
    </row>
    <row r="396" spans="4:19" x14ac:dyDescent="0.25">
      <c r="D396" t="s">
        <v>41</v>
      </c>
      <c r="E396">
        <v>2013</v>
      </c>
      <c r="F396" t="s">
        <v>18</v>
      </c>
      <c r="G396">
        <v>0.88268156424581001</v>
      </c>
      <c r="H396">
        <v>0.88060979787598492</v>
      </c>
      <c r="I396">
        <v>0.8992193044712562</v>
      </c>
      <c r="J396">
        <v>0.88851170269787383</v>
      </c>
      <c r="K396">
        <v>0.90087022323117671</v>
      </c>
      <c r="L396">
        <v>0.94634340222575519</v>
      </c>
      <c r="M396">
        <v>0.90313075506445673</v>
      </c>
      <c r="N396">
        <v>0.92903225806451617</v>
      </c>
      <c r="O396">
        <v>0.9227703724062114</v>
      </c>
      <c r="P396">
        <v>0.92512224938875309</v>
      </c>
      <c r="Q396">
        <v>0.89795564795564797</v>
      </c>
      <c r="R396">
        <v>0.89416368895695086</v>
      </c>
    </row>
    <row r="397" spans="4:19" x14ac:dyDescent="0.25">
      <c r="D397" t="s">
        <v>41</v>
      </c>
      <c r="E397">
        <v>2014</v>
      </c>
      <c r="F397" t="s">
        <v>18</v>
      </c>
      <c r="G397">
        <v>0.86650310290085153</v>
      </c>
      <c r="H397">
        <v>0.87976629766297665</v>
      </c>
      <c r="I397">
        <v>0.90465832880188513</v>
      </c>
      <c r="J397">
        <v>0.90410958904109584</v>
      </c>
      <c r="K397">
        <v>0.89845094664371772</v>
      </c>
      <c r="L397">
        <v>0.92179116797358651</v>
      </c>
      <c r="M397">
        <v>0.9355077835433655</v>
      </c>
      <c r="N397">
        <v>0.90031291908806432</v>
      </c>
      <c r="O397">
        <v>0.92070895522388063</v>
      </c>
      <c r="P397">
        <v>0.93846384189249887</v>
      </c>
      <c r="Q397">
        <v>0.92354641824606487</v>
      </c>
      <c r="R397">
        <v>0.93319613740699703</v>
      </c>
    </row>
    <row r="398" spans="4:19" x14ac:dyDescent="0.25">
      <c r="D398" t="s">
        <v>41</v>
      </c>
      <c r="E398">
        <v>2015</v>
      </c>
      <c r="F398" t="s">
        <v>18</v>
      </c>
      <c r="G398">
        <v>0.87793353283981734</v>
      </c>
      <c r="H398">
        <v>0.87980493402180149</v>
      </c>
      <c r="I398">
        <v>0.91796575517505752</v>
      </c>
      <c r="J398">
        <v>0.91705140043090183</v>
      </c>
      <c r="K398">
        <v>0.94852135815991234</v>
      </c>
      <c r="L398">
        <v>0.99197080291970807</v>
      </c>
      <c r="M398">
        <v>0.97910182303245885</v>
      </c>
    </row>
    <row r="399" spans="4:19" x14ac:dyDescent="0.25">
      <c r="D399" t="s">
        <v>41</v>
      </c>
      <c r="E399">
        <v>2013</v>
      </c>
      <c r="F399" t="s">
        <v>19</v>
      </c>
      <c r="S399">
        <v>0.97125164642177664</v>
      </c>
    </row>
    <row r="400" spans="4:19" x14ac:dyDescent="0.25">
      <c r="D400" t="s">
        <v>41</v>
      </c>
      <c r="E400">
        <v>2014</v>
      </c>
      <c r="F400" t="s">
        <v>19</v>
      </c>
      <c r="S400">
        <v>0.99764149918994405</v>
      </c>
    </row>
    <row r="401" spans="4:19" x14ac:dyDescent="0.25">
      <c r="D401" t="s">
        <v>41</v>
      </c>
      <c r="E401">
        <v>2015</v>
      </c>
      <c r="F401" t="s">
        <v>19</v>
      </c>
      <c r="S401">
        <v>0.99671909081309018</v>
      </c>
    </row>
    <row r="402" spans="4:19" x14ac:dyDescent="0.25">
      <c r="D402" t="s">
        <v>41</v>
      </c>
      <c r="E402">
        <v>2013</v>
      </c>
      <c r="F402" t="s">
        <v>20</v>
      </c>
      <c r="G402">
        <v>0.97822186475283057</v>
      </c>
      <c r="H402">
        <v>0.97506812336058268</v>
      </c>
      <c r="I402">
        <v>0.89964100262837365</v>
      </c>
      <c r="J402">
        <v>0.98420894826265115</v>
      </c>
      <c r="K402">
        <v>0.97361844923604168</v>
      </c>
      <c r="L402">
        <v>0.99359570661896246</v>
      </c>
      <c r="M402">
        <v>0.99732316134644983</v>
      </c>
      <c r="N402">
        <v>0.94894141266654497</v>
      </c>
      <c r="O402">
        <v>0.97627407445654979</v>
      </c>
      <c r="P402">
        <v>0.99300243284592815</v>
      </c>
      <c r="Q402">
        <v>0.99682302373388154</v>
      </c>
      <c r="R402">
        <v>0.99391185824625172</v>
      </c>
    </row>
    <row r="403" spans="4:19" x14ac:dyDescent="0.25">
      <c r="D403" t="s">
        <v>41</v>
      </c>
      <c r="E403">
        <v>2014</v>
      </c>
      <c r="F403" t="s">
        <v>20</v>
      </c>
      <c r="G403">
        <v>0.99730770198525531</v>
      </c>
      <c r="H403">
        <v>0.99839939468016992</v>
      </c>
      <c r="I403">
        <v>0.99809148556301175</v>
      </c>
      <c r="J403">
        <v>0.99762555295342181</v>
      </c>
      <c r="K403">
        <v>0.99703874024526196</v>
      </c>
      <c r="L403">
        <v>0.99542528510276773</v>
      </c>
      <c r="M403">
        <v>0.99937479531989637</v>
      </c>
      <c r="N403">
        <v>0.968298537203931</v>
      </c>
      <c r="O403">
        <v>0.96367391568460692</v>
      </c>
      <c r="P403">
        <v>0.9899541173629558</v>
      </c>
      <c r="Q403">
        <v>0.99708629469269938</v>
      </c>
      <c r="R403">
        <v>0.99647094926350244</v>
      </c>
    </row>
    <row r="404" spans="4:19" x14ac:dyDescent="0.25">
      <c r="D404" t="s">
        <v>41</v>
      </c>
      <c r="E404">
        <v>2015</v>
      </c>
      <c r="F404" t="s">
        <v>20</v>
      </c>
      <c r="G404">
        <v>0.99722729573311619</v>
      </c>
      <c r="H404">
        <v>0.99823185731857322</v>
      </c>
      <c r="I404">
        <v>0.9977050422227669</v>
      </c>
      <c r="J404">
        <v>0.99525811333445435</v>
      </c>
      <c r="K404">
        <v>0.99497893461072318</v>
      </c>
      <c r="L404">
        <v>0.99646251319957757</v>
      </c>
      <c r="M404">
        <v>0.99641877121994327</v>
      </c>
    </row>
    <row r="405" spans="4:19" x14ac:dyDescent="0.25">
      <c r="D405" t="s">
        <v>41</v>
      </c>
      <c r="E405">
        <v>2013</v>
      </c>
      <c r="F405" t="s">
        <v>21</v>
      </c>
      <c r="S405">
        <v>0.98189833678444993</v>
      </c>
    </row>
    <row r="406" spans="4:19" x14ac:dyDescent="0.25">
      <c r="D406" t="s">
        <v>41</v>
      </c>
      <c r="E406">
        <v>2014</v>
      </c>
      <c r="F406" t="s">
        <v>21</v>
      </c>
      <c r="S406">
        <v>0.99819305504635203</v>
      </c>
    </row>
    <row r="407" spans="4:19" x14ac:dyDescent="0.25">
      <c r="D407" t="s">
        <v>41</v>
      </c>
      <c r="E407">
        <v>2015</v>
      </c>
      <c r="F407" t="s">
        <v>21</v>
      </c>
      <c r="S407">
        <v>0.99755001010305111</v>
      </c>
    </row>
    <row r="408" spans="4:19" x14ac:dyDescent="0.25">
      <c r="D408" t="s">
        <v>41</v>
      </c>
      <c r="E408">
        <v>2013</v>
      </c>
      <c r="F408" t="s">
        <v>22</v>
      </c>
      <c r="G408">
        <v>0.97564306851809701</v>
      </c>
      <c r="H408">
        <v>0.97560171447411803</v>
      </c>
      <c r="I408">
        <v>0.96223224351747461</v>
      </c>
      <c r="J408">
        <v>0.98494055482166443</v>
      </c>
      <c r="K408">
        <v>0.98320268756998885</v>
      </c>
      <c r="L408">
        <v>0.99750346740638007</v>
      </c>
      <c r="M408">
        <v>0.99457068168107787</v>
      </c>
      <c r="N408">
        <v>0.97381731627491819</v>
      </c>
      <c r="O408">
        <v>0.99551166965888693</v>
      </c>
      <c r="P408">
        <v>0.99640763849498959</v>
      </c>
      <c r="Q408">
        <v>0.99490022172949</v>
      </c>
      <c r="R408">
        <v>0.98702664796633943</v>
      </c>
    </row>
    <row r="409" spans="4:19" x14ac:dyDescent="0.25">
      <c r="D409" t="s">
        <v>41</v>
      </c>
      <c r="E409">
        <v>2014</v>
      </c>
      <c r="F409" t="s">
        <v>22</v>
      </c>
      <c r="G409">
        <v>0.99797877716018191</v>
      </c>
      <c r="H409">
        <v>0.9988071570576541</v>
      </c>
      <c r="I409">
        <v>0.99785790789003925</v>
      </c>
      <c r="J409">
        <v>0.99800299550673988</v>
      </c>
      <c r="K409">
        <v>0.99703703703703705</v>
      </c>
      <c r="L409">
        <v>0.99796126401630991</v>
      </c>
      <c r="M409">
        <v>0.99949815991970559</v>
      </c>
      <c r="N409">
        <v>0.99850634802091109</v>
      </c>
      <c r="O409">
        <v>0.99565873914684788</v>
      </c>
      <c r="P409">
        <v>0.99812804193186078</v>
      </c>
      <c r="Q409">
        <v>0.99747952110901072</v>
      </c>
      <c r="R409">
        <v>0.99747832939322301</v>
      </c>
    </row>
    <row r="410" spans="4:19" x14ac:dyDescent="0.25">
      <c r="D410" t="s">
        <v>41</v>
      </c>
      <c r="E410">
        <v>2015</v>
      </c>
      <c r="F410" t="s">
        <v>22</v>
      </c>
      <c r="G410">
        <v>0.99750293772032905</v>
      </c>
      <c r="H410">
        <v>0.99705325194695849</v>
      </c>
      <c r="I410">
        <v>0.99805447470817121</v>
      </c>
      <c r="J410">
        <v>0.99810834049871022</v>
      </c>
      <c r="K410">
        <v>0.99732069249793898</v>
      </c>
      <c r="L410">
        <v>0.9971723220226214</v>
      </c>
      <c r="M410">
        <v>0.99754385964912284</v>
      </c>
    </row>
    <row r="411" spans="4:19" x14ac:dyDescent="0.25">
      <c r="D411" t="s">
        <v>41</v>
      </c>
      <c r="E411">
        <v>2013</v>
      </c>
      <c r="F411" t="s">
        <v>23</v>
      </c>
      <c r="S411">
        <v>77070</v>
      </c>
    </row>
    <row r="412" spans="4:19" x14ac:dyDescent="0.25">
      <c r="D412" t="s">
        <v>41</v>
      </c>
      <c r="E412">
        <v>2014</v>
      </c>
      <c r="F412" t="s">
        <v>23</v>
      </c>
      <c r="S412">
        <v>72191</v>
      </c>
    </row>
    <row r="413" spans="4:19" x14ac:dyDescent="0.25">
      <c r="D413" t="s">
        <v>41</v>
      </c>
      <c r="E413">
        <v>2015</v>
      </c>
      <c r="F413" t="s">
        <v>23</v>
      </c>
      <c r="S413">
        <v>75251</v>
      </c>
    </row>
    <row r="414" spans="4:19" x14ac:dyDescent="0.25">
      <c r="D414" t="s">
        <v>41</v>
      </c>
      <c r="E414">
        <v>2013</v>
      </c>
      <c r="F414" t="s">
        <v>24</v>
      </c>
      <c r="G414">
        <v>15265</v>
      </c>
      <c r="H414">
        <v>14870</v>
      </c>
      <c r="I414">
        <v>10621</v>
      </c>
      <c r="J414">
        <v>10024</v>
      </c>
      <c r="K414">
        <v>9966</v>
      </c>
      <c r="L414">
        <v>8273</v>
      </c>
      <c r="M414">
        <v>8051</v>
      </c>
      <c r="N414">
        <v>8267</v>
      </c>
      <c r="O414">
        <v>10745</v>
      </c>
      <c r="P414">
        <v>10555</v>
      </c>
      <c r="Q414">
        <v>9623</v>
      </c>
      <c r="R414">
        <v>9678</v>
      </c>
    </row>
    <row r="415" spans="4:19" x14ac:dyDescent="0.25">
      <c r="D415" t="s">
        <v>41</v>
      </c>
      <c r="E415">
        <v>2014</v>
      </c>
      <c r="F415" t="s">
        <v>24</v>
      </c>
      <c r="G415">
        <v>11440</v>
      </c>
      <c r="H415">
        <v>12346</v>
      </c>
      <c r="I415">
        <v>10324</v>
      </c>
      <c r="J415">
        <v>9054</v>
      </c>
      <c r="K415">
        <v>9200</v>
      </c>
      <c r="L415">
        <v>9518</v>
      </c>
      <c r="M415">
        <v>10309</v>
      </c>
      <c r="N415">
        <v>9305</v>
      </c>
      <c r="O415">
        <v>14581</v>
      </c>
      <c r="P415">
        <v>11454</v>
      </c>
      <c r="Q415">
        <v>9720</v>
      </c>
      <c r="R415">
        <v>9699</v>
      </c>
    </row>
    <row r="416" spans="4:19" x14ac:dyDescent="0.25">
      <c r="D416" t="s">
        <v>41</v>
      </c>
      <c r="E416">
        <v>2015</v>
      </c>
      <c r="F416" t="s">
        <v>24</v>
      </c>
      <c r="G416">
        <v>10715</v>
      </c>
      <c r="H416">
        <v>11778</v>
      </c>
      <c r="I416">
        <v>12043</v>
      </c>
      <c r="J416">
        <v>10438</v>
      </c>
      <c r="K416">
        <v>8934</v>
      </c>
      <c r="L416">
        <v>10888</v>
      </c>
      <c r="M416">
        <v>10455</v>
      </c>
    </row>
    <row r="417" spans="4:19" x14ac:dyDescent="0.25">
      <c r="D417" t="s">
        <v>41</v>
      </c>
      <c r="E417">
        <v>2013</v>
      </c>
      <c r="F417" t="s">
        <v>25</v>
      </c>
      <c r="S417">
        <v>204910</v>
      </c>
    </row>
    <row r="418" spans="4:19" x14ac:dyDescent="0.25">
      <c r="D418" t="s">
        <v>41</v>
      </c>
      <c r="E418">
        <v>2014</v>
      </c>
      <c r="F418" t="s">
        <v>25</v>
      </c>
      <c r="S418">
        <v>194135</v>
      </c>
    </row>
    <row r="419" spans="4:19" x14ac:dyDescent="0.25">
      <c r="D419" t="s">
        <v>41</v>
      </c>
      <c r="E419">
        <v>2015</v>
      </c>
      <c r="F419" t="s">
        <v>25</v>
      </c>
      <c r="S419">
        <v>215381</v>
      </c>
    </row>
    <row r="420" spans="4:19" x14ac:dyDescent="0.25">
      <c r="D420" t="s">
        <v>41</v>
      </c>
      <c r="E420">
        <v>2013</v>
      </c>
      <c r="F420" t="s">
        <v>26</v>
      </c>
      <c r="G420">
        <v>34844</v>
      </c>
      <c r="H420">
        <v>34096</v>
      </c>
      <c r="I420">
        <v>29095</v>
      </c>
      <c r="J420">
        <v>26767</v>
      </c>
      <c r="K420">
        <v>25884</v>
      </c>
      <c r="L420">
        <v>26138</v>
      </c>
      <c r="M420">
        <v>28086</v>
      </c>
      <c r="N420">
        <v>24441</v>
      </c>
      <c r="O420">
        <v>34780</v>
      </c>
      <c r="P420">
        <v>33539</v>
      </c>
      <c r="Q420">
        <v>35880</v>
      </c>
      <c r="R420">
        <v>36254</v>
      </c>
    </row>
    <row r="421" spans="4:19" x14ac:dyDescent="0.25">
      <c r="D421" t="s">
        <v>41</v>
      </c>
      <c r="E421">
        <v>2014</v>
      </c>
      <c r="F421" t="s">
        <v>26</v>
      </c>
      <c r="G421">
        <v>34942</v>
      </c>
      <c r="H421">
        <v>29458</v>
      </c>
      <c r="I421">
        <v>26986</v>
      </c>
      <c r="J421">
        <v>27030</v>
      </c>
      <c r="K421">
        <v>22758</v>
      </c>
      <c r="L421">
        <v>24656</v>
      </c>
      <c r="M421">
        <v>28305</v>
      </c>
      <c r="N421">
        <v>24849</v>
      </c>
      <c r="O421">
        <v>33789</v>
      </c>
      <c r="P421">
        <v>31839</v>
      </c>
      <c r="Q421">
        <v>40453</v>
      </c>
      <c r="R421">
        <v>35558</v>
      </c>
    </row>
    <row r="422" spans="4:19" x14ac:dyDescent="0.25">
      <c r="D422" t="s">
        <v>41</v>
      </c>
      <c r="E422">
        <v>2015</v>
      </c>
      <c r="F422" t="s">
        <v>26</v>
      </c>
      <c r="G422">
        <v>32925</v>
      </c>
      <c r="H422">
        <v>31238</v>
      </c>
      <c r="I422">
        <v>32547</v>
      </c>
      <c r="J422">
        <v>29856</v>
      </c>
      <c r="K422">
        <v>25731</v>
      </c>
      <c r="L422">
        <v>30684</v>
      </c>
      <c r="M422">
        <v>32400</v>
      </c>
    </row>
    <row r="423" spans="4:19" x14ac:dyDescent="0.25">
      <c r="D423" t="s">
        <v>41</v>
      </c>
      <c r="E423">
        <v>2013</v>
      </c>
      <c r="F423" t="s">
        <v>27</v>
      </c>
      <c r="S423">
        <v>345325</v>
      </c>
    </row>
    <row r="424" spans="4:19" x14ac:dyDescent="0.25">
      <c r="D424" t="s">
        <v>41</v>
      </c>
      <c r="E424">
        <v>2014</v>
      </c>
      <c r="F424" t="s">
        <v>27</v>
      </c>
      <c r="S424">
        <v>323389</v>
      </c>
    </row>
    <row r="425" spans="4:19" x14ac:dyDescent="0.25">
      <c r="D425" t="s">
        <v>41</v>
      </c>
      <c r="E425">
        <v>2015</v>
      </c>
      <c r="F425" t="s">
        <v>27</v>
      </c>
      <c r="S425">
        <v>363642</v>
      </c>
    </row>
    <row r="426" spans="4:19" x14ac:dyDescent="0.25">
      <c r="D426" t="s">
        <v>41</v>
      </c>
      <c r="E426">
        <v>2013</v>
      </c>
      <c r="F426" t="s">
        <v>28</v>
      </c>
      <c r="G426">
        <v>56762</v>
      </c>
      <c r="H426">
        <v>58000</v>
      </c>
      <c r="I426">
        <v>48998</v>
      </c>
      <c r="J426">
        <v>45366</v>
      </c>
      <c r="K426">
        <v>43548</v>
      </c>
      <c r="L426">
        <v>43914</v>
      </c>
      <c r="M426">
        <v>48737</v>
      </c>
      <c r="N426">
        <v>40525</v>
      </c>
      <c r="O426">
        <v>56428</v>
      </c>
      <c r="P426">
        <v>57457</v>
      </c>
      <c r="Q426">
        <v>57035</v>
      </c>
      <c r="R426">
        <v>58157</v>
      </c>
    </row>
    <row r="427" spans="4:19" x14ac:dyDescent="0.25">
      <c r="D427" t="s">
        <v>41</v>
      </c>
      <c r="E427">
        <v>2014</v>
      </c>
      <c r="F427" t="s">
        <v>28</v>
      </c>
      <c r="G427">
        <v>56495</v>
      </c>
      <c r="H427">
        <v>49996</v>
      </c>
      <c r="I427">
        <v>45246</v>
      </c>
      <c r="J427">
        <v>44951</v>
      </c>
      <c r="K427">
        <v>38244</v>
      </c>
      <c r="L427">
        <v>40925</v>
      </c>
      <c r="M427">
        <v>47532</v>
      </c>
      <c r="N427">
        <v>39342</v>
      </c>
      <c r="O427">
        <v>55558</v>
      </c>
      <c r="P427">
        <v>53032</v>
      </c>
      <c r="Q427">
        <v>61922</v>
      </c>
      <c r="R427">
        <v>59621</v>
      </c>
    </row>
    <row r="428" spans="4:19" x14ac:dyDescent="0.25">
      <c r="D428" t="s">
        <v>41</v>
      </c>
      <c r="E428">
        <v>2015</v>
      </c>
      <c r="F428" t="s">
        <v>28</v>
      </c>
      <c r="G428">
        <v>56185</v>
      </c>
      <c r="H428">
        <v>53329</v>
      </c>
      <c r="I428">
        <v>55962</v>
      </c>
      <c r="J428">
        <v>48455</v>
      </c>
      <c r="K428">
        <v>42743</v>
      </c>
      <c r="L428">
        <v>51403</v>
      </c>
      <c r="M428">
        <v>55565</v>
      </c>
    </row>
    <row r="429" spans="4:19" x14ac:dyDescent="0.25">
      <c r="D429" t="s">
        <v>41</v>
      </c>
      <c r="E429">
        <v>2013</v>
      </c>
      <c r="F429" t="s">
        <v>29</v>
      </c>
      <c r="S429">
        <v>39621</v>
      </c>
    </row>
    <row r="430" spans="4:19" x14ac:dyDescent="0.25">
      <c r="D430" t="s">
        <v>41</v>
      </c>
      <c r="E430">
        <v>2014</v>
      </c>
      <c r="F430" t="s">
        <v>29</v>
      </c>
      <c r="S430">
        <v>39242</v>
      </c>
    </row>
    <row r="431" spans="4:19" x14ac:dyDescent="0.25">
      <c r="D431" t="s">
        <v>41</v>
      </c>
      <c r="E431">
        <v>2015</v>
      </c>
      <c r="F431" t="s">
        <v>29</v>
      </c>
      <c r="S431">
        <v>35373</v>
      </c>
    </row>
    <row r="432" spans="4:19" x14ac:dyDescent="0.25">
      <c r="D432" t="s">
        <v>41</v>
      </c>
      <c r="E432">
        <v>2013</v>
      </c>
      <c r="F432" t="s">
        <v>30</v>
      </c>
      <c r="G432">
        <v>6802</v>
      </c>
      <c r="H432">
        <v>5838</v>
      </c>
      <c r="I432">
        <v>5636</v>
      </c>
      <c r="J432">
        <v>5597</v>
      </c>
      <c r="K432">
        <v>5286</v>
      </c>
      <c r="L432">
        <v>5032</v>
      </c>
      <c r="M432">
        <v>5430</v>
      </c>
      <c r="N432">
        <v>4495</v>
      </c>
      <c r="O432">
        <v>7277</v>
      </c>
      <c r="P432">
        <v>6544</v>
      </c>
      <c r="Q432">
        <v>5772</v>
      </c>
      <c r="R432">
        <v>5877</v>
      </c>
    </row>
    <row r="433" spans="4:19" x14ac:dyDescent="0.25">
      <c r="D433" t="s">
        <v>41</v>
      </c>
      <c r="E433">
        <v>2014</v>
      </c>
      <c r="F433" t="s">
        <v>30</v>
      </c>
      <c r="G433">
        <v>6929</v>
      </c>
      <c r="H433">
        <v>6504</v>
      </c>
      <c r="I433">
        <v>5517</v>
      </c>
      <c r="J433">
        <v>5402</v>
      </c>
      <c r="K433">
        <v>4648</v>
      </c>
      <c r="L433">
        <v>4846</v>
      </c>
      <c r="M433">
        <v>5396</v>
      </c>
      <c r="N433">
        <v>4474</v>
      </c>
      <c r="O433">
        <v>7504</v>
      </c>
      <c r="P433">
        <v>6679</v>
      </c>
      <c r="Q433">
        <v>6226</v>
      </c>
      <c r="R433">
        <v>6317</v>
      </c>
    </row>
    <row r="434" spans="4:19" x14ac:dyDescent="0.25">
      <c r="D434" t="s">
        <v>41</v>
      </c>
      <c r="E434">
        <v>2015</v>
      </c>
      <c r="F434" t="s">
        <v>30</v>
      </c>
      <c r="G434">
        <v>6349</v>
      </c>
      <c r="H434">
        <v>6972</v>
      </c>
      <c r="I434">
        <v>7826</v>
      </c>
      <c r="J434">
        <v>6498</v>
      </c>
      <c r="K434">
        <v>2739</v>
      </c>
      <c r="L434">
        <v>2740</v>
      </c>
      <c r="M434">
        <v>2249</v>
      </c>
    </row>
    <row r="435" spans="4:19" x14ac:dyDescent="0.25">
      <c r="D435" t="s">
        <v>41</v>
      </c>
      <c r="E435">
        <v>2013</v>
      </c>
      <c r="F435" t="s">
        <v>31</v>
      </c>
      <c r="S435">
        <v>0.75622161671207988</v>
      </c>
    </row>
    <row r="436" spans="4:19" x14ac:dyDescent="0.25">
      <c r="D436" t="s">
        <v>41</v>
      </c>
      <c r="E436">
        <v>2014</v>
      </c>
      <c r="F436" t="s">
        <v>31</v>
      </c>
      <c r="S436">
        <v>0.94141929049327477</v>
      </c>
    </row>
    <row r="437" spans="4:19" x14ac:dyDescent="0.25">
      <c r="D437" t="s">
        <v>41</v>
      </c>
      <c r="E437">
        <v>2015</v>
      </c>
      <c r="F437" t="s">
        <v>31</v>
      </c>
      <c r="S437">
        <v>0.91476525228900618</v>
      </c>
    </row>
    <row r="438" spans="4:19" x14ac:dyDescent="0.25">
      <c r="D438" t="s">
        <v>41</v>
      </c>
      <c r="E438">
        <v>2013</v>
      </c>
      <c r="F438" t="s">
        <v>32</v>
      </c>
      <c r="G438">
        <v>0.68182115951523092</v>
      </c>
      <c r="H438">
        <v>0.67424344317417617</v>
      </c>
      <c r="I438">
        <v>0.74682233311364277</v>
      </c>
      <c r="J438">
        <v>0.73812849162011174</v>
      </c>
      <c r="K438">
        <v>0.78346377684126034</v>
      </c>
      <c r="L438">
        <v>0.85700471413030344</v>
      </c>
      <c r="M438">
        <v>0.94634206930816045</v>
      </c>
      <c r="N438">
        <v>0.96153380912059994</v>
      </c>
      <c r="O438">
        <v>0.96500697999069329</v>
      </c>
      <c r="P438">
        <v>0.96646139270487919</v>
      </c>
      <c r="Q438">
        <v>0.95541930790813678</v>
      </c>
      <c r="R438">
        <v>0.9417234965902046</v>
      </c>
    </row>
    <row r="439" spans="4:19" x14ac:dyDescent="0.25">
      <c r="D439" t="s">
        <v>41</v>
      </c>
      <c r="E439">
        <v>2014</v>
      </c>
      <c r="F439" t="s">
        <v>32</v>
      </c>
      <c r="G439">
        <v>0.95699300699300704</v>
      </c>
      <c r="H439">
        <v>0.9478373562287381</v>
      </c>
      <c r="I439">
        <v>0.95418442464161179</v>
      </c>
      <c r="J439">
        <v>0.95858184227965537</v>
      </c>
      <c r="K439">
        <v>0.95499999999999996</v>
      </c>
      <c r="L439">
        <v>0.92508930447573023</v>
      </c>
      <c r="M439">
        <v>0.89155107187894078</v>
      </c>
      <c r="N439">
        <v>0.89339065018807096</v>
      </c>
      <c r="O439">
        <v>0.89458884850147458</v>
      </c>
      <c r="P439">
        <v>0.93129037890693211</v>
      </c>
      <c r="Q439">
        <v>0.93446502057613168</v>
      </c>
      <c r="R439">
        <v>0.93927208990617594</v>
      </c>
    </row>
    <row r="440" spans="4:19" x14ac:dyDescent="0.25">
      <c r="D440" t="s">
        <v>41</v>
      </c>
      <c r="E440">
        <v>2015</v>
      </c>
      <c r="F440" t="s">
        <v>32</v>
      </c>
      <c r="G440">
        <v>0.91992533831077927</v>
      </c>
      <c r="H440">
        <v>0.9255391407709288</v>
      </c>
      <c r="I440">
        <v>0.91762849788258738</v>
      </c>
      <c r="J440">
        <v>0.89844797853995018</v>
      </c>
      <c r="K440">
        <v>0.89747033803447507</v>
      </c>
      <c r="L440">
        <v>0.91697281410727405</v>
      </c>
      <c r="M440">
        <v>0.9228120516499283</v>
      </c>
    </row>
    <row r="441" spans="4:19" x14ac:dyDescent="0.25">
      <c r="D441" t="s">
        <v>41</v>
      </c>
      <c r="E441">
        <v>2013</v>
      </c>
      <c r="F441" t="s">
        <v>33</v>
      </c>
      <c r="S441">
        <v>0.83923753155191927</v>
      </c>
    </row>
    <row r="442" spans="4:19" x14ac:dyDescent="0.25">
      <c r="D442" t="s">
        <v>41</v>
      </c>
      <c r="E442">
        <v>2014</v>
      </c>
      <c r="F442" t="s">
        <v>33</v>
      </c>
      <c r="S442">
        <v>0.92600784873349984</v>
      </c>
    </row>
    <row r="443" spans="4:19" x14ac:dyDescent="0.25">
      <c r="D443" t="s">
        <v>41</v>
      </c>
      <c r="E443">
        <v>2015</v>
      </c>
      <c r="F443" t="s">
        <v>33</v>
      </c>
      <c r="S443">
        <v>0.92267131014862414</v>
      </c>
    </row>
    <row r="444" spans="4:19" x14ac:dyDescent="0.25">
      <c r="D444" t="s">
        <v>41</v>
      </c>
      <c r="E444">
        <v>2013</v>
      </c>
      <c r="F444" t="s">
        <v>34</v>
      </c>
      <c r="G444">
        <v>0.79656523743660668</v>
      </c>
      <c r="H444">
        <v>0.76017130620985007</v>
      </c>
      <c r="I444">
        <v>0.85</v>
      </c>
      <c r="J444">
        <v>0.82827938671209544</v>
      </c>
      <c r="K444">
        <v>0.84207109235513711</v>
      </c>
      <c r="L444">
        <v>0.93222604047346314</v>
      </c>
      <c r="M444">
        <v>0.94094869312681506</v>
      </c>
      <c r="N444">
        <v>0.93537898801056696</v>
      </c>
      <c r="O444">
        <v>0.94696007899562706</v>
      </c>
      <c r="P444">
        <v>0.95247684252919851</v>
      </c>
      <c r="Q444">
        <v>0.92871385842472587</v>
      </c>
      <c r="R444">
        <v>0.91152941176470592</v>
      </c>
    </row>
    <row r="445" spans="4:19" x14ac:dyDescent="0.25">
      <c r="D445" t="s">
        <v>41</v>
      </c>
      <c r="E445">
        <v>2014</v>
      </c>
      <c r="F445" t="s">
        <v>34</v>
      </c>
      <c r="G445">
        <v>0.93425975414217</v>
      </c>
      <c r="H445">
        <v>0.91061762664816104</v>
      </c>
      <c r="I445">
        <v>0.92186983812355472</v>
      </c>
      <c r="J445">
        <v>0.93313124108416545</v>
      </c>
      <c r="K445">
        <v>0.92173913043478262</v>
      </c>
      <c r="L445">
        <v>0.91347364633926964</v>
      </c>
      <c r="M445">
        <v>0.95211558307533539</v>
      </c>
      <c r="N445">
        <v>0.92598187311178248</v>
      </c>
      <c r="O445">
        <v>0.8700015681354869</v>
      </c>
      <c r="P445">
        <v>0.96122521246458925</v>
      </c>
      <c r="Q445">
        <v>0.96058394160583938</v>
      </c>
      <c r="R445">
        <v>0.97071540880503149</v>
      </c>
    </row>
    <row r="446" spans="4:19" x14ac:dyDescent="0.25">
      <c r="D446" t="s">
        <v>41</v>
      </c>
      <c r="E446">
        <v>2015</v>
      </c>
      <c r="F446" t="s">
        <v>34</v>
      </c>
      <c r="G446">
        <v>0.93452576304561863</v>
      </c>
      <c r="H446">
        <v>0.94159084238332846</v>
      </c>
      <c r="I446">
        <v>0.91922343560409081</v>
      </c>
      <c r="J446">
        <v>0.87916177046611832</v>
      </c>
      <c r="K446">
        <v>0.8948229997953755</v>
      </c>
      <c r="L446">
        <v>0.92625318606627016</v>
      </c>
      <c r="M446">
        <v>0.94774079433992608</v>
      </c>
    </row>
    <row r="447" spans="4:19" x14ac:dyDescent="0.25">
      <c r="D447" t="s">
        <v>42</v>
      </c>
      <c r="E447">
        <v>2013</v>
      </c>
      <c r="F447" t="s">
        <v>17</v>
      </c>
      <c r="S447">
        <v>0.92295514511873356</v>
      </c>
    </row>
    <row r="448" spans="4:19" x14ac:dyDescent="0.25">
      <c r="D448" t="s">
        <v>42</v>
      </c>
      <c r="E448">
        <v>2014</v>
      </c>
      <c r="F448" t="s">
        <v>17</v>
      </c>
      <c r="S448">
        <v>0.88035638523546877</v>
      </c>
    </row>
    <row r="449" spans="4:19" x14ac:dyDescent="0.25">
      <c r="D449" t="s">
        <v>42</v>
      </c>
      <c r="E449">
        <v>2015</v>
      </c>
      <c r="F449" t="s">
        <v>17</v>
      </c>
      <c r="S449">
        <v>0.87062081791901669</v>
      </c>
    </row>
    <row r="450" spans="4:19" x14ac:dyDescent="0.25">
      <c r="D450" t="s">
        <v>42</v>
      </c>
      <c r="E450">
        <v>2013</v>
      </c>
      <c r="F450" t="s">
        <v>18</v>
      </c>
      <c r="G450">
        <v>0.89716951129015154</v>
      </c>
      <c r="H450">
        <v>0.88821458914916862</v>
      </c>
      <c r="I450">
        <v>0.91848981122640327</v>
      </c>
      <c r="J450">
        <v>0.91596424010217115</v>
      </c>
      <c r="K450">
        <v>0.92992918374953415</v>
      </c>
      <c r="L450">
        <v>0.96054649379618007</v>
      </c>
      <c r="M450">
        <v>0.95914851728805217</v>
      </c>
      <c r="N450">
        <v>0.94293636894337418</v>
      </c>
      <c r="O450">
        <v>0.91272415108737126</v>
      </c>
      <c r="P450">
        <v>0.93858534519271497</v>
      </c>
      <c r="Q450">
        <v>0.91582608695652179</v>
      </c>
      <c r="R450">
        <v>0.91344823248207319</v>
      </c>
    </row>
    <row r="451" spans="4:19" x14ac:dyDescent="0.25">
      <c r="D451" t="s">
        <v>42</v>
      </c>
      <c r="E451">
        <v>2014</v>
      </c>
      <c r="F451" t="s">
        <v>18</v>
      </c>
      <c r="G451">
        <v>0.84331550802139033</v>
      </c>
      <c r="H451">
        <v>0.88378223495702002</v>
      </c>
      <c r="I451">
        <v>0.88672782874617739</v>
      </c>
      <c r="J451">
        <v>0.89683057258380072</v>
      </c>
      <c r="K451">
        <v>0.83140040591475795</v>
      </c>
      <c r="L451">
        <v>0.89223434951699909</v>
      </c>
      <c r="M451">
        <v>0.92932408121305576</v>
      </c>
      <c r="N451">
        <v>0.88443713559575421</v>
      </c>
      <c r="O451">
        <v>0.85523249924019851</v>
      </c>
      <c r="P451">
        <v>0.89902026274771762</v>
      </c>
      <c r="Q451">
        <v>0.87669773635153125</v>
      </c>
      <c r="R451">
        <v>0.8365464059487745</v>
      </c>
    </row>
    <row r="452" spans="4:19" x14ac:dyDescent="0.25">
      <c r="D452" t="s">
        <v>42</v>
      </c>
      <c r="E452">
        <v>2015</v>
      </c>
      <c r="F452" t="s">
        <v>18</v>
      </c>
      <c r="G452">
        <v>0.88062598568482353</v>
      </c>
      <c r="H452">
        <v>0.82383022244950144</v>
      </c>
      <c r="I452">
        <v>0.90023177412557942</v>
      </c>
      <c r="J452">
        <v>0.90736377025036818</v>
      </c>
      <c r="K452">
        <v>0.89750903213538691</v>
      </c>
      <c r="L452">
        <v>0.82040669425949253</v>
      </c>
      <c r="M452">
        <v>0.85326776649746194</v>
      </c>
    </row>
    <row r="453" spans="4:19" x14ac:dyDescent="0.25">
      <c r="D453" t="s">
        <v>42</v>
      </c>
      <c r="E453">
        <v>2013</v>
      </c>
      <c r="F453" t="s">
        <v>19</v>
      </c>
      <c r="S453">
        <v>0.96261948058003455</v>
      </c>
    </row>
    <row r="454" spans="4:19" x14ac:dyDescent="0.25">
      <c r="D454" t="s">
        <v>42</v>
      </c>
      <c r="E454">
        <v>2014</v>
      </c>
      <c r="F454" t="s">
        <v>19</v>
      </c>
      <c r="S454">
        <v>0.92715621656238445</v>
      </c>
    </row>
    <row r="455" spans="4:19" x14ac:dyDescent="0.25">
      <c r="D455" t="s">
        <v>42</v>
      </c>
      <c r="E455">
        <v>2015</v>
      </c>
      <c r="F455" t="s">
        <v>19</v>
      </c>
      <c r="S455">
        <v>0.82096832957750276</v>
      </c>
    </row>
    <row r="456" spans="4:19" x14ac:dyDescent="0.25">
      <c r="D456" t="s">
        <v>42</v>
      </c>
      <c r="E456">
        <v>2013</v>
      </c>
      <c r="F456" t="s">
        <v>20</v>
      </c>
      <c r="G456">
        <v>0.91399194532584815</v>
      </c>
      <c r="H456">
        <v>0.91822563257023271</v>
      </c>
      <c r="I456">
        <v>0.95292842954312884</v>
      </c>
      <c r="J456">
        <v>0.97870435982545778</v>
      </c>
      <c r="K456">
        <v>0.98807745083091936</v>
      </c>
      <c r="L456">
        <v>0.99811432374473119</v>
      </c>
      <c r="M456">
        <v>0.99861276258422516</v>
      </c>
      <c r="N456">
        <v>0.99772139695894135</v>
      </c>
      <c r="O456">
        <v>0.9933115932383868</v>
      </c>
      <c r="P456">
        <v>0.98423887587822012</v>
      </c>
      <c r="Q456">
        <v>0.98334701837216465</v>
      </c>
      <c r="R456">
        <v>0.97550938759180406</v>
      </c>
    </row>
    <row r="457" spans="4:19" x14ac:dyDescent="0.25">
      <c r="D457" t="s">
        <v>42</v>
      </c>
      <c r="E457">
        <v>2014</v>
      </c>
      <c r="F457" t="s">
        <v>20</v>
      </c>
      <c r="G457">
        <v>0.99654998921871629</v>
      </c>
      <c r="H457">
        <v>0.99611988978237642</v>
      </c>
      <c r="I457">
        <v>0.79599867724867723</v>
      </c>
      <c r="J457">
        <v>0.76768682093389728</v>
      </c>
      <c r="K457">
        <v>0.91534488156109772</v>
      </c>
      <c r="L457">
        <v>0.99591379623463894</v>
      </c>
      <c r="M457">
        <v>0.9978245903896461</v>
      </c>
      <c r="N457">
        <v>0.95152227054827132</v>
      </c>
      <c r="O457">
        <v>0.92534886871697597</v>
      </c>
      <c r="P457">
        <v>0.97952442191794642</v>
      </c>
      <c r="Q457">
        <v>0.93829812987956185</v>
      </c>
      <c r="R457">
        <v>0.86909042482354504</v>
      </c>
    </row>
    <row r="458" spans="4:19" x14ac:dyDescent="0.25">
      <c r="D458" t="s">
        <v>42</v>
      </c>
      <c r="E458">
        <v>2015</v>
      </c>
      <c r="F458" t="s">
        <v>20</v>
      </c>
      <c r="G458">
        <v>0.75001107027409997</v>
      </c>
      <c r="H458">
        <v>0.84421798440339535</v>
      </c>
      <c r="I458">
        <v>0.80745291407323583</v>
      </c>
      <c r="J458">
        <v>0.84248971193415634</v>
      </c>
      <c r="K458">
        <v>0.77134821375142126</v>
      </c>
      <c r="L458">
        <v>0.80899812043491703</v>
      </c>
      <c r="M458">
        <v>0.91620048210306093</v>
      </c>
    </row>
    <row r="459" spans="4:19" x14ac:dyDescent="0.25">
      <c r="D459" t="s">
        <v>42</v>
      </c>
      <c r="E459">
        <v>2013</v>
      </c>
      <c r="F459" t="s">
        <v>21</v>
      </c>
      <c r="S459">
        <v>0.96023416486472235</v>
      </c>
    </row>
    <row r="460" spans="4:19" x14ac:dyDescent="0.25">
      <c r="D460" t="s">
        <v>42</v>
      </c>
      <c r="E460">
        <v>2014</v>
      </c>
      <c r="F460" t="s">
        <v>21</v>
      </c>
      <c r="S460">
        <v>0.95869605058187479</v>
      </c>
    </row>
    <row r="461" spans="4:19" x14ac:dyDescent="0.25">
      <c r="D461" t="s">
        <v>42</v>
      </c>
      <c r="E461">
        <v>2015</v>
      </c>
      <c r="F461" t="s">
        <v>21</v>
      </c>
      <c r="S461">
        <v>0.89473579460642849</v>
      </c>
    </row>
    <row r="462" spans="4:19" x14ac:dyDescent="0.25">
      <c r="D462" t="s">
        <v>42</v>
      </c>
      <c r="E462">
        <v>2013</v>
      </c>
      <c r="F462" t="s">
        <v>22</v>
      </c>
      <c r="G462">
        <v>0.94402224281742353</v>
      </c>
      <c r="H462">
        <v>0.83615489394823894</v>
      </c>
      <c r="I462">
        <v>0.97483568075117366</v>
      </c>
      <c r="J462">
        <v>0.97334878331402086</v>
      </c>
      <c r="K462">
        <v>0.98530428769017986</v>
      </c>
      <c r="L462">
        <v>0.99920461324318954</v>
      </c>
      <c r="M462">
        <v>0.99950592885375489</v>
      </c>
      <c r="N462">
        <v>0.97576675501703902</v>
      </c>
      <c r="O462">
        <v>0.9769116712560898</v>
      </c>
      <c r="P462">
        <v>0.95068844060198532</v>
      </c>
      <c r="Q462">
        <v>0.91494368801479242</v>
      </c>
      <c r="R462">
        <v>0.93591747421069083</v>
      </c>
    </row>
    <row r="463" spans="4:19" x14ac:dyDescent="0.25">
      <c r="D463" t="s">
        <v>42</v>
      </c>
      <c r="E463">
        <v>2014</v>
      </c>
      <c r="F463" t="s">
        <v>22</v>
      </c>
      <c r="G463">
        <v>0.98073857598299685</v>
      </c>
      <c r="H463">
        <v>0.98756476683937822</v>
      </c>
      <c r="I463">
        <v>0.98827561327561331</v>
      </c>
      <c r="J463">
        <v>0.90095746350651384</v>
      </c>
      <c r="K463">
        <v>0.89543269230769229</v>
      </c>
      <c r="L463">
        <v>0.99336139896373055</v>
      </c>
      <c r="M463">
        <v>0.96261099859791244</v>
      </c>
      <c r="N463">
        <v>0.94263303598892645</v>
      </c>
      <c r="O463">
        <v>0.89388696655132638</v>
      </c>
      <c r="P463">
        <v>0.95926032938457095</v>
      </c>
      <c r="Q463">
        <v>0.87855113636363635</v>
      </c>
      <c r="R463">
        <v>0.83193163320672814</v>
      </c>
    </row>
    <row r="464" spans="4:19" x14ac:dyDescent="0.25">
      <c r="D464" t="s">
        <v>42</v>
      </c>
      <c r="E464">
        <v>2015</v>
      </c>
      <c r="F464" t="s">
        <v>22</v>
      </c>
      <c r="G464">
        <v>0.84855769230769229</v>
      </c>
      <c r="H464">
        <v>0.93604735094557534</v>
      </c>
      <c r="I464">
        <v>0.80306765269789104</v>
      </c>
      <c r="J464">
        <v>0.88103540772532185</v>
      </c>
      <c r="K464">
        <v>0.94472029129427337</v>
      </c>
      <c r="L464">
        <v>0.9471495640509725</v>
      </c>
      <c r="M464">
        <v>0.91300330033003296</v>
      </c>
    </row>
    <row r="465" spans="4:19" x14ac:dyDescent="0.25">
      <c r="D465" t="s">
        <v>42</v>
      </c>
      <c r="E465">
        <v>2013</v>
      </c>
      <c r="F465" t="s">
        <v>23</v>
      </c>
      <c r="S465">
        <v>60450</v>
      </c>
    </row>
    <row r="466" spans="4:19" x14ac:dyDescent="0.25">
      <c r="D466" t="s">
        <v>42</v>
      </c>
      <c r="E466">
        <v>2014</v>
      </c>
      <c r="F466" t="s">
        <v>23</v>
      </c>
      <c r="S466">
        <v>64690</v>
      </c>
    </row>
    <row r="467" spans="4:19" x14ac:dyDescent="0.25">
      <c r="D467" t="s">
        <v>42</v>
      </c>
      <c r="E467">
        <v>2015</v>
      </c>
      <c r="F467" t="s">
        <v>23</v>
      </c>
      <c r="S467">
        <v>65590</v>
      </c>
    </row>
    <row r="468" spans="4:19" x14ac:dyDescent="0.25">
      <c r="D468" t="s">
        <v>42</v>
      </c>
      <c r="E468">
        <v>2013</v>
      </c>
      <c r="F468" t="s">
        <v>24</v>
      </c>
      <c r="G468">
        <v>10019</v>
      </c>
      <c r="H468">
        <v>10729</v>
      </c>
      <c r="I468">
        <v>9203</v>
      </c>
      <c r="J468">
        <v>7538</v>
      </c>
      <c r="K468">
        <v>7874</v>
      </c>
      <c r="L468">
        <v>7137</v>
      </c>
      <c r="M468">
        <v>7950</v>
      </c>
      <c r="N468">
        <v>7842</v>
      </c>
      <c r="O468">
        <v>9504</v>
      </c>
      <c r="P468">
        <v>9426</v>
      </c>
      <c r="Q468">
        <v>7814</v>
      </c>
      <c r="R468">
        <v>9247</v>
      </c>
    </row>
    <row r="469" spans="4:19" x14ac:dyDescent="0.25">
      <c r="D469" t="s">
        <v>42</v>
      </c>
      <c r="E469">
        <v>2014</v>
      </c>
      <c r="F469" t="s">
        <v>24</v>
      </c>
      <c r="G469">
        <v>10168</v>
      </c>
      <c r="H469">
        <v>10030</v>
      </c>
      <c r="I469">
        <v>8800</v>
      </c>
      <c r="J469">
        <v>8633</v>
      </c>
      <c r="K469">
        <v>8251</v>
      </c>
      <c r="L469">
        <v>9029</v>
      </c>
      <c r="M469">
        <v>9779</v>
      </c>
      <c r="N469">
        <v>9153</v>
      </c>
      <c r="O469">
        <v>13310</v>
      </c>
      <c r="P469">
        <v>9979</v>
      </c>
      <c r="Q469">
        <v>9087</v>
      </c>
      <c r="R469">
        <v>9864</v>
      </c>
    </row>
    <row r="470" spans="4:19" x14ac:dyDescent="0.25">
      <c r="D470" t="s">
        <v>42</v>
      </c>
      <c r="E470">
        <v>2015</v>
      </c>
      <c r="F470" t="s">
        <v>24</v>
      </c>
      <c r="G470">
        <v>9832</v>
      </c>
      <c r="H470">
        <v>10099</v>
      </c>
      <c r="I470">
        <v>9729</v>
      </c>
      <c r="J470">
        <v>8698</v>
      </c>
      <c r="K470">
        <v>7718</v>
      </c>
      <c r="L470">
        <v>9355</v>
      </c>
      <c r="M470">
        <v>10159</v>
      </c>
    </row>
    <row r="471" spans="4:19" x14ac:dyDescent="0.25">
      <c r="D471" t="s">
        <v>42</v>
      </c>
      <c r="E471">
        <v>2013</v>
      </c>
      <c r="F471" t="s">
        <v>25</v>
      </c>
      <c r="S471">
        <v>209942</v>
      </c>
    </row>
    <row r="472" spans="4:19" x14ac:dyDescent="0.25">
      <c r="D472" t="s">
        <v>42</v>
      </c>
      <c r="E472">
        <v>2014</v>
      </c>
      <c r="F472" t="s">
        <v>25</v>
      </c>
      <c r="S472">
        <v>212741</v>
      </c>
    </row>
    <row r="473" spans="4:19" x14ac:dyDescent="0.25">
      <c r="D473" t="s">
        <v>42</v>
      </c>
      <c r="E473">
        <v>2015</v>
      </c>
      <c r="F473" t="s">
        <v>25</v>
      </c>
      <c r="S473">
        <v>230814</v>
      </c>
    </row>
    <row r="474" spans="4:19" x14ac:dyDescent="0.25">
      <c r="D474" t="s">
        <v>42</v>
      </c>
      <c r="E474">
        <v>2013</v>
      </c>
      <c r="F474" t="s">
        <v>26</v>
      </c>
      <c r="G474">
        <v>33375</v>
      </c>
      <c r="H474">
        <v>28996</v>
      </c>
      <c r="I474">
        <v>30893</v>
      </c>
      <c r="J474">
        <v>27994</v>
      </c>
      <c r="K474">
        <v>30229</v>
      </c>
      <c r="L474">
        <v>27093</v>
      </c>
      <c r="M474">
        <v>31362</v>
      </c>
      <c r="N474">
        <v>27656</v>
      </c>
      <c r="O474">
        <v>37487</v>
      </c>
      <c r="P474">
        <v>38997</v>
      </c>
      <c r="Q474">
        <v>39600</v>
      </c>
      <c r="R474">
        <v>39684</v>
      </c>
    </row>
    <row r="475" spans="4:19" x14ac:dyDescent="0.25">
      <c r="D475" t="s">
        <v>42</v>
      </c>
      <c r="E475">
        <v>2014</v>
      </c>
      <c r="F475" t="s">
        <v>26</v>
      </c>
      <c r="G475">
        <v>36185</v>
      </c>
      <c r="H475">
        <v>30877</v>
      </c>
      <c r="I475">
        <v>28224</v>
      </c>
      <c r="J475">
        <v>29222</v>
      </c>
      <c r="K475">
        <v>28695</v>
      </c>
      <c r="L475">
        <v>28559</v>
      </c>
      <c r="M475">
        <v>30979</v>
      </c>
      <c r="N475">
        <v>30907</v>
      </c>
      <c r="O475">
        <v>37064</v>
      </c>
      <c r="P475">
        <v>36723</v>
      </c>
      <c r="Q475">
        <v>38053</v>
      </c>
      <c r="R475">
        <v>37115</v>
      </c>
    </row>
    <row r="476" spans="4:19" x14ac:dyDescent="0.25">
      <c r="D476" t="s">
        <v>42</v>
      </c>
      <c r="E476">
        <v>2015</v>
      </c>
      <c r="F476" t="s">
        <v>26</v>
      </c>
      <c r="G476">
        <v>32733</v>
      </c>
      <c r="H476">
        <v>32294</v>
      </c>
      <c r="I476">
        <v>35269</v>
      </c>
      <c r="J476">
        <v>32464</v>
      </c>
      <c r="K476">
        <v>28104</v>
      </c>
      <c r="L476">
        <v>33140</v>
      </c>
      <c r="M476">
        <v>36810</v>
      </c>
    </row>
    <row r="477" spans="4:19" x14ac:dyDescent="0.25">
      <c r="D477" t="s">
        <v>42</v>
      </c>
      <c r="E477">
        <v>2013</v>
      </c>
      <c r="F477" t="s">
        <v>27</v>
      </c>
      <c r="S477">
        <v>369015</v>
      </c>
    </row>
    <row r="478" spans="4:19" x14ac:dyDescent="0.25">
      <c r="D478" t="s">
        <v>42</v>
      </c>
      <c r="E478">
        <v>2014</v>
      </c>
      <c r="F478" t="s">
        <v>27</v>
      </c>
      <c r="S478">
        <v>362768</v>
      </c>
    </row>
    <row r="479" spans="4:19" x14ac:dyDescent="0.25">
      <c r="D479" t="s">
        <v>42</v>
      </c>
      <c r="E479">
        <v>2015</v>
      </c>
      <c r="F479" t="s">
        <v>27</v>
      </c>
      <c r="S479">
        <v>391882</v>
      </c>
    </row>
    <row r="480" spans="4:19" x14ac:dyDescent="0.25">
      <c r="D480" t="s">
        <v>42</v>
      </c>
      <c r="E480">
        <v>2013</v>
      </c>
      <c r="F480" t="s">
        <v>28</v>
      </c>
      <c r="G480">
        <v>56972</v>
      </c>
      <c r="H480">
        <v>52006</v>
      </c>
      <c r="I480">
        <v>55818</v>
      </c>
      <c r="J480">
        <v>49340</v>
      </c>
      <c r="K480">
        <v>53342</v>
      </c>
      <c r="L480">
        <v>47093</v>
      </c>
      <c r="M480">
        <v>54444</v>
      </c>
      <c r="N480">
        <v>48589</v>
      </c>
      <c r="O480">
        <v>61130</v>
      </c>
      <c r="P480">
        <v>67849</v>
      </c>
      <c r="Q480">
        <v>69722</v>
      </c>
      <c r="R480">
        <v>71745</v>
      </c>
    </row>
    <row r="481" spans="4:19" x14ac:dyDescent="0.25">
      <c r="D481" t="s">
        <v>42</v>
      </c>
      <c r="E481">
        <v>2014</v>
      </c>
      <c r="F481" t="s">
        <v>28</v>
      </c>
      <c r="G481">
        <v>59031</v>
      </c>
      <c r="H481">
        <v>53220</v>
      </c>
      <c r="I481">
        <v>49515</v>
      </c>
      <c r="J481">
        <v>50739</v>
      </c>
      <c r="K481">
        <v>50245</v>
      </c>
      <c r="L481">
        <v>48288</v>
      </c>
      <c r="M481">
        <v>51730</v>
      </c>
      <c r="N481">
        <v>52283</v>
      </c>
      <c r="O481">
        <v>64647</v>
      </c>
      <c r="P481">
        <v>63961</v>
      </c>
      <c r="Q481">
        <v>66675</v>
      </c>
      <c r="R481">
        <v>64522</v>
      </c>
    </row>
    <row r="482" spans="4:19" x14ac:dyDescent="0.25">
      <c r="D482" t="s">
        <v>42</v>
      </c>
      <c r="E482">
        <v>2015</v>
      </c>
      <c r="F482" t="s">
        <v>28</v>
      </c>
      <c r="G482">
        <v>53333</v>
      </c>
      <c r="H482">
        <v>57322</v>
      </c>
      <c r="I482">
        <v>63451</v>
      </c>
      <c r="J482">
        <v>55169</v>
      </c>
      <c r="K482">
        <v>47203</v>
      </c>
      <c r="L482">
        <v>54723</v>
      </c>
      <c r="M482">
        <v>60681</v>
      </c>
    </row>
    <row r="483" spans="4:19" x14ac:dyDescent="0.25">
      <c r="D483" t="s">
        <v>42</v>
      </c>
      <c r="E483">
        <v>2013</v>
      </c>
      <c r="F483" t="s">
        <v>29</v>
      </c>
      <c r="S483">
        <v>56850</v>
      </c>
    </row>
    <row r="484" spans="4:19" x14ac:dyDescent="0.25">
      <c r="D484" t="s">
        <v>42</v>
      </c>
      <c r="E484">
        <v>2014</v>
      </c>
      <c r="F484" t="s">
        <v>29</v>
      </c>
      <c r="S484">
        <v>56568</v>
      </c>
    </row>
    <row r="485" spans="4:19" x14ac:dyDescent="0.25">
      <c r="D485" t="s">
        <v>42</v>
      </c>
      <c r="E485">
        <v>2015</v>
      </c>
      <c r="F485" t="s">
        <v>29</v>
      </c>
      <c r="S485">
        <v>49467</v>
      </c>
    </row>
    <row r="486" spans="4:19" x14ac:dyDescent="0.25">
      <c r="D486" t="s">
        <v>42</v>
      </c>
      <c r="E486">
        <v>2013</v>
      </c>
      <c r="F486" t="s">
        <v>30</v>
      </c>
      <c r="G486">
        <v>9433</v>
      </c>
      <c r="H486">
        <v>8239</v>
      </c>
      <c r="I486">
        <v>7999</v>
      </c>
      <c r="J486">
        <v>7830</v>
      </c>
      <c r="K486">
        <v>8049</v>
      </c>
      <c r="L486">
        <v>7173</v>
      </c>
      <c r="M486">
        <v>8127</v>
      </c>
      <c r="N486">
        <v>6852</v>
      </c>
      <c r="O486">
        <v>10484</v>
      </c>
      <c r="P486">
        <v>9444</v>
      </c>
      <c r="Q486">
        <v>8625</v>
      </c>
      <c r="R486">
        <v>7949</v>
      </c>
    </row>
    <row r="487" spans="4:19" x14ac:dyDescent="0.25">
      <c r="D487" t="s">
        <v>42</v>
      </c>
      <c r="E487">
        <v>2014</v>
      </c>
      <c r="F487" t="s">
        <v>30</v>
      </c>
      <c r="G487">
        <v>9350</v>
      </c>
      <c r="H487">
        <v>8725</v>
      </c>
      <c r="I487">
        <v>8175</v>
      </c>
      <c r="J487">
        <v>7667</v>
      </c>
      <c r="K487">
        <v>6898</v>
      </c>
      <c r="L487">
        <v>7971</v>
      </c>
      <c r="M487">
        <v>7782</v>
      </c>
      <c r="N487">
        <v>6689</v>
      </c>
      <c r="O487">
        <v>9871</v>
      </c>
      <c r="P487">
        <v>8982</v>
      </c>
      <c r="Q487">
        <v>7510</v>
      </c>
      <c r="R487">
        <v>7262</v>
      </c>
    </row>
    <row r="488" spans="4:19" x14ac:dyDescent="0.25">
      <c r="D488" t="s">
        <v>42</v>
      </c>
      <c r="E488">
        <v>2015</v>
      </c>
      <c r="F488" t="s">
        <v>30</v>
      </c>
      <c r="G488">
        <v>8243</v>
      </c>
      <c r="H488">
        <v>7822</v>
      </c>
      <c r="I488">
        <v>9492</v>
      </c>
      <c r="J488">
        <v>6790</v>
      </c>
      <c r="K488">
        <v>5259</v>
      </c>
      <c r="L488">
        <v>5557</v>
      </c>
      <c r="M488">
        <v>6304</v>
      </c>
    </row>
    <row r="489" spans="4:19" x14ac:dyDescent="0.25">
      <c r="D489" t="s">
        <v>42</v>
      </c>
      <c r="E489">
        <v>2013</v>
      </c>
      <c r="F489" t="s">
        <v>31</v>
      </c>
      <c r="S489">
        <v>0.88919768403639377</v>
      </c>
    </row>
    <row r="490" spans="4:19" x14ac:dyDescent="0.25">
      <c r="D490" t="s">
        <v>42</v>
      </c>
      <c r="E490">
        <v>2014</v>
      </c>
      <c r="F490" t="s">
        <v>31</v>
      </c>
      <c r="S490">
        <v>0.91514917297882203</v>
      </c>
    </row>
    <row r="491" spans="4:19" x14ac:dyDescent="0.25">
      <c r="D491" t="s">
        <v>42</v>
      </c>
      <c r="E491">
        <v>2015</v>
      </c>
      <c r="F491" t="s">
        <v>31</v>
      </c>
      <c r="S491">
        <v>0.88765055648726943</v>
      </c>
    </row>
    <row r="492" spans="4:19" x14ac:dyDescent="0.25">
      <c r="D492" t="s">
        <v>42</v>
      </c>
      <c r="E492">
        <v>2013</v>
      </c>
      <c r="F492" t="s">
        <v>32</v>
      </c>
      <c r="G492">
        <v>0.88990917257211299</v>
      </c>
      <c r="H492">
        <v>0.84229657936433966</v>
      </c>
      <c r="I492">
        <v>0.8728675431924372</v>
      </c>
      <c r="J492">
        <v>0.91788272751392941</v>
      </c>
      <c r="K492">
        <v>0.8845567691135382</v>
      </c>
      <c r="L492">
        <v>0.87753958245761521</v>
      </c>
      <c r="M492">
        <v>0.95836477987421387</v>
      </c>
      <c r="N492">
        <v>0.95358326957408823</v>
      </c>
      <c r="O492">
        <v>0.90477693602693599</v>
      </c>
      <c r="P492">
        <v>0.95480585614258429</v>
      </c>
      <c r="Q492">
        <v>0.94305093422062969</v>
      </c>
      <c r="R492">
        <v>0.94084567967989619</v>
      </c>
    </row>
    <row r="493" spans="4:19" x14ac:dyDescent="0.25">
      <c r="D493" t="s">
        <v>42</v>
      </c>
      <c r="E493">
        <v>2014</v>
      </c>
      <c r="F493" t="s">
        <v>32</v>
      </c>
      <c r="G493">
        <v>0.92899291896144764</v>
      </c>
      <c r="H493">
        <v>0.94057826520438681</v>
      </c>
      <c r="I493">
        <v>0.94806818181818187</v>
      </c>
      <c r="J493">
        <v>0.93675431483841076</v>
      </c>
      <c r="K493">
        <v>0.93370500545388435</v>
      </c>
      <c r="L493">
        <v>0.83984937423856465</v>
      </c>
      <c r="M493">
        <v>0.87984456488393492</v>
      </c>
      <c r="N493">
        <v>0.90669725772970611</v>
      </c>
      <c r="O493">
        <v>0.90743801652892564</v>
      </c>
      <c r="P493">
        <v>0.90670407856498647</v>
      </c>
      <c r="Q493">
        <v>0.89479476174755146</v>
      </c>
      <c r="R493">
        <v>0.92670316301703159</v>
      </c>
    </row>
    <row r="494" spans="4:19" x14ac:dyDescent="0.25">
      <c r="D494" t="s">
        <v>42</v>
      </c>
      <c r="E494">
        <v>2015</v>
      </c>
      <c r="F494" t="s">
        <v>32</v>
      </c>
      <c r="G494">
        <v>0.91171684296175748</v>
      </c>
      <c r="H494">
        <v>0.88810773343895433</v>
      </c>
      <c r="I494">
        <v>0.88446911296124986</v>
      </c>
      <c r="J494">
        <v>0.89480340308116812</v>
      </c>
      <c r="K494">
        <v>0.90450894013993266</v>
      </c>
      <c r="L494">
        <v>0.88626402993051845</v>
      </c>
      <c r="M494">
        <v>0.84929619056993799</v>
      </c>
    </row>
    <row r="495" spans="4:19" x14ac:dyDescent="0.25">
      <c r="D495" t="s">
        <v>42</v>
      </c>
      <c r="E495">
        <v>2013</v>
      </c>
      <c r="F495" t="s">
        <v>33</v>
      </c>
      <c r="S495">
        <v>0.91167268351383879</v>
      </c>
    </row>
    <row r="496" spans="4:19" x14ac:dyDescent="0.25">
      <c r="D496" t="s">
        <v>42</v>
      </c>
      <c r="E496">
        <v>2014</v>
      </c>
      <c r="F496" t="s">
        <v>33</v>
      </c>
      <c r="S496">
        <v>0.90887616504480451</v>
      </c>
    </row>
    <row r="497" spans="4:19" x14ac:dyDescent="0.25">
      <c r="D497" t="s">
        <v>42</v>
      </c>
      <c r="E497">
        <v>2015</v>
      </c>
      <c r="F497" t="s">
        <v>33</v>
      </c>
      <c r="S497">
        <v>0.89581632653061227</v>
      </c>
    </row>
    <row r="498" spans="4:19" x14ac:dyDescent="0.25">
      <c r="D498" t="s">
        <v>42</v>
      </c>
      <c r="E498">
        <v>2013</v>
      </c>
      <c r="F498" t="s">
        <v>34</v>
      </c>
      <c r="G498">
        <v>0.92212848799480862</v>
      </c>
      <c r="H498">
        <v>0.8493854053213008</v>
      </c>
      <c r="I498">
        <v>0.90143435086428836</v>
      </c>
      <c r="J498">
        <v>0.94873914840843321</v>
      </c>
      <c r="K498">
        <v>0.9094616639477977</v>
      </c>
      <c r="L498">
        <v>0.9111592632719393</v>
      </c>
      <c r="M498">
        <v>0.95667797963665402</v>
      </c>
      <c r="N498">
        <v>0.92271762208067942</v>
      </c>
      <c r="O498">
        <v>0.85443139778027988</v>
      </c>
      <c r="P498">
        <v>0.9301982631492709</v>
      </c>
      <c r="Q498">
        <v>0.9099372596640356</v>
      </c>
      <c r="R498">
        <v>0.9027728403839318</v>
      </c>
    </row>
    <row r="499" spans="4:19" x14ac:dyDescent="0.25">
      <c r="D499" t="s">
        <v>42</v>
      </c>
      <c r="E499">
        <v>2014</v>
      </c>
      <c r="F499" t="s">
        <v>34</v>
      </c>
      <c r="G499">
        <v>0.89172165566886619</v>
      </c>
      <c r="H499">
        <v>0.90474668371424005</v>
      </c>
      <c r="I499">
        <v>0.91810035842293902</v>
      </c>
      <c r="J499">
        <v>0.90560165975103735</v>
      </c>
      <c r="K499">
        <v>0.90972605258319539</v>
      </c>
      <c r="L499">
        <v>0.91109625668449201</v>
      </c>
      <c r="M499">
        <v>0.92855633058549991</v>
      </c>
      <c r="N499">
        <v>0.94355771455008097</v>
      </c>
      <c r="O499">
        <v>0.89057591623036647</v>
      </c>
      <c r="P499">
        <v>0.92362174578866774</v>
      </c>
      <c r="Q499">
        <v>0.8771929824561403</v>
      </c>
      <c r="R499">
        <v>0.95145067698259189</v>
      </c>
    </row>
    <row r="500" spans="4:19" x14ac:dyDescent="0.25">
      <c r="D500" t="s">
        <v>42</v>
      </c>
      <c r="E500">
        <v>2015</v>
      </c>
      <c r="F500" t="s">
        <v>34</v>
      </c>
      <c r="G500">
        <v>0.93076790929393571</v>
      </c>
      <c r="H500">
        <v>0.8895053899809765</v>
      </c>
      <c r="I500">
        <v>0.9121644017235665</v>
      </c>
      <c r="J500">
        <v>0.9160685805422647</v>
      </c>
      <c r="K500">
        <v>0.91917838803304308</v>
      </c>
      <c r="L500">
        <v>0.88939754623695289</v>
      </c>
      <c r="M500">
        <v>0.82453543825028774</v>
      </c>
    </row>
    <row r="501" spans="4:19" x14ac:dyDescent="0.25">
      <c r="D501" t="s">
        <v>43</v>
      </c>
      <c r="E501">
        <v>2013</v>
      </c>
      <c r="F501" t="s">
        <v>17</v>
      </c>
      <c r="S501">
        <v>0.97803231045388495</v>
      </c>
    </row>
    <row r="502" spans="4:19" x14ac:dyDescent="0.25">
      <c r="D502" t="s">
        <v>43</v>
      </c>
      <c r="E502">
        <v>2014</v>
      </c>
      <c r="F502" t="s">
        <v>17</v>
      </c>
      <c r="S502">
        <v>0.99313952491210011</v>
      </c>
    </row>
    <row r="503" spans="4:19" x14ac:dyDescent="0.25">
      <c r="D503" t="s">
        <v>43</v>
      </c>
      <c r="E503">
        <v>2015</v>
      </c>
      <c r="F503" t="s">
        <v>17</v>
      </c>
      <c r="S503">
        <v>0.98902681862475106</v>
      </c>
    </row>
    <row r="504" spans="4:19" x14ac:dyDescent="0.25">
      <c r="D504" t="s">
        <v>43</v>
      </c>
      <c r="E504">
        <v>2013</v>
      </c>
      <c r="F504" t="s">
        <v>18</v>
      </c>
      <c r="G504">
        <v>0.9727228446176327</v>
      </c>
      <c r="H504">
        <v>0.919344870210136</v>
      </c>
      <c r="I504">
        <v>0.98372299496892568</v>
      </c>
      <c r="J504">
        <v>0.99371248928265221</v>
      </c>
      <c r="K504">
        <v>0.99309912170639902</v>
      </c>
      <c r="L504">
        <v>0.99236111111111114</v>
      </c>
      <c r="M504">
        <v>0.99356913183279738</v>
      </c>
      <c r="N504">
        <v>0.98508033664881411</v>
      </c>
      <c r="O504">
        <v>0.96868836291913218</v>
      </c>
      <c r="P504">
        <v>0.98966212808875442</v>
      </c>
      <c r="Q504">
        <v>0.98345367027677499</v>
      </c>
      <c r="R504">
        <v>0.98501997336884151</v>
      </c>
    </row>
    <row r="505" spans="4:19" x14ac:dyDescent="0.25">
      <c r="D505" t="s">
        <v>43</v>
      </c>
      <c r="E505">
        <v>2014</v>
      </c>
      <c r="F505" t="s">
        <v>18</v>
      </c>
      <c r="G505">
        <v>0.99165707710011508</v>
      </c>
      <c r="H505">
        <v>0.98072223730654362</v>
      </c>
      <c r="I505">
        <v>0.99535018889857596</v>
      </c>
      <c r="J505">
        <v>0.99881199881199878</v>
      </c>
      <c r="K505">
        <v>0.99322143318269851</v>
      </c>
      <c r="L505">
        <v>0.99830278343516632</v>
      </c>
      <c r="M505">
        <v>0.99577167019027479</v>
      </c>
      <c r="N505">
        <v>0.99028452463566963</v>
      </c>
      <c r="O505">
        <v>0.97732012513034416</v>
      </c>
      <c r="P505">
        <v>0.99092558983666057</v>
      </c>
      <c r="Q505">
        <v>0.98349423855496731</v>
      </c>
      <c r="R505">
        <v>0.99126268320180388</v>
      </c>
    </row>
    <row r="506" spans="4:19" x14ac:dyDescent="0.25">
      <c r="D506" t="s">
        <v>43</v>
      </c>
      <c r="E506">
        <v>2015</v>
      </c>
      <c r="F506" t="s">
        <v>18</v>
      </c>
      <c r="G506">
        <v>0.96516766311411495</v>
      </c>
      <c r="H506">
        <v>0.99316899316899321</v>
      </c>
      <c r="I506">
        <v>0.99616333241984101</v>
      </c>
      <c r="J506">
        <v>0.99121744397334943</v>
      </c>
      <c r="K506">
        <v>0.99519065613191349</v>
      </c>
      <c r="L506">
        <v>0.99641791044776118</v>
      </c>
      <c r="M506">
        <v>0.98961284230406044</v>
      </c>
    </row>
    <row r="507" spans="4:19" x14ac:dyDescent="0.25">
      <c r="D507" t="s">
        <v>43</v>
      </c>
      <c r="E507">
        <v>2013</v>
      </c>
      <c r="F507" t="s">
        <v>19</v>
      </c>
      <c r="S507">
        <v>0.99915287273599618</v>
      </c>
    </row>
    <row r="508" spans="4:19" x14ac:dyDescent="0.25">
      <c r="D508" t="s">
        <v>43</v>
      </c>
      <c r="E508">
        <v>2014</v>
      </c>
      <c r="F508" t="s">
        <v>19</v>
      </c>
      <c r="S508">
        <v>1</v>
      </c>
    </row>
    <row r="509" spans="4:19" x14ac:dyDescent="0.25">
      <c r="D509" t="s">
        <v>43</v>
      </c>
      <c r="E509">
        <v>2015</v>
      </c>
      <c r="F509" t="s">
        <v>19</v>
      </c>
      <c r="S509">
        <v>0.99884057649421398</v>
      </c>
    </row>
    <row r="510" spans="4:19" x14ac:dyDescent="0.25">
      <c r="D510" t="s">
        <v>43</v>
      </c>
      <c r="E510">
        <v>2013</v>
      </c>
      <c r="F510" t="s">
        <v>20</v>
      </c>
      <c r="G510">
        <v>0.99675573378993376</v>
      </c>
      <c r="H510">
        <v>0.9998017348203222</v>
      </c>
      <c r="I510">
        <v>0.99973820618880571</v>
      </c>
      <c r="J510">
        <v>1</v>
      </c>
      <c r="K510">
        <v>0.99982330074213688</v>
      </c>
      <c r="L510">
        <v>0.99926393915230327</v>
      </c>
      <c r="M510">
        <v>0.99913512413512418</v>
      </c>
      <c r="N510">
        <v>0.99780883572189982</v>
      </c>
      <c r="O510">
        <v>0.99661279396109548</v>
      </c>
      <c r="P510">
        <v>0.99497282053378022</v>
      </c>
      <c r="Q510">
        <v>0.99773135457037532</v>
      </c>
      <c r="R510">
        <v>0.99923602158239033</v>
      </c>
    </row>
    <row r="511" spans="4:19" x14ac:dyDescent="0.25">
      <c r="D511" t="s">
        <v>43</v>
      </c>
      <c r="E511">
        <v>2014</v>
      </c>
      <c r="F511" t="s">
        <v>20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0.99801420943471164</v>
      </c>
    </row>
    <row r="512" spans="4:19" x14ac:dyDescent="0.25">
      <c r="D512" t="s">
        <v>43</v>
      </c>
      <c r="E512">
        <v>2015</v>
      </c>
      <c r="F512" t="s">
        <v>20</v>
      </c>
      <c r="G512">
        <v>0.9976616231086658</v>
      </c>
      <c r="H512">
        <v>0.9996652439534689</v>
      </c>
      <c r="I512">
        <v>0.99977944419938247</v>
      </c>
      <c r="J512">
        <v>0.99958822318303475</v>
      </c>
      <c r="K512">
        <v>0.99889587633814991</v>
      </c>
      <c r="L512">
        <v>0.99871004729826574</v>
      </c>
      <c r="M512">
        <v>0.99785629804849196</v>
      </c>
    </row>
    <row r="513" spans="4:19" x14ac:dyDescent="0.25">
      <c r="D513" t="s">
        <v>43</v>
      </c>
      <c r="E513">
        <v>2013</v>
      </c>
      <c r="F513" t="s">
        <v>21</v>
      </c>
      <c r="S513">
        <v>0.99953521781383359</v>
      </c>
    </row>
    <row r="514" spans="4:19" x14ac:dyDescent="0.25">
      <c r="D514" t="s">
        <v>43</v>
      </c>
      <c r="E514">
        <v>2014</v>
      </c>
      <c r="F514" t="s">
        <v>21</v>
      </c>
      <c r="S514">
        <v>1</v>
      </c>
    </row>
    <row r="515" spans="4:19" x14ac:dyDescent="0.25">
      <c r="D515" t="s">
        <v>43</v>
      </c>
      <c r="E515">
        <v>2015</v>
      </c>
      <c r="F515" t="s">
        <v>21</v>
      </c>
      <c r="S515">
        <v>0.99982355224617991</v>
      </c>
    </row>
    <row r="516" spans="4:19" x14ac:dyDescent="0.25">
      <c r="D516" t="s">
        <v>43</v>
      </c>
      <c r="E516">
        <v>2013</v>
      </c>
      <c r="F516" t="s">
        <v>22</v>
      </c>
      <c r="G516">
        <v>0.99846860643185298</v>
      </c>
      <c r="H516">
        <v>1</v>
      </c>
      <c r="I516">
        <v>1</v>
      </c>
      <c r="J516">
        <v>1</v>
      </c>
      <c r="K516">
        <v>0.99829758256724543</v>
      </c>
      <c r="L516">
        <v>1</v>
      </c>
      <c r="M516">
        <v>1</v>
      </c>
      <c r="N516">
        <v>1</v>
      </c>
      <c r="O516">
        <v>0.99971181556195965</v>
      </c>
      <c r="P516">
        <v>0.99937067337948393</v>
      </c>
      <c r="Q516">
        <v>0.99636465324384782</v>
      </c>
      <c r="R516">
        <v>1</v>
      </c>
    </row>
    <row r="517" spans="4:19" x14ac:dyDescent="0.25">
      <c r="D517" t="s">
        <v>43</v>
      </c>
      <c r="E517">
        <v>2014</v>
      </c>
      <c r="F517" t="s">
        <v>22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0.99954514441664777</v>
      </c>
    </row>
    <row r="518" spans="4:19" x14ac:dyDescent="0.25">
      <c r="D518" t="s">
        <v>43</v>
      </c>
      <c r="E518">
        <v>2015</v>
      </c>
      <c r="F518" t="s">
        <v>22</v>
      </c>
      <c r="G518">
        <v>0.99953671531155897</v>
      </c>
      <c r="H518">
        <v>1</v>
      </c>
      <c r="I518">
        <v>0.99934036939313986</v>
      </c>
      <c r="J518">
        <v>1</v>
      </c>
      <c r="K518">
        <v>1</v>
      </c>
      <c r="L518">
        <v>1</v>
      </c>
      <c r="M518">
        <v>1</v>
      </c>
    </row>
    <row r="519" spans="4:19" x14ac:dyDescent="0.25">
      <c r="D519" t="s">
        <v>43</v>
      </c>
      <c r="E519">
        <v>2013</v>
      </c>
      <c r="F519" t="s">
        <v>23</v>
      </c>
      <c r="S519">
        <v>42208</v>
      </c>
    </row>
    <row r="520" spans="4:19" x14ac:dyDescent="0.25">
      <c r="D520" t="s">
        <v>43</v>
      </c>
      <c r="E520">
        <v>2014</v>
      </c>
      <c r="F520" t="s">
        <v>23</v>
      </c>
      <c r="S520">
        <v>37361</v>
      </c>
    </row>
    <row r="521" spans="4:19" x14ac:dyDescent="0.25">
      <c r="D521" t="s">
        <v>43</v>
      </c>
      <c r="E521">
        <v>2015</v>
      </c>
      <c r="F521" t="s">
        <v>23</v>
      </c>
      <c r="S521">
        <v>35011</v>
      </c>
    </row>
    <row r="522" spans="4:19" x14ac:dyDescent="0.25">
      <c r="D522" t="s">
        <v>43</v>
      </c>
      <c r="E522">
        <v>2013</v>
      </c>
      <c r="F522" t="s">
        <v>24</v>
      </c>
      <c r="G522">
        <v>7822</v>
      </c>
      <c r="H522">
        <v>7152</v>
      </c>
      <c r="I522">
        <v>6545</v>
      </c>
      <c r="J522">
        <v>5396</v>
      </c>
      <c r="K522">
        <v>4869</v>
      </c>
      <c r="L522">
        <v>4813</v>
      </c>
      <c r="M522">
        <v>5611</v>
      </c>
      <c r="N522">
        <v>5127</v>
      </c>
      <c r="O522">
        <v>6078</v>
      </c>
      <c r="P522">
        <v>5703</v>
      </c>
      <c r="Q522">
        <v>5834</v>
      </c>
      <c r="R522">
        <v>5446</v>
      </c>
    </row>
    <row r="523" spans="4:19" x14ac:dyDescent="0.25">
      <c r="D523" t="s">
        <v>43</v>
      </c>
      <c r="E523">
        <v>2014</v>
      </c>
      <c r="F523" t="s">
        <v>24</v>
      </c>
      <c r="G523">
        <v>6647</v>
      </c>
      <c r="H523">
        <v>6866</v>
      </c>
      <c r="I523">
        <v>4941</v>
      </c>
      <c r="J523">
        <v>4778</v>
      </c>
      <c r="K523">
        <v>4449</v>
      </c>
      <c r="L523">
        <v>4279</v>
      </c>
      <c r="M523">
        <v>5401</v>
      </c>
      <c r="N523">
        <v>5438</v>
      </c>
      <c r="O523">
        <v>7364</v>
      </c>
      <c r="P523">
        <v>5922</v>
      </c>
      <c r="Q523">
        <v>4751</v>
      </c>
      <c r="R523">
        <v>5270</v>
      </c>
    </row>
    <row r="524" spans="4:19" x14ac:dyDescent="0.25">
      <c r="D524" t="s">
        <v>43</v>
      </c>
      <c r="E524">
        <v>2015</v>
      </c>
      <c r="F524" t="s">
        <v>24</v>
      </c>
      <c r="G524">
        <v>5619</v>
      </c>
      <c r="H524">
        <v>5533</v>
      </c>
      <c r="I524">
        <v>4930</v>
      </c>
      <c r="J524">
        <v>4450</v>
      </c>
      <c r="K524">
        <v>4233</v>
      </c>
      <c r="L524">
        <v>4892</v>
      </c>
      <c r="M524">
        <v>5354</v>
      </c>
    </row>
    <row r="525" spans="4:19" x14ac:dyDescent="0.25">
      <c r="D525" t="s">
        <v>43</v>
      </c>
      <c r="E525">
        <v>2013</v>
      </c>
      <c r="F525" t="s">
        <v>25</v>
      </c>
      <c r="S525">
        <v>129761</v>
      </c>
    </row>
    <row r="526" spans="4:19" x14ac:dyDescent="0.25">
      <c r="D526" t="s">
        <v>43</v>
      </c>
      <c r="E526">
        <v>2014</v>
      </c>
      <c r="F526" t="s">
        <v>25</v>
      </c>
      <c r="S526">
        <v>128392</v>
      </c>
    </row>
    <row r="527" spans="4:19" x14ac:dyDescent="0.25">
      <c r="D527" t="s">
        <v>43</v>
      </c>
      <c r="E527">
        <v>2015</v>
      </c>
      <c r="F527" t="s">
        <v>25</v>
      </c>
      <c r="S527">
        <v>137419</v>
      </c>
    </row>
    <row r="528" spans="4:19" x14ac:dyDescent="0.25">
      <c r="D528" t="s">
        <v>43</v>
      </c>
      <c r="E528">
        <v>2013</v>
      </c>
      <c r="F528" t="s">
        <v>26</v>
      </c>
      <c r="G528">
        <v>21594</v>
      </c>
      <c r="H528">
        <v>18603</v>
      </c>
      <c r="I528">
        <v>18625</v>
      </c>
      <c r="J528">
        <v>18485</v>
      </c>
      <c r="K528">
        <v>17186</v>
      </c>
      <c r="L528">
        <v>16793</v>
      </c>
      <c r="M528">
        <v>18475</v>
      </c>
      <c r="N528">
        <v>16769</v>
      </c>
      <c r="O528">
        <v>21719</v>
      </c>
      <c r="P528">
        <v>20632</v>
      </c>
      <c r="Q528">
        <v>22115</v>
      </c>
      <c r="R528">
        <v>22940</v>
      </c>
    </row>
    <row r="529" spans="4:19" x14ac:dyDescent="0.25">
      <c r="D529" t="s">
        <v>43</v>
      </c>
      <c r="E529">
        <v>2014</v>
      </c>
      <c r="F529" t="s">
        <v>26</v>
      </c>
      <c r="G529">
        <v>22377</v>
      </c>
      <c r="H529">
        <v>19478</v>
      </c>
      <c r="I529">
        <v>18364</v>
      </c>
      <c r="J529">
        <v>17639</v>
      </c>
      <c r="K529">
        <v>15039</v>
      </c>
      <c r="L529">
        <v>16587</v>
      </c>
      <c r="M529">
        <v>18908</v>
      </c>
      <c r="N529">
        <v>17947</v>
      </c>
      <c r="O529">
        <v>20779</v>
      </c>
      <c r="P529">
        <v>21556</v>
      </c>
      <c r="Q529">
        <v>18601</v>
      </c>
      <c r="R529">
        <v>24856</v>
      </c>
    </row>
    <row r="530" spans="4:19" x14ac:dyDescent="0.25">
      <c r="D530" t="s">
        <v>43</v>
      </c>
      <c r="E530">
        <v>2015</v>
      </c>
      <c r="F530" t="s">
        <v>26</v>
      </c>
      <c r="G530">
        <v>21998</v>
      </c>
      <c r="H530">
        <v>18669</v>
      </c>
      <c r="I530">
        <v>20218</v>
      </c>
      <c r="J530">
        <v>18481</v>
      </c>
      <c r="K530">
        <v>16516</v>
      </c>
      <c r="L530">
        <v>20347</v>
      </c>
      <c r="M530">
        <v>21190</v>
      </c>
    </row>
    <row r="531" spans="4:19" x14ac:dyDescent="0.25">
      <c r="D531" t="s">
        <v>43</v>
      </c>
      <c r="E531">
        <v>2013</v>
      </c>
      <c r="F531" t="s">
        <v>27</v>
      </c>
      <c r="S531">
        <v>212516</v>
      </c>
    </row>
    <row r="532" spans="4:19" x14ac:dyDescent="0.25">
      <c r="D532" t="s">
        <v>43</v>
      </c>
      <c r="E532">
        <v>2014</v>
      </c>
      <c r="F532" t="s">
        <v>27</v>
      </c>
      <c r="S532">
        <v>210033</v>
      </c>
    </row>
    <row r="533" spans="4:19" x14ac:dyDescent="0.25">
      <c r="D533" t="s">
        <v>43</v>
      </c>
      <c r="E533">
        <v>2015</v>
      </c>
      <c r="F533" t="s">
        <v>27</v>
      </c>
      <c r="S533">
        <v>228384</v>
      </c>
    </row>
    <row r="534" spans="4:19" x14ac:dyDescent="0.25">
      <c r="D534" t="s">
        <v>43</v>
      </c>
      <c r="E534">
        <v>2013</v>
      </c>
      <c r="F534" t="s">
        <v>28</v>
      </c>
      <c r="G534">
        <v>35711</v>
      </c>
      <c r="H534">
        <v>31363</v>
      </c>
      <c r="I534">
        <v>30561</v>
      </c>
      <c r="J534">
        <v>30191</v>
      </c>
      <c r="K534">
        <v>26089</v>
      </c>
      <c r="L534">
        <v>27874</v>
      </c>
      <c r="M534">
        <v>30727</v>
      </c>
      <c r="N534">
        <v>26922</v>
      </c>
      <c r="O534">
        <v>34513</v>
      </c>
      <c r="P534">
        <v>34502</v>
      </c>
      <c r="Q534">
        <v>34375</v>
      </c>
      <c r="R534">
        <v>36516</v>
      </c>
    </row>
    <row r="535" spans="4:19" x14ac:dyDescent="0.25">
      <c r="D535" t="s">
        <v>43</v>
      </c>
      <c r="E535">
        <v>2014</v>
      </c>
      <c r="F535" t="s">
        <v>28</v>
      </c>
      <c r="G535">
        <v>36346</v>
      </c>
      <c r="H535">
        <v>32615</v>
      </c>
      <c r="I535">
        <v>30181</v>
      </c>
      <c r="J535">
        <v>28829</v>
      </c>
      <c r="K535">
        <v>24111</v>
      </c>
      <c r="L535">
        <v>27231</v>
      </c>
      <c r="M535">
        <v>30720</v>
      </c>
      <c r="N535">
        <v>28666</v>
      </c>
      <c r="O535">
        <v>34297</v>
      </c>
      <c r="P535">
        <v>35002</v>
      </c>
      <c r="Q535">
        <v>29709</v>
      </c>
      <c r="R535">
        <v>38799</v>
      </c>
    </row>
    <row r="536" spans="4:19" x14ac:dyDescent="0.25">
      <c r="D536" t="s">
        <v>43</v>
      </c>
      <c r="E536">
        <v>2015</v>
      </c>
      <c r="F536" t="s">
        <v>28</v>
      </c>
      <c r="G536">
        <v>35716</v>
      </c>
      <c r="H536">
        <v>30484</v>
      </c>
      <c r="I536">
        <v>34174</v>
      </c>
      <c r="J536">
        <v>30665</v>
      </c>
      <c r="K536">
        <v>27382</v>
      </c>
      <c r="L536">
        <v>34634</v>
      </c>
      <c r="M536">
        <v>35329</v>
      </c>
    </row>
    <row r="537" spans="4:19" x14ac:dyDescent="0.25">
      <c r="D537" t="s">
        <v>43</v>
      </c>
      <c r="E537">
        <v>2013</v>
      </c>
      <c r="F537" t="s">
        <v>29</v>
      </c>
      <c r="S537">
        <v>23398</v>
      </c>
    </row>
    <row r="538" spans="4:19" x14ac:dyDescent="0.25">
      <c r="D538" t="s">
        <v>43</v>
      </c>
      <c r="E538">
        <v>2014</v>
      </c>
      <c r="F538" t="s">
        <v>29</v>
      </c>
      <c r="S538">
        <v>23322</v>
      </c>
    </row>
    <row r="539" spans="4:19" x14ac:dyDescent="0.25">
      <c r="D539" t="s">
        <v>43</v>
      </c>
      <c r="E539">
        <v>2015</v>
      </c>
      <c r="F539" t="s">
        <v>29</v>
      </c>
      <c r="S539">
        <v>23603</v>
      </c>
    </row>
    <row r="540" spans="4:19" x14ac:dyDescent="0.25">
      <c r="D540" t="s">
        <v>43</v>
      </c>
      <c r="E540">
        <v>2013</v>
      </c>
      <c r="F540" t="s">
        <v>30</v>
      </c>
      <c r="G540">
        <v>4106</v>
      </c>
      <c r="H540">
        <v>3236</v>
      </c>
      <c r="I540">
        <v>3379</v>
      </c>
      <c r="J540">
        <v>3499</v>
      </c>
      <c r="K540">
        <v>3188</v>
      </c>
      <c r="L540">
        <v>2880</v>
      </c>
      <c r="M540">
        <v>3110</v>
      </c>
      <c r="N540">
        <v>2614</v>
      </c>
      <c r="O540">
        <v>4056</v>
      </c>
      <c r="P540">
        <v>3966</v>
      </c>
      <c r="Q540">
        <v>3324</v>
      </c>
      <c r="R540">
        <v>3004</v>
      </c>
    </row>
    <row r="541" spans="4:19" x14ac:dyDescent="0.25">
      <c r="D541" t="s">
        <v>43</v>
      </c>
      <c r="E541">
        <v>2014</v>
      </c>
      <c r="F541" t="s">
        <v>30</v>
      </c>
      <c r="G541">
        <v>3476</v>
      </c>
      <c r="H541">
        <v>3683</v>
      </c>
      <c r="I541">
        <v>3441</v>
      </c>
      <c r="J541">
        <v>3367</v>
      </c>
      <c r="K541">
        <v>3098</v>
      </c>
      <c r="L541">
        <v>2946</v>
      </c>
      <c r="M541">
        <v>3311</v>
      </c>
      <c r="N541">
        <v>2882</v>
      </c>
      <c r="O541">
        <v>3836</v>
      </c>
      <c r="P541">
        <v>3857</v>
      </c>
      <c r="Q541">
        <v>3211</v>
      </c>
      <c r="R541">
        <v>3548</v>
      </c>
    </row>
    <row r="542" spans="4:19" x14ac:dyDescent="0.25">
      <c r="D542" t="s">
        <v>43</v>
      </c>
      <c r="E542">
        <v>2015</v>
      </c>
      <c r="F542" t="s">
        <v>30</v>
      </c>
      <c r="G542">
        <v>3847</v>
      </c>
      <c r="H542">
        <v>3367</v>
      </c>
      <c r="I542">
        <v>3649</v>
      </c>
      <c r="J542">
        <v>3302</v>
      </c>
      <c r="K542">
        <v>2911</v>
      </c>
      <c r="L542">
        <v>3350</v>
      </c>
      <c r="M542">
        <v>3177</v>
      </c>
    </row>
    <row r="543" spans="4:19" x14ac:dyDescent="0.25">
      <c r="D543" t="s">
        <v>43</v>
      </c>
      <c r="E543">
        <v>2013</v>
      </c>
      <c r="F543" t="s">
        <v>31</v>
      </c>
      <c r="S543">
        <v>0.83043498862774834</v>
      </c>
    </row>
    <row r="544" spans="4:19" x14ac:dyDescent="0.25">
      <c r="D544" t="s">
        <v>43</v>
      </c>
      <c r="E544">
        <v>2014</v>
      </c>
      <c r="F544" t="s">
        <v>31</v>
      </c>
      <c r="S544">
        <v>0.94009796311661897</v>
      </c>
    </row>
    <row r="545" spans="4:19" x14ac:dyDescent="0.25">
      <c r="D545" t="s">
        <v>43</v>
      </c>
      <c r="E545">
        <v>2015</v>
      </c>
      <c r="F545" t="s">
        <v>31</v>
      </c>
      <c r="S545">
        <v>0.89443317814401191</v>
      </c>
    </row>
    <row r="546" spans="4:19" x14ac:dyDescent="0.25">
      <c r="D546" t="s">
        <v>43</v>
      </c>
      <c r="E546">
        <v>2013</v>
      </c>
      <c r="F546" t="s">
        <v>32</v>
      </c>
      <c r="G546">
        <v>0.80350294042444392</v>
      </c>
      <c r="H546">
        <v>0.79963646532438482</v>
      </c>
      <c r="I546">
        <v>0.76638655462184879</v>
      </c>
      <c r="J546">
        <v>0.84710896960711635</v>
      </c>
      <c r="K546">
        <v>0.88313822140069831</v>
      </c>
      <c r="L546">
        <v>0.84791190525659677</v>
      </c>
      <c r="M546">
        <v>0.90518624131170911</v>
      </c>
      <c r="N546">
        <v>0.93309927833040762</v>
      </c>
      <c r="O546">
        <v>0.93583415597235931</v>
      </c>
      <c r="P546">
        <v>0.93056286165176227</v>
      </c>
      <c r="Q546">
        <v>0.91121014741172435</v>
      </c>
      <c r="R546">
        <v>0.95978699963275804</v>
      </c>
    </row>
    <row r="547" spans="4:19" x14ac:dyDescent="0.25">
      <c r="D547" t="s">
        <v>43</v>
      </c>
      <c r="E547">
        <v>2014</v>
      </c>
      <c r="F547" t="s">
        <v>32</v>
      </c>
      <c r="G547">
        <v>0.96118549721678948</v>
      </c>
      <c r="H547">
        <v>0.94815030585493743</v>
      </c>
      <c r="I547">
        <v>0.94778384942319371</v>
      </c>
      <c r="J547">
        <v>0.92067810799497696</v>
      </c>
      <c r="K547">
        <v>0.94313328837941113</v>
      </c>
      <c r="L547">
        <v>0.94578172470203314</v>
      </c>
      <c r="M547">
        <v>0.90705424921310873</v>
      </c>
      <c r="N547">
        <v>0.87550570062522981</v>
      </c>
      <c r="O547">
        <v>0.90738728951656711</v>
      </c>
      <c r="P547">
        <v>0.90830800405268486</v>
      </c>
      <c r="Q547">
        <v>0.91770153651862763</v>
      </c>
      <c r="R547">
        <v>0.90189753320683108</v>
      </c>
    </row>
    <row r="548" spans="4:19" x14ac:dyDescent="0.25">
      <c r="D548" t="s">
        <v>43</v>
      </c>
      <c r="E548">
        <v>2015</v>
      </c>
      <c r="F548" t="s">
        <v>32</v>
      </c>
      <c r="G548">
        <v>0.90105000889838049</v>
      </c>
      <c r="H548">
        <v>0.88613771913970718</v>
      </c>
      <c r="I548">
        <v>0.89513184584178496</v>
      </c>
      <c r="J548">
        <v>0.8820224719101124</v>
      </c>
      <c r="K548">
        <v>0.8910937869123553</v>
      </c>
      <c r="L548">
        <v>0.90433360588716272</v>
      </c>
      <c r="M548">
        <v>0.89932760552857671</v>
      </c>
    </row>
    <row r="549" spans="4:19" x14ac:dyDescent="0.25">
      <c r="D549" t="s">
        <v>43</v>
      </c>
      <c r="E549">
        <v>2013</v>
      </c>
      <c r="F549" t="s">
        <v>33</v>
      </c>
      <c r="S549">
        <v>0.82193312328488666</v>
      </c>
    </row>
    <row r="550" spans="4:19" x14ac:dyDescent="0.25">
      <c r="D550" t="s">
        <v>43</v>
      </c>
      <c r="E550">
        <v>2014</v>
      </c>
      <c r="F550" t="s">
        <v>33</v>
      </c>
      <c r="S550">
        <v>0.91997153137479737</v>
      </c>
    </row>
    <row r="551" spans="4:19" x14ac:dyDescent="0.25">
      <c r="D551" t="s">
        <v>43</v>
      </c>
      <c r="E551">
        <v>2015</v>
      </c>
      <c r="F551" t="s">
        <v>33</v>
      </c>
      <c r="S551">
        <v>0.89980991237424079</v>
      </c>
    </row>
    <row r="552" spans="4:19" x14ac:dyDescent="0.25">
      <c r="D552" t="s">
        <v>43</v>
      </c>
      <c r="E552">
        <v>2013</v>
      </c>
      <c r="F552" t="s">
        <v>34</v>
      </c>
      <c r="G552">
        <v>0.77844420210832421</v>
      </c>
      <c r="H552">
        <v>0.77977483705313055</v>
      </c>
      <c r="I552">
        <v>0.74240137960767405</v>
      </c>
      <c r="J552">
        <v>0.86480799579168854</v>
      </c>
      <c r="K552">
        <v>0.91516786570743403</v>
      </c>
      <c r="L552">
        <v>0.86082474226804129</v>
      </c>
      <c r="M552">
        <v>0.87851431519215883</v>
      </c>
      <c r="N552">
        <v>0.90057971014492755</v>
      </c>
      <c r="O552">
        <v>0.90791027154663517</v>
      </c>
      <c r="P552">
        <v>0.90246305418719208</v>
      </c>
      <c r="Q552">
        <v>0.87235091177920154</v>
      </c>
      <c r="R552">
        <v>0.94181721572794896</v>
      </c>
    </row>
    <row r="553" spans="4:19" x14ac:dyDescent="0.25">
      <c r="D553" t="s">
        <v>43</v>
      </c>
      <c r="E553">
        <v>2014</v>
      </c>
      <c r="F553" t="s">
        <v>34</v>
      </c>
      <c r="G553">
        <v>0.94396177237185053</v>
      </c>
      <c r="H553">
        <v>0.92449628844114529</v>
      </c>
      <c r="I553">
        <v>0.92682926829268297</v>
      </c>
      <c r="J553">
        <v>0.88813459268004724</v>
      </c>
      <c r="K553">
        <v>0.91694024950755093</v>
      </c>
      <c r="L553">
        <v>0.92292358803986707</v>
      </c>
      <c r="M553">
        <v>0.90406395736175882</v>
      </c>
      <c r="N553">
        <v>0.88703416149068326</v>
      </c>
      <c r="O553">
        <v>0.88428434810328338</v>
      </c>
      <c r="P553">
        <v>0.91986754966887418</v>
      </c>
      <c r="Q553">
        <v>0.92565845369583688</v>
      </c>
      <c r="R553">
        <v>0.90855148342059333</v>
      </c>
    </row>
    <row r="554" spans="4:19" x14ac:dyDescent="0.25">
      <c r="D554" t="s">
        <v>43</v>
      </c>
      <c r="E554">
        <v>2015</v>
      </c>
      <c r="F554" t="s">
        <v>34</v>
      </c>
      <c r="G554">
        <v>0.89859731151373468</v>
      </c>
      <c r="H554">
        <v>0.8793305930710511</v>
      </c>
      <c r="I554">
        <v>0.91682661548304545</v>
      </c>
      <c r="J554">
        <v>0.88492647058823526</v>
      </c>
      <c r="K554">
        <v>0.90055865921787714</v>
      </c>
      <c r="L554">
        <v>0.91649694501018331</v>
      </c>
      <c r="M554">
        <v>0.90287990196078427</v>
      </c>
    </row>
    <row r="555" spans="4:19" x14ac:dyDescent="0.25">
      <c r="D555" t="s">
        <v>44</v>
      </c>
      <c r="E555">
        <v>2013</v>
      </c>
      <c r="F555" t="s">
        <v>17</v>
      </c>
      <c r="S555">
        <v>0.89363406667899181</v>
      </c>
    </row>
    <row r="556" spans="4:19" x14ac:dyDescent="0.25">
      <c r="D556" t="s">
        <v>44</v>
      </c>
      <c r="E556">
        <v>2014</v>
      </c>
      <c r="F556" t="s">
        <v>17</v>
      </c>
      <c r="S556">
        <v>0.87937259544243862</v>
      </c>
    </row>
    <row r="557" spans="4:19" x14ac:dyDescent="0.25">
      <c r="D557" t="s">
        <v>44</v>
      </c>
      <c r="E557">
        <v>2015</v>
      </c>
      <c r="F557" t="s">
        <v>17</v>
      </c>
      <c r="S557">
        <v>0.88513293022362993</v>
      </c>
    </row>
    <row r="558" spans="4:19" x14ac:dyDescent="0.25">
      <c r="D558" t="s">
        <v>44</v>
      </c>
      <c r="E558">
        <v>2013</v>
      </c>
      <c r="F558" t="s">
        <v>18</v>
      </c>
      <c r="G558">
        <v>0.82111296871268213</v>
      </c>
      <c r="H558">
        <v>0.78271213322759714</v>
      </c>
      <c r="I558">
        <v>0.88920647883489856</v>
      </c>
      <c r="J558">
        <v>0.95060060060060059</v>
      </c>
      <c r="K558">
        <v>0.92507068803016024</v>
      </c>
      <c r="L558">
        <v>0.95751436347142427</v>
      </c>
      <c r="M558">
        <v>0.94169636493228792</v>
      </c>
      <c r="N558">
        <v>0.90087232355273594</v>
      </c>
      <c r="O558">
        <v>0.89707227813357726</v>
      </c>
      <c r="P558">
        <v>0.90048513496703575</v>
      </c>
      <c r="Q558">
        <v>0.814859437751004</v>
      </c>
      <c r="R558">
        <v>0.83029297954671089</v>
      </c>
    </row>
    <row r="559" spans="4:19" x14ac:dyDescent="0.25">
      <c r="D559" t="s">
        <v>44</v>
      </c>
      <c r="E559">
        <v>2014</v>
      </c>
      <c r="F559" t="s">
        <v>18</v>
      </c>
      <c r="G559">
        <v>0.87596186975996326</v>
      </c>
      <c r="H559">
        <v>0.82297169172423135</v>
      </c>
      <c r="I559">
        <v>0.82316570486397367</v>
      </c>
      <c r="J559">
        <v>0.88655522217459637</v>
      </c>
      <c r="K559">
        <v>0.8974073484968984</v>
      </c>
      <c r="L559">
        <v>0.93090211132437617</v>
      </c>
      <c r="M559">
        <v>0.92656379167814829</v>
      </c>
      <c r="N559">
        <v>0.84859259259259257</v>
      </c>
      <c r="O559">
        <v>0.9044444444444445</v>
      </c>
      <c r="P559">
        <v>0.86423654215099877</v>
      </c>
      <c r="Q559">
        <v>0.81274683371918832</v>
      </c>
      <c r="R559">
        <v>0.842529296875</v>
      </c>
    </row>
    <row r="560" spans="4:19" x14ac:dyDescent="0.25">
      <c r="D560" t="s">
        <v>44</v>
      </c>
      <c r="E560">
        <v>2015</v>
      </c>
      <c r="F560" t="s">
        <v>18</v>
      </c>
      <c r="G560">
        <v>0.75291948371235407</v>
      </c>
      <c r="H560">
        <v>0.79302295422124236</v>
      </c>
      <c r="I560">
        <v>0.93119153126538656</v>
      </c>
      <c r="J560">
        <v>0.94764542936288088</v>
      </c>
      <c r="K560">
        <v>0.88881480246707789</v>
      </c>
      <c r="L560">
        <v>0.94117647058823528</v>
      </c>
      <c r="M560">
        <v>0.95534729878721059</v>
      </c>
    </row>
    <row r="561" spans="4:19" x14ac:dyDescent="0.25">
      <c r="D561" t="s">
        <v>44</v>
      </c>
      <c r="E561">
        <v>2013</v>
      </c>
      <c r="F561" t="s">
        <v>19</v>
      </c>
      <c r="S561">
        <v>0.9303625147088509</v>
      </c>
    </row>
    <row r="562" spans="4:19" x14ac:dyDescent="0.25">
      <c r="D562" t="s">
        <v>44</v>
      </c>
      <c r="E562">
        <v>2014</v>
      </c>
      <c r="F562" t="s">
        <v>19</v>
      </c>
      <c r="S562">
        <v>0.99968043202717405</v>
      </c>
    </row>
    <row r="563" spans="4:19" x14ac:dyDescent="0.25">
      <c r="D563" t="s">
        <v>44</v>
      </c>
      <c r="E563">
        <v>2015</v>
      </c>
      <c r="F563" t="s">
        <v>19</v>
      </c>
      <c r="S563">
        <v>0.99751121768670414</v>
      </c>
    </row>
    <row r="564" spans="4:19" x14ac:dyDescent="0.25">
      <c r="D564" t="s">
        <v>44</v>
      </c>
      <c r="E564">
        <v>2013</v>
      </c>
      <c r="F564" t="s">
        <v>20</v>
      </c>
      <c r="G564">
        <v>0.79638656352654447</v>
      </c>
      <c r="H564">
        <v>0.95856943115755389</v>
      </c>
      <c r="I564">
        <v>0.84057560299766987</v>
      </c>
      <c r="J564">
        <v>0.99444359872126653</v>
      </c>
      <c r="K564">
        <v>0.9996582365003418</v>
      </c>
      <c r="L564">
        <v>0.99946040179312634</v>
      </c>
      <c r="M564">
        <v>0.99660195807960161</v>
      </c>
      <c r="N564">
        <v>0.99969992498124527</v>
      </c>
      <c r="O564">
        <v>0.9962268133723845</v>
      </c>
      <c r="P564">
        <v>0.99862448418156813</v>
      </c>
      <c r="Q564">
        <v>0.99970998444462023</v>
      </c>
      <c r="R564">
        <v>0.99875870804306521</v>
      </c>
    </row>
    <row r="565" spans="4:19" x14ac:dyDescent="0.25">
      <c r="D565" t="s">
        <v>44</v>
      </c>
      <c r="E565">
        <v>2014</v>
      </c>
      <c r="F565" t="s">
        <v>20</v>
      </c>
      <c r="G565">
        <v>0.99995855609432638</v>
      </c>
      <c r="H565">
        <v>0.99982564511308158</v>
      </c>
      <c r="I565">
        <v>0.99892164856263643</v>
      </c>
      <c r="J565">
        <v>0.99947620885482713</v>
      </c>
      <c r="K565">
        <v>0.99985448619073947</v>
      </c>
      <c r="L565">
        <v>0.99970573810691521</v>
      </c>
      <c r="M565">
        <v>0.99992621559802253</v>
      </c>
      <c r="N565">
        <v>0.99994532531437941</v>
      </c>
      <c r="O565">
        <v>0.99988984115093971</v>
      </c>
      <c r="P565">
        <v>0.99991750876469376</v>
      </c>
      <c r="Q565">
        <v>0.998113919275745</v>
      </c>
      <c r="R565">
        <v>0.99965600932596943</v>
      </c>
    </row>
    <row r="566" spans="4:19" x14ac:dyDescent="0.25">
      <c r="D566" t="s">
        <v>44</v>
      </c>
      <c r="E566">
        <v>2015</v>
      </c>
      <c r="F566" t="s">
        <v>20</v>
      </c>
      <c r="G566">
        <v>0.99834187198401392</v>
      </c>
      <c r="H566">
        <v>0.99666081957858699</v>
      </c>
      <c r="I566">
        <v>0.99303429271279853</v>
      </c>
      <c r="J566">
        <v>0.99921417184939043</v>
      </c>
      <c r="K566">
        <v>0.99815608362550323</v>
      </c>
      <c r="L566">
        <v>0.99904170659555847</v>
      </c>
      <c r="M566">
        <v>0.99866975789593704</v>
      </c>
    </row>
    <row r="567" spans="4:19" x14ac:dyDescent="0.25">
      <c r="D567" t="s">
        <v>44</v>
      </c>
      <c r="E567">
        <v>2013</v>
      </c>
      <c r="F567" t="s">
        <v>21</v>
      </c>
      <c r="S567">
        <v>0.99912873012415593</v>
      </c>
    </row>
    <row r="568" spans="4:19" x14ac:dyDescent="0.25">
      <c r="D568" t="s">
        <v>44</v>
      </c>
      <c r="E568">
        <v>2014</v>
      </c>
      <c r="F568" t="s">
        <v>21</v>
      </c>
      <c r="S568">
        <v>0.99997194557441438</v>
      </c>
    </row>
    <row r="569" spans="4:19" x14ac:dyDescent="0.25">
      <c r="D569" t="s">
        <v>44</v>
      </c>
      <c r="E569">
        <v>2015</v>
      </c>
      <c r="F569" t="s">
        <v>21</v>
      </c>
      <c r="S569">
        <v>0.99806335592751416</v>
      </c>
    </row>
    <row r="570" spans="4:19" x14ac:dyDescent="0.25">
      <c r="D570" t="s">
        <v>44</v>
      </c>
      <c r="E570">
        <v>2013</v>
      </c>
      <c r="F570" t="s">
        <v>22</v>
      </c>
      <c r="G570">
        <v>0.99888017917133254</v>
      </c>
      <c r="H570">
        <v>0.9967023907666942</v>
      </c>
      <c r="I570">
        <v>0.99958402662229617</v>
      </c>
      <c r="J570">
        <v>1</v>
      </c>
      <c r="K570">
        <v>0.99960348929421095</v>
      </c>
      <c r="L570">
        <v>0.99863574351978168</v>
      </c>
      <c r="M570">
        <v>1</v>
      </c>
      <c r="N570">
        <v>1</v>
      </c>
      <c r="O570">
        <v>0.99917201407576073</v>
      </c>
      <c r="P570">
        <v>0.99897119341563789</v>
      </c>
      <c r="Q570">
        <v>0.99978536166559351</v>
      </c>
      <c r="R570">
        <v>0.99920458160992687</v>
      </c>
    </row>
    <row r="571" spans="4:19" x14ac:dyDescent="0.25">
      <c r="D571" t="s">
        <v>44</v>
      </c>
      <c r="E571">
        <v>2014</v>
      </c>
      <c r="F571" t="s">
        <v>22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0.99981874206996557</v>
      </c>
      <c r="N571">
        <v>1</v>
      </c>
      <c r="O571">
        <v>0.99942396313364057</v>
      </c>
      <c r="P571">
        <v>1</v>
      </c>
      <c r="Q571">
        <v>1</v>
      </c>
      <c r="R571">
        <v>1</v>
      </c>
    </row>
    <row r="572" spans="4:19" x14ac:dyDescent="0.25">
      <c r="D572" t="s">
        <v>44</v>
      </c>
      <c r="E572">
        <v>2015</v>
      </c>
      <c r="F572" t="s">
        <v>22</v>
      </c>
      <c r="G572">
        <v>1</v>
      </c>
      <c r="H572">
        <v>1</v>
      </c>
      <c r="I572">
        <v>0.988552492845308</v>
      </c>
      <c r="J572">
        <v>0.99941115854556162</v>
      </c>
      <c r="K572">
        <v>1</v>
      </c>
      <c r="L572">
        <v>0.99938090078935149</v>
      </c>
      <c r="M572">
        <v>1</v>
      </c>
    </row>
    <row r="573" spans="4:19" x14ac:dyDescent="0.25">
      <c r="D573" t="s">
        <v>44</v>
      </c>
      <c r="E573">
        <v>2013</v>
      </c>
      <c r="F573" t="s">
        <v>23</v>
      </c>
      <c r="S573">
        <v>79923</v>
      </c>
    </row>
    <row r="574" spans="4:19" x14ac:dyDescent="0.25">
      <c r="D574" t="s">
        <v>44</v>
      </c>
      <c r="E574">
        <v>2014</v>
      </c>
      <c r="F574" t="s">
        <v>23</v>
      </c>
      <c r="S574">
        <v>77351</v>
      </c>
    </row>
    <row r="575" spans="4:19" x14ac:dyDescent="0.25">
      <c r="D575" t="s">
        <v>44</v>
      </c>
      <c r="E575">
        <v>2015</v>
      </c>
      <c r="F575" t="s">
        <v>23</v>
      </c>
      <c r="S575">
        <v>79374</v>
      </c>
    </row>
    <row r="576" spans="4:19" x14ac:dyDescent="0.25">
      <c r="D576" t="s">
        <v>44</v>
      </c>
      <c r="E576">
        <v>2013</v>
      </c>
      <c r="F576" t="s">
        <v>24</v>
      </c>
      <c r="G576">
        <v>14402</v>
      </c>
      <c r="H576">
        <v>13995</v>
      </c>
      <c r="I576">
        <v>11627</v>
      </c>
      <c r="J576">
        <v>10249</v>
      </c>
      <c r="K576">
        <v>10044</v>
      </c>
      <c r="L576">
        <v>9240</v>
      </c>
      <c r="M576">
        <v>10366</v>
      </c>
      <c r="N576">
        <v>10702</v>
      </c>
      <c r="O576">
        <v>12461</v>
      </c>
      <c r="P576">
        <v>11441</v>
      </c>
      <c r="Q576">
        <v>11427</v>
      </c>
      <c r="R576">
        <v>11325</v>
      </c>
    </row>
    <row r="577" spans="4:19" x14ac:dyDescent="0.25">
      <c r="D577" t="s">
        <v>44</v>
      </c>
      <c r="E577">
        <v>2014</v>
      </c>
      <c r="F577" t="s">
        <v>24</v>
      </c>
      <c r="G577">
        <v>12752</v>
      </c>
      <c r="H577">
        <v>11597</v>
      </c>
      <c r="I577">
        <v>10588</v>
      </c>
      <c r="J577">
        <v>9785</v>
      </c>
      <c r="K577">
        <v>9550</v>
      </c>
      <c r="L577">
        <v>11188</v>
      </c>
      <c r="M577">
        <v>11891</v>
      </c>
      <c r="N577">
        <v>11415</v>
      </c>
      <c r="O577">
        <v>14413</v>
      </c>
      <c r="P577">
        <v>12645</v>
      </c>
      <c r="Q577">
        <v>11756</v>
      </c>
      <c r="R577">
        <v>11660</v>
      </c>
    </row>
    <row r="578" spans="4:19" x14ac:dyDescent="0.25">
      <c r="D578" t="s">
        <v>44</v>
      </c>
      <c r="E578">
        <v>2015</v>
      </c>
      <c r="F578" t="s">
        <v>24</v>
      </c>
      <c r="G578">
        <v>12033</v>
      </c>
      <c r="H578">
        <v>12433</v>
      </c>
      <c r="I578">
        <v>12135</v>
      </c>
      <c r="J578">
        <v>11010</v>
      </c>
      <c r="K578">
        <v>8987</v>
      </c>
      <c r="L578">
        <v>10670</v>
      </c>
      <c r="M578">
        <v>12106</v>
      </c>
    </row>
    <row r="579" spans="4:19" x14ac:dyDescent="0.25">
      <c r="D579" t="s">
        <v>44</v>
      </c>
      <c r="E579">
        <v>2013</v>
      </c>
      <c r="F579" t="s">
        <v>25</v>
      </c>
      <c r="S579">
        <v>227483</v>
      </c>
    </row>
    <row r="580" spans="4:19" x14ac:dyDescent="0.25">
      <c r="D580" t="s">
        <v>44</v>
      </c>
      <c r="E580">
        <v>2014</v>
      </c>
      <c r="F580" t="s">
        <v>25</v>
      </c>
      <c r="S580">
        <v>237317</v>
      </c>
    </row>
    <row r="581" spans="4:19" x14ac:dyDescent="0.25">
      <c r="D581" t="s">
        <v>44</v>
      </c>
      <c r="E581">
        <v>2015</v>
      </c>
      <c r="F581" t="s">
        <v>25</v>
      </c>
      <c r="S581">
        <v>260560</v>
      </c>
    </row>
    <row r="582" spans="4:19" x14ac:dyDescent="0.25">
      <c r="D582" t="s">
        <v>44</v>
      </c>
      <c r="E582">
        <v>2013</v>
      </c>
      <c r="F582" t="s">
        <v>26</v>
      </c>
      <c r="G582">
        <v>39617</v>
      </c>
      <c r="H582">
        <v>33862</v>
      </c>
      <c r="I582">
        <v>32618</v>
      </c>
      <c r="J582">
        <v>29423</v>
      </c>
      <c r="K582">
        <v>28051</v>
      </c>
      <c r="L582">
        <v>30132</v>
      </c>
      <c r="M582">
        <v>33780</v>
      </c>
      <c r="N582">
        <v>31295</v>
      </c>
      <c r="O582">
        <v>37999</v>
      </c>
      <c r="P582">
        <v>44231</v>
      </c>
      <c r="Q582">
        <v>38793</v>
      </c>
      <c r="R582">
        <v>40974</v>
      </c>
    </row>
    <row r="583" spans="4:19" x14ac:dyDescent="0.25">
      <c r="D583" t="s">
        <v>44</v>
      </c>
      <c r="E583">
        <v>2014</v>
      </c>
      <c r="F583" t="s">
        <v>26</v>
      </c>
      <c r="G583">
        <v>42871</v>
      </c>
      <c r="H583">
        <v>34717</v>
      </c>
      <c r="I583">
        <v>32395</v>
      </c>
      <c r="J583">
        <v>31696</v>
      </c>
      <c r="K583">
        <v>28453</v>
      </c>
      <c r="L583">
        <v>32769</v>
      </c>
      <c r="M583">
        <v>34416</v>
      </c>
      <c r="N583">
        <v>33114</v>
      </c>
      <c r="O583">
        <v>41122</v>
      </c>
      <c r="P583">
        <v>40485</v>
      </c>
      <c r="Q583">
        <v>43319</v>
      </c>
      <c r="R583">
        <v>47958</v>
      </c>
    </row>
    <row r="584" spans="4:19" x14ac:dyDescent="0.25">
      <c r="D584" t="s">
        <v>44</v>
      </c>
      <c r="E584">
        <v>2015</v>
      </c>
      <c r="F584" t="s">
        <v>26</v>
      </c>
      <c r="G584">
        <v>40566</v>
      </c>
      <c r="H584">
        <v>36961</v>
      </c>
      <c r="I584">
        <v>38691</v>
      </c>
      <c r="J584">
        <v>34272</v>
      </c>
      <c r="K584">
        <v>31245</v>
      </c>
      <c r="L584">
        <v>38554</v>
      </c>
      <c r="M584">
        <v>40271</v>
      </c>
    </row>
    <row r="585" spans="4:19" x14ac:dyDescent="0.25">
      <c r="D585" t="s">
        <v>44</v>
      </c>
      <c r="E585">
        <v>2013</v>
      </c>
      <c r="F585" t="s">
        <v>27</v>
      </c>
      <c r="S585">
        <v>361953</v>
      </c>
    </row>
    <row r="586" spans="4:19" x14ac:dyDescent="0.25">
      <c r="D586" t="s">
        <v>44</v>
      </c>
      <c r="E586">
        <v>2014</v>
      </c>
      <c r="F586" t="s">
        <v>27</v>
      </c>
      <c r="S586">
        <v>384100</v>
      </c>
    </row>
    <row r="587" spans="4:19" x14ac:dyDescent="0.25">
      <c r="D587" t="s">
        <v>44</v>
      </c>
      <c r="E587">
        <v>2015</v>
      </c>
      <c r="F587" t="s">
        <v>27</v>
      </c>
      <c r="S587">
        <v>435196</v>
      </c>
    </row>
    <row r="588" spans="4:19" x14ac:dyDescent="0.25">
      <c r="D588" t="s">
        <v>44</v>
      </c>
      <c r="E588">
        <v>2013</v>
      </c>
      <c r="F588" t="s">
        <v>28</v>
      </c>
      <c r="G588">
        <v>61563</v>
      </c>
      <c r="H588">
        <v>54631</v>
      </c>
      <c r="I588">
        <v>53668</v>
      </c>
      <c r="J588">
        <v>46788</v>
      </c>
      <c r="K588">
        <v>44228</v>
      </c>
      <c r="L588">
        <v>47000</v>
      </c>
      <c r="M588">
        <v>54075</v>
      </c>
      <c r="N588">
        <v>50021</v>
      </c>
      <c r="O588">
        <v>62262</v>
      </c>
      <c r="P588">
        <v>70954</v>
      </c>
      <c r="Q588">
        <v>60817</v>
      </c>
      <c r="R588">
        <v>63790</v>
      </c>
    </row>
    <row r="589" spans="4:19" x14ac:dyDescent="0.25">
      <c r="D589" t="s">
        <v>44</v>
      </c>
      <c r="E589">
        <v>2014</v>
      </c>
      <c r="F589" t="s">
        <v>28</v>
      </c>
      <c r="G589">
        <v>68324</v>
      </c>
      <c r="H589">
        <v>56761</v>
      </c>
      <c r="I589">
        <v>52057</v>
      </c>
      <c r="J589">
        <v>52456</v>
      </c>
      <c r="K589">
        <v>45650</v>
      </c>
      <c r="L589">
        <v>53193</v>
      </c>
      <c r="M589">
        <v>55659</v>
      </c>
      <c r="N589">
        <v>53599</v>
      </c>
      <c r="O589">
        <v>67264</v>
      </c>
      <c r="P589">
        <v>67305</v>
      </c>
      <c r="Q589">
        <v>67525</v>
      </c>
      <c r="R589">
        <v>77895</v>
      </c>
    </row>
    <row r="590" spans="4:19" x14ac:dyDescent="0.25">
      <c r="D590" t="s">
        <v>44</v>
      </c>
      <c r="E590">
        <v>2015</v>
      </c>
      <c r="F590" t="s">
        <v>28</v>
      </c>
      <c r="G590">
        <v>66319</v>
      </c>
      <c r="H590">
        <v>62736</v>
      </c>
      <c r="I590">
        <v>65047</v>
      </c>
      <c r="J590">
        <v>58111</v>
      </c>
      <c r="K590">
        <v>51669</v>
      </c>
      <c r="L590">
        <v>63408</v>
      </c>
      <c r="M590">
        <v>67906</v>
      </c>
    </row>
    <row r="591" spans="4:19" x14ac:dyDescent="0.25">
      <c r="D591" t="s">
        <v>44</v>
      </c>
      <c r="E591">
        <v>2013</v>
      </c>
      <c r="F591" t="s">
        <v>29</v>
      </c>
      <c r="S591">
        <v>48681</v>
      </c>
    </row>
    <row r="592" spans="4:19" x14ac:dyDescent="0.25">
      <c r="D592" t="s">
        <v>44</v>
      </c>
      <c r="E592">
        <v>2014</v>
      </c>
      <c r="F592" t="s">
        <v>29</v>
      </c>
      <c r="S592">
        <v>50685</v>
      </c>
    </row>
    <row r="593" spans="4:19" x14ac:dyDescent="0.25">
      <c r="D593" t="s">
        <v>44</v>
      </c>
      <c r="E593">
        <v>2015</v>
      </c>
      <c r="F593" t="s">
        <v>29</v>
      </c>
      <c r="S593">
        <v>52095</v>
      </c>
    </row>
    <row r="594" spans="4:19" x14ac:dyDescent="0.25">
      <c r="D594" t="s">
        <v>44</v>
      </c>
      <c r="E594">
        <v>2013</v>
      </c>
      <c r="F594" t="s">
        <v>30</v>
      </c>
      <c r="G594">
        <v>8374</v>
      </c>
      <c r="H594">
        <v>6305</v>
      </c>
      <c r="I594">
        <v>7347</v>
      </c>
      <c r="J594">
        <v>6660</v>
      </c>
      <c r="K594">
        <v>6366</v>
      </c>
      <c r="L594">
        <v>6614</v>
      </c>
      <c r="M594">
        <v>7015</v>
      </c>
      <c r="N594">
        <v>6305</v>
      </c>
      <c r="O594">
        <v>8744</v>
      </c>
      <c r="P594">
        <v>8039</v>
      </c>
      <c r="Q594">
        <v>7470</v>
      </c>
      <c r="R594">
        <v>7236</v>
      </c>
    </row>
    <row r="595" spans="4:19" x14ac:dyDescent="0.25">
      <c r="D595" t="s">
        <v>44</v>
      </c>
      <c r="E595">
        <v>2014</v>
      </c>
      <c r="F595" t="s">
        <v>30</v>
      </c>
      <c r="G595">
        <v>8707</v>
      </c>
      <c r="H595">
        <v>7383</v>
      </c>
      <c r="I595">
        <v>7278</v>
      </c>
      <c r="J595">
        <v>6999</v>
      </c>
      <c r="K595">
        <v>6287</v>
      </c>
      <c r="L595">
        <v>6773</v>
      </c>
      <c r="M595">
        <v>7258</v>
      </c>
      <c r="N595">
        <v>6750</v>
      </c>
      <c r="O595">
        <v>9000</v>
      </c>
      <c r="P595">
        <v>8861</v>
      </c>
      <c r="Q595">
        <v>7343</v>
      </c>
      <c r="R595">
        <v>8192</v>
      </c>
    </row>
    <row r="596" spans="4:19" x14ac:dyDescent="0.25">
      <c r="D596" t="s">
        <v>44</v>
      </c>
      <c r="E596">
        <v>2015</v>
      </c>
      <c r="F596" t="s">
        <v>30</v>
      </c>
      <c r="G596">
        <v>8135</v>
      </c>
      <c r="H596">
        <v>7711</v>
      </c>
      <c r="I596">
        <v>8124</v>
      </c>
      <c r="J596">
        <v>7220</v>
      </c>
      <c r="K596">
        <v>5999</v>
      </c>
      <c r="L596">
        <v>7650</v>
      </c>
      <c r="M596">
        <v>7256</v>
      </c>
    </row>
    <row r="597" spans="4:19" x14ac:dyDescent="0.25">
      <c r="D597" t="s">
        <v>44</v>
      </c>
      <c r="E597">
        <v>2013</v>
      </c>
      <c r="F597" t="s">
        <v>31</v>
      </c>
      <c r="S597">
        <v>0.83405277579670434</v>
      </c>
    </row>
    <row r="598" spans="4:19" x14ac:dyDescent="0.25">
      <c r="D598" t="s">
        <v>44</v>
      </c>
      <c r="E598">
        <v>2014</v>
      </c>
      <c r="F598" t="s">
        <v>31</v>
      </c>
      <c r="S598">
        <v>0.94780933666015954</v>
      </c>
    </row>
    <row r="599" spans="4:19" x14ac:dyDescent="0.25">
      <c r="D599" t="s">
        <v>44</v>
      </c>
      <c r="E599">
        <v>2015</v>
      </c>
      <c r="F599" t="s">
        <v>31</v>
      </c>
      <c r="S599">
        <v>0.89971527200342682</v>
      </c>
    </row>
    <row r="600" spans="4:19" x14ac:dyDescent="0.25">
      <c r="D600" t="s">
        <v>44</v>
      </c>
      <c r="E600">
        <v>2013</v>
      </c>
      <c r="F600" t="s">
        <v>32</v>
      </c>
      <c r="G600">
        <v>0.80870712401055411</v>
      </c>
      <c r="H600">
        <v>0.78206502322257954</v>
      </c>
      <c r="I600">
        <v>0.82093403285456268</v>
      </c>
      <c r="J600">
        <v>0.84710703483266658</v>
      </c>
      <c r="K600">
        <v>0.83552369573874952</v>
      </c>
      <c r="L600">
        <v>0.82640692640692637</v>
      </c>
      <c r="M600">
        <v>0.94665251784680682</v>
      </c>
      <c r="N600">
        <v>0.95468136796860403</v>
      </c>
      <c r="O600">
        <v>0.93925046143969182</v>
      </c>
      <c r="P600">
        <v>0.96661131020015734</v>
      </c>
      <c r="Q600">
        <v>0.93629124004550623</v>
      </c>
      <c r="R600">
        <v>0.95328918322295808</v>
      </c>
    </row>
    <row r="601" spans="4:19" x14ac:dyDescent="0.25">
      <c r="D601" t="s">
        <v>44</v>
      </c>
      <c r="E601">
        <v>2014</v>
      </c>
      <c r="F601" t="s">
        <v>32</v>
      </c>
      <c r="G601">
        <v>0.96439774153074032</v>
      </c>
      <c r="H601">
        <v>0.98603087005259982</v>
      </c>
      <c r="I601">
        <v>0.98384964110313566</v>
      </c>
      <c r="J601">
        <v>0.9569749616760348</v>
      </c>
      <c r="K601">
        <v>0.976020942408377</v>
      </c>
      <c r="L601">
        <v>0.87477654629960677</v>
      </c>
      <c r="M601">
        <v>0.89916743755781681</v>
      </c>
      <c r="N601">
        <v>0.92098116513359618</v>
      </c>
      <c r="O601">
        <v>0.93047942829390129</v>
      </c>
      <c r="P601">
        <v>0.9240015816528272</v>
      </c>
      <c r="Q601">
        <v>0.92531473290234778</v>
      </c>
      <c r="R601">
        <v>0.92864493996569464</v>
      </c>
    </row>
    <row r="602" spans="4:19" x14ac:dyDescent="0.25">
      <c r="D602" t="s">
        <v>44</v>
      </c>
      <c r="E602">
        <v>2015</v>
      </c>
      <c r="F602" t="s">
        <v>32</v>
      </c>
      <c r="G602">
        <v>0.91573173772126648</v>
      </c>
      <c r="H602">
        <v>0.91305396927531568</v>
      </c>
      <c r="I602">
        <v>0.87836835599505558</v>
      </c>
      <c r="J602">
        <v>0.85594913714804721</v>
      </c>
      <c r="K602">
        <v>0.90464003560698791</v>
      </c>
      <c r="L602">
        <v>0.93308341143392692</v>
      </c>
      <c r="M602">
        <v>0.89823228151329915</v>
      </c>
    </row>
    <row r="603" spans="4:19" x14ac:dyDescent="0.25">
      <c r="D603" t="s">
        <v>44</v>
      </c>
      <c r="E603">
        <v>2013</v>
      </c>
      <c r="F603" t="s">
        <v>33</v>
      </c>
      <c r="S603">
        <v>0.88504635566674372</v>
      </c>
    </row>
    <row r="604" spans="4:19" x14ac:dyDescent="0.25">
      <c r="D604" t="s">
        <v>44</v>
      </c>
      <c r="E604">
        <v>2014</v>
      </c>
      <c r="F604" t="s">
        <v>33</v>
      </c>
      <c r="S604">
        <v>0.95754340892983703</v>
      </c>
    </row>
    <row r="605" spans="4:19" x14ac:dyDescent="0.25">
      <c r="D605" t="s">
        <v>44</v>
      </c>
      <c r="E605">
        <v>2015</v>
      </c>
      <c r="F605" t="s">
        <v>33</v>
      </c>
      <c r="S605">
        <v>0.90577551611435192</v>
      </c>
    </row>
    <row r="606" spans="4:19" x14ac:dyDescent="0.25">
      <c r="D606" t="s">
        <v>44</v>
      </c>
      <c r="E606">
        <v>2013</v>
      </c>
      <c r="F606" t="s">
        <v>34</v>
      </c>
      <c r="G606">
        <v>0.85063752276867033</v>
      </c>
      <c r="H606">
        <v>0.81498028909329834</v>
      </c>
      <c r="I606">
        <v>0.8716422043755192</v>
      </c>
      <c r="J606">
        <v>0.91984610452067972</v>
      </c>
      <c r="K606">
        <v>0.90448408068011332</v>
      </c>
      <c r="L606">
        <v>0.9217625899280576</v>
      </c>
      <c r="M606">
        <v>0.94913877153071169</v>
      </c>
      <c r="N606">
        <v>0.92375412670963686</v>
      </c>
      <c r="O606">
        <v>0.90291137617032191</v>
      </c>
      <c r="P606">
        <v>0.94634831460674163</v>
      </c>
      <c r="Q606">
        <v>0.89525179856115111</v>
      </c>
      <c r="R606">
        <v>0.92042719614921786</v>
      </c>
    </row>
    <row r="607" spans="4:19" x14ac:dyDescent="0.25">
      <c r="D607" t="s">
        <v>44</v>
      </c>
      <c r="E607">
        <v>2014</v>
      </c>
      <c r="F607" t="s">
        <v>34</v>
      </c>
      <c r="G607">
        <v>0.94324290536317035</v>
      </c>
      <c r="H607">
        <v>0.97758095765291997</v>
      </c>
      <c r="I607">
        <v>0.97408698287619333</v>
      </c>
      <c r="J607">
        <v>0.93185496924571054</v>
      </c>
      <c r="K607">
        <v>0.96298690803297238</v>
      </c>
      <c r="L607">
        <v>0.95357142857142863</v>
      </c>
      <c r="M607">
        <v>0.95897818385232148</v>
      </c>
      <c r="N607">
        <v>0.97753869384673464</v>
      </c>
      <c r="O607">
        <v>0.94988216810683423</v>
      </c>
      <c r="P607">
        <v>0.93875166889185579</v>
      </c>
      <c r="Q607">
        <v>0.93419444929307038</v>
      </c>
      <c r="R607">
        <v>0.93947409366734091</v>
      </c>
    </row>
    <row r="608" spans="4:19" x14ac:dyDescent="0.25">
      <c r="D608" t="s">
        <v>44</v>
      </c>
      <c r="E608">
        <v>2015</v>
      </c>
      <c r="F608" t="s">
        <v>34</v>
      </c>
      <c r="G608">
        <v>0.92758668709093439</v>
      </c>
      <c r="H608">
        <v>0.91746940900807084</v>
      </c>
      <c r="I608">
        <v>0.89031300593631946</v>
      </c>
      <c r="J608">
        <v>0.8384843982169391</v>
      </c>
      <c r="K608">
        <v>0.90701914311759346</v>
      </c>
      <c r="L608">
        <v>0.95795572723220923</v>
      </c>
      <c r="M608">
        <v>0.90057576183120347</v>
      </c>
    </row>
    <row r="609" spans="4:19" x14ac:dyDescent="0.25">
      <c r="D609" t="s">
        <v>45</v>
      </c>
      <c r="E609">
        <v>2013</v>
      </c>
      <c r="F609" t="s">
        <v>17</v>
      </c>
      <c r="S609">
        <v>0.9260326822021685</v>
      </c>
    </row>
    <row r="610" spans="4:19" x14ac:dyDescent="0.25">
      <c r="D610" t="s">
        <v>45</v>
      </c>
      <c r="E610">
        <v>2014</v>
      </c>
      <c r="F610" t="s">
        <v>17</v>
      </c>
      <c r="S610">
        <v>0.89888994500644981</v>
      </c>
    </row>
    <row r="611" spans="4:19" x14ac:dyDescent="0.25">
      <c r="D611" t="s">
        <v>45</v>
      </c>
      <c r="E611">
        <v>2015</v>
      </c>
      <c r="F611" t="s">
        <v>17</v>
      </c>
      <c r="S611">
        <v>0.95522330546029055</v>
      </c>
    </row>
    <row r="612" spans="4:19" x14ac:dyDescent="0.25">
      <c r="D612" t="s">
        <v>45</v>
      </c>
      <c r="E612">
        <v>2013</v>
      </c>
      <c r="F612" t="s">
        <v>18</v>
      </c>
      <c r="G612">
        <v>0.91976420501064349</v>
      </c>
      <c r="H612">
        <v>0.74880415470821371</v>
      </c>
      <c r="I612">
        <v>0.92288750648004148</v>
      </c>
      <c r="J612">
        <v>0.98321829746921097</v>
      </c>
      <c r="K612">
        <v>0.96140404193891504</v>
      </c>
      <c r="L612">
        <v>0.99605691753814507</v>
      </c>
      <c r="M612">
        <v>0.99711399711399706</v>
      </c>
      <c r="N612">
        <v>0.72449657003761891</v>
      </c>
      <c r="O612">
        <v>0.78407443209279848</v>
      </c>
      <c r="P612">
        <v>0.85029515938606848</v>
      </c>
      <c r="Q612">
        <v>0.89560148383677796</v>
      </c>
      <c r="R612">
        <v>0.92594136445741282</v>
      </c>
    </row>
    <row r="613" spans="4:19" x14ac:dyDescent="0.25">
      <c r="D613" t="s">
        <v>45</v>
      </c>
      <c r="E613">
        <v>2014</v>
      </c>
      <c r="F613" t="s">
        <v>18</v>
      </c>
      <c r="G613">
        <v>0.81547752180720201</v>
      </c>
      <c r="H613">
        <v>0.9163057600692941</v>
      </c>
      <c r="I613">
        <v>0.89769397375461846</v>
      </c>
      <c r="J613">
        <v>0.92801406747994286</v>
      </c>
      <c r="K613">
        <v>0.92536773571256326</v>
      </c>
      <c r="L613">
        <v>0.90901255848313223</v>
      </c>
      <c r="M613">
        <v>0.90263086520206126</v>
      </c>
      <c r="N613">
        <v>0.91111405484170094</v>
      </c>
      <c r="O613">
        <v>0.93784899247390141</v>
      </c>
      <c r="P613">
        <v>0.95842494503298026</v>
      </c>
      <c r="Q613">
        <v>0.80254192872117402</v>
      </c>
      <c r="R613">
        <v>0.85168728233457425</v>
      </c>
    </row>
    <row r="614" spans="4:19" x14ac:dyDescent="0.25">
      <c r="D614" t="s">
        <v>45</v>
      </c>
      <c r="E614">
        <v>2015</v>
      </c>
      <c r="F614" t="s">
        <v>18</v>
      </c>
      <c r="G614">
        <v>0.90746509749625015</v>
      </c>
      <c r="H614">
        <v>0.94487024337770609</v>
      </c>
      <c r="I614">
        <v>0.96073425723316319</v>
      </c>
      <c r="J614">
        <v>0.97406851371639147</v>
      </c>
      <c r="K614">
        <v>0.97545375972342263</v>
      </c>
      <c r="L614">
        <v>0.97239466384889706</v>
      </c>
      <c r="M614">
        <v>0.96400058063579619</v>
      </c>
    </row>
    <row r="615" spans="4:19" x14ac:dyDescent="0.25">
      <c r="D615" t="s">
        <v>45</v>
      </c>
      <c r="E615">
        <v>2013</v>
      </c>
      <c r="F615" t="s">
        <v>19</v>
      </c>
      <c r="S615">
        <v>0.71621722869826365</v>
      </c>
    </row>
    <row r="616" spans="4:19" x14ac:dyDescent="0.25">
      <c r="D616" t="s">
        <v>45</v>
      </c>
      <c r="E616">
        <v>2014</v>
      </c>
      <c r="F616" t="s">
        <v>19</v>
      </c>
      <c r="S616">
        <v>0.93418707886748753</v>
      </c>
    </row>
    <row r="617" spans="4:19" x14ac:dyDescent="0.25">
      <c r="D617" t="s">
        <v>45</v>
      </c>
      <c r="E617">
        <v>2015</v>
      </c>
      <c r="F617" t="s">
        <v>19</v>
      </c>
      <c r="S617">
        <v>0.99920035485524994</v>
      </c>
    </row>
    <row r="618" spans="4:19" x14ac:dyDescent="0.25">
      <c r="D618" t="s">
        <v>45</v>
      </c>
      <c r="E618">
        <v>2013</v>
      </c>
      <c r="F618" t="s">
        <v>20</v>
      </c>
      <c r="G618">
        <v>0.71861201927938256</v>
      </c>
      <c r="H618">
        <v>0.68723530575895508</v>
      </c>
      <c r="I618">
        <v>0.69869968755743428</v>
      </c>
      <c r="J618">
        <v>0.67923013285318024</v>
      </c>
      <c r="K618">
        <v>0.57149942959178612</v>
      </c>
      <c r="L618">
        <v>0.79807046174522411</v>
      </c>
      <c r="M618">
        <v>0.85374754801332053</v>
      </c>
      <c r="N618">
        <v>0.84535095574838648</v>
      </c>
      <c r="O618">
        <v>0.72844047885205587</v>
      </c>
      <c r="P618">
        <v>0.72325382958839546</v>
      </c>
      <c r="Q618">
        <v>0.64255678431891927</v>
      </c>
      <c r="R618">
        <v>0.88735820268447474</v>
      </c>
    </row>
    <row r="619" spans="4:19" x14ac:dyDescent="0.25">
      <c r="D619" t="s">
        <v>45</v>
      </c>
      <c r="E619">
        <v>2014</v>
      </c>
      <c r="F619" t="s">
        <v>20</v>
      </c>
      <c r="G619">
        <v>0.906970959517443</v>
      </c>
      <c r="H619">
        <v>0.9732791052364006</v>
      </c>
      <c r="I619">
        <v>0.75638891970856914</v>
      </c>
      <c r="J619">
        <v>0.9786088681116305</v>
      </c>
      <c r="K619">
        <v>0.98854072251715652</v>
      </c>
      <c r="L619">
        <v>0.9911440880804212</v>
      </c>
      <c r="M619">
        <v>0.98945839385764678</v>
      </c>
      <c r="N619">
        <v>0.99334529684462392</v>
      </c>
      <c r="O619">
        <v>0.9904050496399911</v>
      </c>
      <c r="P619">
        <v>0.99695078374386581</v>
      </c>
      <c r="Q619">
        <v>0.99708799254526093</v>
      </c>
      <c r="R619">
        <v>0.9981587124138952</v>
      </c>
    </row>
    <row r="620" spans="4:19" x14ac:dyDescent="0.25">
      <c r="D620" t="s">
        <v>45</v>
      </c>
      <c r="E620">
        <v>2015</v>
      </c>
      <c r="F620" t="s">
        <v>20</v>
      </c>
      <c r="G620">
        <v>0.99917330200583043</v>
      </c>
      <c r="H620">
        <v>0.99959298118668594</v>
      </c>
      <c r="I620">
        <v>0.99938192864563469</v>
      </c>
      <c r="J620">
        <v>0.99925009373828266</v>
      </c>
      <c r="K620">
        <v>0.99821824783164126</v>
      </c>
      <c r="L620">
        <v>0.99912671136402054</v>
      </c>
      <c r="M620">
        <v>0.99956910997271031</v>
      </c>
    </row>
    <row r="621" spans="4:19" x14ac:dyDescent="0.25">
      <c r="D621" t="s">
        <v>45</v>
      </c>
      <c r="E621">
        <v>2013</v>
      </c>
      <c r="F621" t="s">
        <v>21</v>
      </c>
      <c r="S621">
        <v>0.98101374169351196</v>
      </c>
    </row>
    <row r="622" spans="4:19" x14ac:dyDescent="0.25">
      <c r="D622" t="s">
        <v>45</v>
      </c>
      <c r="E622">
        <v>2014</v>
      </c>
      <c r="F622" t="s">
        <v>21</v>
      </c>
      <c r="S622">
        <v>0.99559216045146037</v>
      </c>
    </row>
    <row r="623" spans="4:19" x14ac:dyDescent="0.25">
      <c r="D623" t="s">
        <v>45</v>
      </c>
      <c r="E623">
        <v>2015</v>
      </c>
      <c r="F623" t="s">
        <v>21</v>
      </c>
      <c r="S623">
        <v>0.99939236322096103</v>
      </c>
    </row>
    <row r="624" spans="4:19" x14ac:dyDescent="0.25">
      <c r="D624" t="s">
        <v>45</v>
      </c>
      <c r="E624">
        <v>2013</v>
      </c>
      <c r="F624" t="s">
        <v>22</v>
      </c>
      <c r="G624">
        <v>0.99623525474776209</v>
      </c>
      <c r="H624">
        <v>0.99240626483151395</v>
      </c>
      <c r="I624">
        <v>0.99070107616758962</v>
      </c>
      <c r="J624">
        <v>0.9622272875284924</v>
      </c>
      <c r="K624">
        <v>0.98945286750164796</v>
      </c>
      <c r="L624">
        <v>0.95544554455445541</v>
      </c>
      <c r="M624">
        <v>0.97560975609756095</v>
      </c>
      <c r="N624">
        <v>0.96984773104176092</v>
      </c>
      <c r="O624">
        <v>0.98715292167426438</v>
      </c>
      <c r="P624">
        <v>0.98349125720425901</v>
      </c>
      <c r="Q624">
        <v>0.96455133777648994</v>
      </c>
      <c r="R624">
        <v>0.9633927729031041</v>
      </c>
    </row>
    <row r="625" spans="4:19" x14ac:dyDescent="0.25">
      <c r="D625" t="s">
        <v>45</v>
      </c>
      <c r="E625">
        <v>2014</v>
      </c>
      <c r="F625" t="s">
        <v>22</v>
      </c>
      <c r="G625">
        <v>0.99533965244865719</v>
      </c>
      <c r="H625">
        <v>0.98418436511522822</v>
      </c>
      <c r="I625">
        <v>0.99631476262735752</v>
      </c>
      <c r="J625">
        <v>0.99859705381300734</v>
      </c>
      <c r="K625">
        <v>0.99764067476701668</v>
      </c>
      <c r="L625">
        <v>0.99889611186066474</v>
      </c>
      <c r="M625">
        <v>0.99841810659527863</v>
      </c>
      <c r="N625">
        <v>0.99669421487603305</v>
      </c>
      <c r="O625">
        <v>0.99879915941158814</v>
      </c>
      <c r="P625">
        <v>0.99778488801378296</v>
      </c>
      <c r="Q625">
        <v>0.99877244130734999</v>
      </c>
      <c r="R625">
        <v>0.99906301241508555</v>
      </c>
    </row>
    <row r="626" spans="4:19" x14ac:dyDescent="0.25">
      <c r="D626" t="s">
        <v>45</v>
      </c>
      <c r="E626">
        <v>2015</v>
      </c>
      <c r="F626" t="s">
        <v>22</v>
      </c>
      <c r="G626">
        <v>0.99917504124793766</v>
      </c>
      <c r="H626">
        <v>0.99914040114613178</v>
      </c>
      <c r="I626">
        <v>0.99952358265840879</v>
      </c>
      <c r="J626">
        <v>0.99964523281596451</v>
      </c>
      <c r="K626">
        <v>0.99971217499760145</v>
      </c>
      <c r="L626">
        <v>0.99870665265540381</v>
      </c>
      <c r="M626">
        <v>0.99991539047296729</v>
      </c>
    </row>
    <row r="627" spans="4:19" x14ac:dyDescent="0.25">
      <c r="D627" t="s">
        <v>45</v>
      </c>
      <c r="E627">
        <v>2013</v>
      </c>
      <c r="F627" t="s">
        <v>23</v>
      </c>
      <c r="S627">
        <v>172388</v>
      </c>
    </row>
    <row r="628" spans="4:19" x14ac:dyDescent="0.25">
      <c r="D628" t="s">
        <v>45</v>
      </c>
      <c r="E628">
        <v>2014</v>
      </c>
      <c r="F628" t="s">
        <v>23</v>
      </c>
      <c r="S628">
        <v>170201</v>
      </c>
    </row>
    <row r="629" spans="4:19" x14ac:dyDescent="0.25">
      <c r="D629" t="s">
        <v>45</v>
      </c>
      <c r="E629">
        <v>2015</v>
      </c>
      <c r="F629" t="s">
        <v>23</v>
      </c>
      <c r="S629">
        <v>117015</v>
      </c>
    </row>
    <row r="630" spans="4:19" x14ac:dyDescent="0.25">
      <c r="D630" t="s">
        <v>45</v>
      </c>
      <c r="E630">
        <v>2013</v>
      </c>
      <c r="F630" t="s">
        <v>24</v>
      </c>
      <c r="G630">
        <v>29664</v>
      </c>
      <c r="H630">
        <v>26632</v>
      </c>
      <c r="I630">
        <v>25616</v>
      </c>
      <c r="J630">
        <v>20936</v>
      </c>
      <c r="K630">
        <v>25412</v>
      </c>
      <c r="L630">
        <v>22152</v>
      </c>
      <c r="M630">
        <v>21976</v>
      </c>
      <c r="N630">
        <v>23768</v>
      </c>
      <c r="O630">
        <v>30321</v>
      </c>
      <c r="P630">
        <v>32171</v>
      </c>
      <c r="Q630">
        <v>29465</v>
      </c>
      <c r="R630">
        <v>24905</v>
      </c>
    </row>
    <row r="631" spans="4:19" x14ac:dyDescent="0.25">
      <c r="D631" t="s">
        <v>45</v>
      </c>
      <c r="E631">
        <v>2014</v>
      </c>
      <c r="F631" t="s">
        <v>24</v>
      </c>
      <c r="G631">
        <v>33435</v>
      </c>
      <c r="H631">
        <v>29608</v>
      </c>
      <c r="I631">
        <v>23791</v>
      </c>
      <c r="J631">
        <v>23296</v>
      </c>
      <c r="K631">
        <v>20193</v>
      </c>
      <c r="L631">
        <v>20921</v>
      </c>
      <c r="M631">
        <v>18957</v>
      </c>
      <c r="N631">
        <v>17756</v>
      </c>
      <c r="O631">
        <v>25004</v>
      </c>
      <c r="P631">
        <v>20998</v>
      </c>
      <c r="Q631">
        <v>18466</v>
      </c>
      <c r="R631">
        <v>19358</v>
      </c>
    </row>
    <row r="632" spans="4:19" x14ac:dyDescent="0.25">
      <c r="D632" t="s">
        <v>45</v>
      </c>
      <c r="E632">
        <v>2015</v>
      </c>
      <c r="F632" t="s">
        <v>24</v>
      </c>
      <c r="G632">
        <v>19921</v>
      </c>
      <c r="H632">
        <v>18099</v>
      </c>
      <c r="I632">
        <v>17975</v>
      </c>
      <c r="J632">
        <v>15302</v>
      </c>
      <c r="K632">
        <v>12882</v>
      </c>
      <c r="L632">
        <v>16620</v>
      </c>
      <c r="M632">
        <v>16216</v>
      </c>
    </row>
    <row r="633" spans="4:19" x14ac:dyDescent="0.25">
      <c r="D633" t="s">
        <v>45</v>
      </c>
      <c r="E633">
        <v>2013</v>
      </c>
      <c r="F633" t="s">
        <v>25</v>
      </c>
      <c r="S633">
        <v>308207</v>
      </c>
    </row>
    <row r="634" spans="4:19" x14ac:dyDescent="0.25">
      <c r="D634" t="s">
        <v>45</v>
      </c>
      <c r="E634">
        <v>2014</v>
      </c>
      <c r="F634" t="s">
        <v>25</v>
      </c>
      <c r="S634">
        <v>324660</v>
      </c>
    </row>
    <row r="635" spans="4:19" x14ac:dyDescent="0.25">
      <c r="D635" t="s">
        <v>45</v>
      </c>
      <c r="E635">
        <v>2015</v>
      </c>
      <c r="F635" t="s">
        <v>25</v>
      </c>
      <c r="S635">
        <v>358899</v>
      </c>
    </row>
    <row r="636" spans="4:19" x14ac:dyDescent="0.25">
      <c r="D636" t="s">
        <v>45</v>
      </c>
      <c r="E636">
        <v>2013</v>
      </c>
      <c r="F636" t="s">
        <v>26</v>
      </c>
      <c r="G636">
        <v>56797</v>
      </c>
      <c r="H636">
        <v>45132</v>
      </c>
      <c r="I636">
        <v>43060</v>
      </c>
      <c r="J636">
        <v>40331</v>
      </c>
      <c r="K636">
        <v>37669</v>
      </c>
      <c r="L636">
        <v>39990</v>
      </c>
      <c r="M636">
        <v>45228</v>
      </c>
      <c r="N636">
        <v>43615</v>
      </c>
      <c r="O636">
        <v>64098</v>
      </c>
      <c r="P636">
        <v>62301</v>
      </c>
      <c r="Q636">
        <v>56671</v>
      </c>
      <c r="R636">
        <v>59093</v>
      </c>
    </row>
    <row r="637" spans="4:19" x14ac:dyDescent="0.25">
      <c r="D637" t="s">
        <v>45</v>
      </c>
      <c r="E637">
        <v>2014</v>
      </c>
      <c r="F637" t="s">
        <v>26</v>
      </c>
      <c r="G637">
        <v>60013</v>
      </c>
      <c r="H637">
        <v>49373</v>
      </c>
      <c r="I637">
        <v>44128</v>
      </c>
      <c r="J637">
        <v>42544</v>
      </c>
      <c r="K637">
        <v>41184</v>
      </c>
      <c r="L637">
        <v>41396</v>
      </c>
      <c r="M637">
        <v>46022</v>
      </c>
      <c r="N637">
        <v>44301</v>
      </c>
      <c r="O637">
        <v>54947</v>
      </c>
      <c r="P637">
        <v>59572</v>
      </c>
      <c r="Q637">
        <v>56133</v>
      </c>
      <c r="R637">
        <v>62928</v>
      </c>
    </row>
    <row r="638" spans="4:19" x14ac:dyDescent="0.25">
      <c r="D638" t="s">
        <v>45</v>
      </c>
      <c r="E638">
        <v>2015</v>
      </c>
      <c r="F638" t="s">
        <v>26</v>
      </c>
      <c r="G638">
        <v>65240</v>
      </c>
      <c r="H638">
        <v>50812</v>
      </c>
      <c r="I638">
        <v>51599</v>
      </c>
      <c r="J638">
        <v>48064</v>
      </c>
      <c r="K638">
        <v>41614</v>
      </c>
      <c r="L638">
        <v>51859</v>
      </c>
      <c r="M638">
        <v>49711</v>
      </c>
    </row>
    <row r="639" spans="4:19" x14ac:dyDescent="0.25">
      <c r="D639" t="s">
        <v>45</v>
      </c>
      <c r="E639">
        <v>2013</v>
      </c>
      <c r="F639" t="s">
        <v>27</v>
      </c>
      <c r="S639">
        <v>527322</v>
      </c>
    </row>
    <row r="640" spans="4:19" x14ac:dyDescent="0.25">
      <c r="D640" t="s">
        <v>45</v>
      </c>
      <c r="E640">
        <v>2014</v>
      </c>
      <c r="F640" t="s">
        <v>27</v>
      </c>
      <c r="S640">
        <v>547008</v>
      </c>
    </row>
    <row r="641" spans="4:19" x14ac:dyDescent="0.25">
      <c r="D641" t="s">
        <v>45</v>
      </c>
      <c r="E641">
        <v>2015</v>
      </c>
      <c r="F641" t="s">
        <v>27</v>
      </c>
      <c r="S641">
        <v>633223</v>
      </c>
    </row>
    <row r="642" spans="4:19" x14ac:dyDescent="0.25">
      <c r="D642" t="s">
        <v>45</v>
      </c>
      <c r="E642">
        <v>2013</v>
      </c>
      <c r="F642" t="s">
        <v>28</v>
      </c>
      <c r="G642">
        <v>96324</v>
      </c>
      <c r="H642">
        <v>79742</v>
      </c>
      <c r="I642">
        <v>74342</v>
      </c>
      <c r="J642">
        <v>70599</v>
      </c>
      <c r="K642">
        <v>64034</v>
      </c>
      <c r="L642">
        <v>67435</v>
      </c>
      <c r="M642">
        <v>74846</v>
      </c>
      <c r="N642">
        <v>70052</v>
      </c>
      <c r="O642">
        <v>100050</v>
      </c>
      <c r="P642">
        <v>101114</v>
      </c>
      <c r="Q642">
        <v>90493</v>
      </c>
      <c r="R642">
        <v>94980</v>
      </c>
    </row>
    <row r="643" spans="4:19" x14ac:dyDescent="0.25">
      <c r="D643" t="s">
        <v>45</v>
      </c>
      <c r="E643">
        <v>2014</v>
      </c>
      <c r="F643" t="s">
        <v>28</v>
      </c>
      <c r="G643">
        <v>97568</v>
      </c>
      <c r="H643">
        <v>83309</v>
      </c>
      <c r="I643">
        <v>75823</v>
      </c>
      <c r="J643">
        <v>71756</v>
      </c>
      <c r="K643">
        <v>70320</v>
      </c>
      <c r="L643">
        <v>69475</v>
      </c>
      <c r="M643">
        <v>78757</v>
      </c>
      <c r="N643">
        <v>75340</v>
      </c>
      <c r="O643">
        <v>96256</v>
      </c>
      <c r="P643">
        <v>106694</v>
      </c>
      <c r="Q643">
        <v>99042</v>
      </c>
      <c r="R643">
        <v>113156</v>
      </c>
    </row>
    <row r="644" spans="4:19" x14ac:dyDescent="0.25">
      <c r="D644" t="s">
        <v>45</v>
      </c>
      <c r="E644">
        <v>2015</v>
      </c>
      <c r="F644" t="s">
        <v>28</v>
      </c>
      <c r="G644">
        <v>113072</v>
      </c>
      <c r="H644">
        <v>92386</v>
      </c>
      <c r="I644">
        <v>94635</v>
      </c>
      <c r="J644">
        <v>83217</v>
      </c>
      <c r="K644">
        <v>73578</v>
      </c>
      <c r="L644">
        <v>90838</v>
      </c>
      <c r="M644">
        <v>85497</v>
      </c>
    </row>
    <row r="645" spans="4:19" x14ac:dyDescent="0.25">
      <c r="D645" t="s">
        <v>45</v>
      </c>
      <c r="E645">
        <v>2013</v>
      </c>
      <c r="F645" t="s">
        <v>29</v>
      </c>
      <c r="S645">
        <v>45101</v>
      </c>
    </row>
    <row r="646" spans="4:19" x14ac:dyDescent="0.25">
      <c r="D646" t="s">
        <v>45</v>
      </c>
      <c r="E646">
        <v>2014</v>
      </c>
      <c r="F646" t="s">
        <v>29</v>
      </c>
      <c r="S646">
        <v>58916</v>
      </c>
    </row>
    <row r="647" spans="4:19" x14ac:dyDescent="0.25">
      <c r="D647" t="s">
        <v>45</v>
      </c>
      <c r="E647">
        <v>2015</v>
      </c>
      <c r="F647" t="s">
        <v>29</v>
      </c>
      <c r="S647">
        <v>51902</v>
      </c>
    </row>
    <row r="648" spans="4:19" x14ac:dyDescent="0.25">
      <c r="D648" t="s">
        <v>45</v>
      </c>
      <c r="E648">
        <v>2013</v>
      </c>
      <c r="F648" t="s">
        <v>30</v>
      </c>
      <c r="G648">
        <v>6107</v>
      </c>
      <c r="H648">
        <v>7317</v>
      </c>
      <c r="I648">
        <v>7716</v>
      </c>
      <c r="J648">
        <v>7389</v>
      </c>
      <c r="K648">
        <v>6581</v>
      </c>
      <c r="L648">
        <v>5833</v>
      </c>
      <c r="M648">
        <v>4158</v>
      </c>
      <c r="N648">
        <v>4519</v>
      </c>
      <c r="O648">
        <v>8276</v>
      </c>
      <c r="P648">
        <v>8470</v>
      </c>
      <c r="Q648">
        <v>7548</v>
      </c>
      <c r="R648">
        <v>7197</v>
      </c>
    </row>
    <row r="649" spans="4:19" x14ac:dyDescent="0.25">
      <c r="D649" t="s">
        <v>45</v>
      </c>
      <c r="E649">
        <v>2014</v>
      </c>
      <c r="F649" t="s">
        <v>30</v>
      </c>
      <c r="G649">
        <v>8942</v>
      </c>
      <c r="H649">
        <v>9236</v>
      </c>
      <c r="I649">
        <v>7849</v>
      </c>
      <c r="J649">
        <v>9099</v>
      </c>
      <c r="K649">
        <v>8294</v>
      </c>
      <c r="L649">
        <v>8122</v>
      </c>
      <c r="M649">
        <v>7374</v>
      </c>
      <c r="N649">
        <v>7549</v>
      </c>
      <c r="O649">
        <v>12357</v>
      </c>
      <c r="P649">
        <v>10006</v>
      </c>
      <c r="Q649">
        <v>7632</v>
      </c>
      <c r="R649">
        <v>8327</v>
      </c>
    </row>
    <row r="650" spans="4:19" x14ac:dyDescent="0.25">
      <c r="D650" t="s">
        <v>45</v>
      </c>
      <c r="E650">
        <v>2015</v>
      </c>
      <c r="F650" t="s">
        <v>30</v>
      </c>
      <c r="G650">
        <v>8667</v>
      </c>
      <c r="H650">
        <v>7437</v>
      </c>
      <c r="I650">
        <v>8226</v>
      </c>
      <c r="J650">
        <v>7327</v>
      </c>
      <c r="K650">
        <v>5785</v>
      </c>
      <c r="L650">
        <v>7571</v>
      </c>
      <c r="M650">
        <v>6889</v>
      </c>
    </row>
    <row r="651" spans="4:19" x14ac:dyDescent="0.25">
      <c r="D651" t="s">
        <v>45</v>
      </c>
      <c r="E651">
        <v>2013</v>
      </c>
      <c r="F651" t="s">
        <v>31</v>
      </c>
      <c r="S651">
        <v>0.73528899923428548</v>
      </c>
    </row>
    <row r="652" spans="4:19" x14ac:dyDescent="0.25">
      <c r="D652" t="s">
        <v>45</v>
      </c>
      <c r="E652">
        <v>2014</v>
      </c>
      <c r="F652" t="s">
        <v>31</v>
      </c>
      <c r="S652">
        <v>0.94883696335509193</v>
      </c>
    </row>
    <row r="653" spans="4:19" x14ac:dyDescent="0.25">
      <c r="D653" t="s">
        <v>45</v>
      </c>
      <c r="E653">
        <v>2015</v>
      </c>
      <c r="F653" t="s">
        <v>31</v>
      </c>
      <c r="S653">
        <v>0.91127633209417591</v>
      </c>
    </row>
    <row r="654" spans="4:19" x14ac:dyDescent="0.25">
      <c r="D654" t="s">
        <v>45</v>
      </c>
      <c r="E654">
        <v>2013</v>
      </c>
      <c r="F654" t="s">
        <v>32</v>
      </c>
      <c r="G654">
        <v>0.75579827400215749</v>
      </c>
      <c r="H654">
        <v>0.7578101531991589</v>
      </c>
      <c r="I654">
        <v>0.73457995003123044</v>
      </c>
      <c r="J654">
        <v>0.75845433702713028</v>
      </c>
      <c r="K654">
        <v>0.61829057138359833</v>
      </c>
      <c r="L654">
        <v>0.62247201155651855</v>
      </c>
      <c r="M654">
        <v>0.90808154350200221</v>
      </c>
      <c r="N654">
        <v>0.91316055200269275</v>
      </c>
      <c r="O654">
        <v>0.91451469278717723</v>
      </c>
      <c r="P654">
        <v>0.91818718721830217</v>
      </c>
      <c r="Q654">
        <v>0.88437128796877651</v>
      </c>
      <c r="R654">
        <v>0.95510941577996389</v>
      </c>
    </row>
    <row r="655" spans="4:19" x14ac:dyDescent="0.25">
      <c r="D655" t="s">
        <v>45</v>
      </c>
      <c r="E655">
        <v>2014</v>
      </c>
      <c r="F655" t="s">
        <v>32</v>
      </c>
      <c r="G655">
        <v>0.95483774487812167</v>
      </c>
      <c r="H655">
        <v>0.94032018373412596</v>
      </c>
      <c r="I655">
        <v>0.95637005590349289</v>
      </c>
      <c r="J655">
        <v>0.97330013736263732</v>
      </c>
      <c r="K655">
        <v>0.95968900113900857</v>
      </c>
      <c r="L655">
        <v>0.94364514124563836</v>
      </c>
      <c r="M655">
        <v>0.90620878831038665</v>
      </c>
      <c r="N655">
        <v>0.90352556882180668</v>
      </c>
      <c r="O655">
        <v>0.92269236922092468</v>
      </c>
      <c r="P655">
        <v>0.9153728926564435</v>
      </c>
      <c r="Q655">
        <v>0.92597205675295136</v>
      </c>
      <c r="R655">
        <v>0.92085959293315423</v>
      </c>
    </row>
    <row r="656" spans="4:19" x14ac:dyDescent="0.25">
      <c r="D656" t="s">
        <v>45</v>
      </c>
      <c r="E656">
        <v>2015</v>
      </c>
      <c r="F656" t="s">
        <v>32</v>
      </c>
      <c r="G656">
        <v>0.91887957431855827</v>
      </c>
      <c r="H656">
        <v>0.90004972650422677</v>
      </c>
      <c r="I656">
        <v>0.90892906815020857</v>
      </c>
      <c r="J656">
        <v>0.92027185988759641</v>
      </c>
      <c r="K656">
        <v>0.92454587796925947</v>
      </c>
      <c r="L656">
        <v>0.90643802647412752</v>
      </c>
      <c r="M656">
        <v>0.90299703996053282</v>
      </c>
    </row>
    <row r="657" spans="4:19" x14ac:dyDescent="0.25">
      <c r="D657" t="s">
        <v>45</v>
      </c>
      <c r="E657">
        <v>2013</v>
      </c>
      <c r="F657" t="s">
        <v>33</v>
      </c>
      <c r="S657">
        <v>0.7431670837684986</v>
      </c>
    </row>
    <row r="658" spans="4:19" x14ac:dyDescent="0.25">
      <c r="D658" t="s">
        <v>45</v>
      </c>
      <c r="E658">
        <v>2014</v>
      </c>
      <c r="F658" t="s">
        <v>33</v>
      </c>
      <c r="S658">
        <v>0.91595436324391</v>
      </c>
    </row>
    <row r="659" spans="4:19" x14ac:dyDescent="0.25">
      <c r="D659" t="s">
        <v>45</v>
      </c>
      <c r="E659">
        <v>2015</v>
      </c>
      <c r="F659" t="s">
        <v>33</v>
      </c>
      <c r="S659">
        <v>0.93518738388903633</v>
      </c>
    </row>
    <row r="660" spans="4:19" x14ac:dyDescent="0.25">
      <c r="D660" t="s">
        <v>45</v>
      </c>
      <c r="E660">
        <v>2013</v>
      </c>
      <c r="F660" t="s">
        <v>34</v>
      </c>
      <c r="G660">
        <v>0.69552983648332978</v>
      </c>
      <c r="H660">
        <v>0.70199358386801103</v>
      </c>
      <c r="I660">
        <v>0.67060914327736243</v>
      </c>
      <c r="J660">
        <v>0.72623413258110014</v>
      </c>
      <c r="K660">
        <v>0.70175703189804695</v>
      </c>
      <c r="L660">
        <v>0.91917024320457796</v>
      </c>
      <c r="M660">
        <v>0.9033198936261474</v>
      </c>
      <c r="N660">
        <v>0.81181619256017501</v>
      </c>
      <c r="O660">
        <v>0.81725888324873097</v>
      </c>
      <c r="P660">
        <v>0.81047022395045731</v>
      </c>
      <c r="Q660">
        <v>0.70315554314437312</v>
      </c>
      <c r="R660">
        <v>0.91262894654579552</v>
      </c>
    </row>
    <row r="661" spans="4:19" x14ac:dyDescent="0.25">
      <c r="D661" t="s">
        <v>45</v>
      </c>
      <c r="E661">
        <v>2014</v>
      </c>
      <c r="F661" t="s">
        <v>34</v>
      </c>
      <c r="G661">
        <v>0.89978097829694037</v>
      </c>
      <c r="H661">
        <v>0.87284110535405868</v>
      </c>
      <c r="I661">
        <v>0.91383031711771545</v>
      </c>
      <c r="J661">
        <v>0.94651762682717111</v>
      </c>
      <c r="K661">
        <v>0.91669225258417764</v>
      </c>
      <c r="L661">
        <v>0.92071721754158564</v>
      </c>
      <c r="M661">
        <v>0.96502604443499518</v>
      </c>
      <c r="N661">
        <v>0.9674535869814348</v>
      </c>
      <c r="O661">
        <v>0.94853207683943452</v>
      </c>
      <c r="P661">
        <v>0.95354523227383858</v>
      </c>
      <c r="Q661">
        <v>0.94873940788785438</v>
      </c>
      <c r="R661">
        <v>0.94124209743399034</v>
      </c>
    </row>
    <row r="662" spans="4:19" x14ac:dyDescent="0.25">
      <c r="D662" t="s">
        <v>45</v>
      </c>
      <c r="E662">
        <v>2015</v>
      </c>
      <c r="F662" t="s">
        <v>34</v>
      </c>
      <c r="G662">
        <v>0.94448630997236871</v>
      </c>
      <c r="H662">
        <v>0.91393907654708917</v>
      </c>
      <c r="I662">
        <v>0.94281161473087816</v>
      </c>
      <c r="J662">
        <v>0.95513590219408362</v>
      </c>
      <c r="K662">
        <v>0.95043695380774029</v>
      </c>
      <c r="L662">
        <v>0.92603285216525633</v>
      </c>
      <c r="M662">
        <v>0.91796673210042357</v>
      </c>
    </row>
    <row r="663" spans="4:19" x14ac:dyDescent="0.25">
      <c r="D663" t="s">
        <v>46</v>
      </c>
      <c r="E663">
        <v>2013</v>
      </c>
      <c r="F663" t="s">
        <v>17</v>
      </c>
      <c r="S663">
        <v>0.83804501311201407</v>
      </c>
    </row>
    <row r="664" spans="4:19" x14ac:dyDescent="0.25">
      <c r="D664" t="s">
        <v>46</v>
      </c>
      <c r="E664">
        <v>2014</v>
      </c>
      <c r="F664" t="s">
        <v>17</v>
      </c>
      <c r="S664">
        <v>0.92941822173435784</v>
      </c>
    </row>
    <row r="665" spans="4:19" x14ac:dyDescent="0.25">
      <c r="D665" t="s">
        <v>46</v>
      </c>
      <c r="E665">
        <v>2015</v>
      </c>
      <c r="F665" t="s">
        <v>17</v>
      </c>
      <c r="S665">
        <v>0.93518116034672327</v>
      </c>
    </row>
    <row r="666" spans="4:19" x14ac:dyDescent="0.25">
      <c r="D666" t="s">
        <v>46</v>
      </c>
      <c r="E666">
        <v>2013</v>
      </c>
      <c r="F666" t="s">
        <v>18</v>
      </c>
      <c r="G666">
        <v>0.74995400183992644</v>
      </c>
      <c r="H666">
        <v>0.75494143484626652</v>
      </c>
      <c r="I666">
        <v>0.82897643593519887</v>
      </c>
      <c r="J666">
        <v>0.85021934405682054</v>
      </c>
      <c r="K666">
        <v>0.91679439456973943</v>
      </c>
      <c r="L666">
        <v>0.87337103516105241</v>
      </c>
      <c r="M666">
        <v>0.92301475045463732</v>
      </c>
      <c r="N666">
        <v>0.87120347111212604</v>
      </c>
      <c r="O666">
        <v>0.87426538818434896</v>
      </c>
      <c r="P666">
        <v>0.90320481535708474</v>
      </c>
      <c r="Q666">
        <v>0.90813135261923372</v>
      </c>
      <c r="R666">
        <v>0.88653465346534654</v>
      </c>
    </row>
    <row r="667" spans="4:19" x14ac:dyDescent="0.25">
      <c r="D667" t="s">
        <v>46</v>
      </c>
      <c r="E667">
        <v>2014</v>
      </c>
      <c r="F667" t="s">
        <v>18</v>
      </c>
      <c r="G667">
        <v>0.89183508488278096</v>
      </c>
      <c r="H667">
        <v>0.85877291432846992</v>
      </c>
      <c r="I667">
        <v>0.89928934010152284</v>
      </c>
      <c r="J667">
        <v>0.95986145069274653</v>
      </c>
      <c r="K667">
        <v>0.97253808195666169</v>
      </c>
      <c r="L667">
        <v>0.96797977670107438</v>
      </c>
      <c r="M667">
        <v>0.96912491178546223</v>
      </c>
      <c r="N667">
        <v>0.96088435374149661</v>
      </c>
      <c r="O667">
        <v>0.94232331437855399</v>
      </c>
      <c r="P667">
        <v>0.93714655033123284</v>
      </c>
      <c r="Q667">
        <v>0.95343877732361826</v>
      </c>
      <c r="R667">
        <v>0.95418613007545816</v>
      </c>
    </row>
    <row r="668" spans="4:19" x14ac:dyDescent="0.25">
      <c r="D668" t="s">
        <v>46</v>
      </c>
      <c r="E668">
        <v>2015</v>
      </c>
      <c r="F668" t="s">
        <v>18</v>
      </c>
      <c r="G668">
        <v>0.918396005617101</v>
      </c>
      <c r="H668">
        <v>0.91468350331876314</v>
      </c>
      <c r="I668">
        <v>0.94469895287958117</v>
      </c>
      <c r="J668">
        <v>0.93994880882063403</v>
      </c>
      <c r="K668">
        <v>0.93701149425287356</v>
      </c>
      <c r="L668">
        <v>0.94170817192399925</v>
      </c>
      <c r="M668">
        <v>0.95468440927890663</v>
      </c>
    </row>
    <row r="669" spans="4:19" x14ac:dyDescent="0.25">
      <c r="D669" t="s">
        <v>46</v>
      </c>
      <c r="E669">
        <v>2013</v>
      </c>
      <c r="F669" t="s">
        <v>19</v>
      </c>
      <c r="S669">
        <v>0.76766202703699415</v>
      </c>
    </row>
    <row r="670" spans="4:19" x14ac:dyDescent="0.25">
      <c r="D670" t="s">
        <v>46</v>
      </c>
      <c r="E670">
        <v>2014</v>
      </c>
      <c r="F670" t="s">
        <v>19</v>
      </c>
      <c r="S670">
        <v>0.99632488770490213</v>
      </c>
    </row>
    <row r="671" spans="4:19" x14ac:dyDescent="0.25">
      <c r="D671" t="s">
        <v>46</v>
      </c>
      <c r="E671">
        <v>2015</v>
      </c>
      <c r="F671" t="s">
        <v>19</v>
      </c>
      <c r="S671">
        <v>0.94731160419322114</v>
      </c>
    </row>
    <row r="672" spans="4:19" x14ac:dyDescent="0.25">
      <c r="D672" t="s">
        <v>46</v>
      </c>
      <c r="E672">
        <v>2013</v>
      </c>
      <c r="F672" t="s">
        <v>20</v>
      </c>
      <c r="G672">
        <v>0.73633376196599509</v>
      </c>
      <c r="H672">
        <v>0.70660367527008716</v>
      </c>
      <c r="I672">
        <v>0.61901620115827283</v>
      </c>
      <c r="J672">
        <v>0.68023370573605468</v>
      </c>
      <c r="K672">
        <v>0.6995174307346701</v>
      </c>
      <c r="L672">
        <v>0.98559634639030391</v>
      </c>
      <c r="M672">
        <v>0.9856063737833064</v>
      </c>
      <c r="N672">
        <v>0.97503166274651709</v>
      </c>
      <c r="O672">
        <v>0.98534772606618293</v>
      </c>
      <c r="P672">
        <v>0.82594795952407429</v>
      </c>
      <c r="Q672">
        <v>0.78709175738724724</v>
      </c>
      <c r="R672">
        <v>0.97157657059370439</v>
      </c>
    </row>
    <row r="673" spans="4:19" x14ac:dyDescent="0.25">
      <c r="D673" t="s">
        <v>46</v>
      </c>
      <c r="E673">
        <v>2014</v>
      </c>
      <c r="F673" t="s">
        <v>20</v>
      </c>
      <c r="G673">
        <v>0.99021599128108595</v>
      </c>
      <c r="H673">
        <v>0.99863789084965338</v>
      </c>
      <c r="I673">
        <v>0.99699629412912039</v>
      </c>
      <c r="J673">
        <v>0.99855094003121048</v>
      </c>
      <c r="K673">
        <v>0.99632454649646285</v>
      </c>
      <c r="L673">
        <v>0.99716240379382726</v>
      </c>
      <c r="M673">
        <v>0.99881619720761816</v>
      </c>
      <c r="N673">
        <v>0.99806370780971188</v>
      </c>
      <c r="O673">
        <v>0.99081163859111787</v>
      </c>
      <c r="P673">
        <v>0.96412689000889418</v>
      </c>
      <c r="Q673">
        <v>0.9309404527871139</v>
      </c>
      <c r="R673">
        <v>0.99069599927969032</v>
      </c>
    </row>
    <row r="674" spans="4:19" x14ac:dyDescent="0.25">
      <c r="D674" t="s">
        <v>46</v>
      </c>
      <c r="E674">
        <v>2015</v>
      </c>
      <c r="F674" t="s">
        <v>20</v>
      </c>
      <c r="G674">
        <v>0.98601611960031532</v>
      </c>
      <c r="H674">
        <v>0.97968982073158095</v>
      </c>
      <c r="I674">
        <v>0.89539154446261493</v>
      </c>
      <c r="J674">
        <v>0.94465136158261087</v>
      </c>
      <c r="K674">
        <v>0.86893574757429903</v>
      </c>
      <c r="L674">
        <v>0.95816031386924028</v>
      </c>
      <c r="M674">
        <v>0.98693229133303439</v>
      </c>
    </row>
    <row r="675" spans="4:19" x14ac:dyDescent="0.25">
      <c r="D675" t="s">
        <v>46</v>
      </c>
      <c r="E675">
        <v>2013</v>
      </c>
      <c r="F675" t="s">
        <v>21</v>
      </c>
      <c r="S675">
        <v>0.97889237199582024</v>
      </c>
    </row>
    <row r="676" spans="4:19" x14ac:dyDescent="0.25">
      <c r="D676" t="s">
        <v>46</v>
      </c>
      <c r="E676">
        <v>2014</v>
      </c>
      <c r="F676" t="s">
        <v>21</v>
      </c>
      <c r="S676">
        <v>0.99757527504342791</v>
      </c>
    </row>
    <row r="677" spans="4:19" x14ac:dyDescent="0.25">
      <c r="D677" t="s">
        <v>46</v>
      </c>
      <c r="E677">
        <v>2015</v>
      </c>
      <c r="F677" t="s">
        <v>21</v>
      </c>
      <c r="S677">
        <v>0.99072885465696758</v>
      </c>
    </row>
    <row r="678" spans="4:19" x14ac:dyDescent="0.25">
      <c r="D678" t="s">
        <v>46</v>
      </c>
      <c r="E678">
        <v>2013</v>
      </c>
      <c r="F678" t="s">
        <v>22</v>
      </c>
      <c r="G678">
        <v>0.95999162128194382</v>
      </c>
      <c r="H678">
        <v>0.98801639861242507</v>
      </c>
      <c r="I678">
        <v>0.99358563181526616</v>
      </c>
      <c r="J678">
        <v>0.99053145998778258</v>
      </c>
      <c r="K678">
        <v>0.95785036880927288</v>
      </c>
      <c r="L678">
        <v>0.9849749582637729</v>
      </c>
      <c r="M678">
        <v>0.98398291510945013</v>
      </c>
      <c r="N678">
        <v>0.97919216646266827</v>
      </c>
      <c r="O678">
        <v>0.97060906515580736</v>
      </c>
      <c r="P678">
        <v>0.98771084337349402</v>
      </c>
      <c r="Q678">
        <v>0.97969107551487411</v>
      </c>
      <c r="R678">
        <v>0.98329993319973275</v>
      </c>
    </row>
    <row r="679" spans="4:19" x14ac:dyDescent="0.25">
      <c r="D679" t="s">
        <v>46</v>
      </c>
      <c r="E679">
        <v>2014</v>
      </c>
      <c r="F679" t="s">
        <v>22</v>
      </c>
      <c r="G679">
        <v>0.99594073472701439</v>
      </c>
      <c r="H679">
        <v>0.99914359120753637</v>
      </c>
      <c r="I679">
        <v>0.99649406688241637</v>
      </c>
      <c r="J679">
        <v>0.99769585253456217</v>
      </c>
      <c r="K679">
        <v>0.9980053191489362</v>
      </c>
      <c r="L679">
        <v>0.99767861748774822</v>
      </c>
      <c r="M679">
        <v>0.99859451862262827</v>
      </c>
      <c r="N679">
        <v>0.99760109664153529</v>
      </c>
      <c r="O679">
        <v>0.99635241301907973</v>
      </c>
      <c r="P679">
        <v>0.99684376643871642</v>
      </c>
      <c r="Q679">
        <v>0.99516259070142432</v>
      </c>
      <c r="R679">
        <v>0.99568881050362534</v>
      </c>
    </row>
    <row r="680" spans="4:19" x14ac:dyDescent="0.25">
      <c r="D680" t="s">
        <v>46</v>
      </c>
      <c r="E680">
        <v>2015</v>
      </c>
      <c r="F680" t="s">
        <v>22</v>
      </c>
      <c r="G680">
        <v>0.98791540785498488</v>
      </c>
      <c r="H680">
        <v>0.99193981730252556</v>
      </c>
      <c r="I680">
        <v>0.99570200573065903</v>
      </c>
      <c r="J680">
        <v>0.98845519516217706</v>
      </c>
      <c r="K680">
        <v>0.99111675126903553</v>
      </c>
      <c r="L680">
        <v>0.98951293404800744</v>
      </c>
      <c r="M680">
        <v>0.99072188277890927</v>
      </c>
    </row>
    <row r="681" spans="4:19" x14ac:dyDescent="0.25">
      <c r="D681" t="s">
        <v>46</v>
      </c>
      <c r="E681">
        <v>2013</v>
      </c>
      <c r="F681" t="s">
        <v>23</v>
      </c>
      <c r="S681">
        <v>52113</v>
      </c>
    </row>
    <row r="682" spans="4:19" x14ac:dyDescent="0.25">
      <c r="D682" t="s">
        <v>46</v>
      </c>
      <c r="E682">
        <v>2014</v>
      </c>
      <c r="F682" t="s">
        <v>23</v>
      </c>
      <c r="S682">
        <v>31804</v>
      </c>
    </row>
    <row r="683" spans="4:19" x14ac:dyDescent="0.25">
      <c r="D683" t="s">
        <v>46</v>
      </c>
      <c r="E683">
        <v>2015</v>
      </c>
      <c r="F683" t="s">
        <v>23</v>
      </c>
      <c r="S683">
        <v>39648</v>
      </c>
    </row>
    <row r="684" spans="4:19" x14ac:dyDescent="0.25">
      <c r="D684" t="s">
        <v>46</v>
      </c>
      <c r="E684">
        <v>2013</v>
      </c>
      <c r="F684" t="s">
        <v>24</v>
      </c>
      <c r="G684">
        <v>9608</v>
      </c>
      <c r="H684">
        <v>9424</v>
      </c>
      <c r="I684">
        <v>7907</v>
      </c>
      <c r="J684">
        <v>6549</v>
      </c>
      <c r="K684">
        <v>6259</v>
      </c>
      <c r="L684">
        <v>5653</v>
      </c>
      <c r="M684">
        <v>6713</v>
      </c>
      <c r="N684">
        <v>6619</v>
      </c>
      <c r="P684">
        <v>7445</v>
      </c>
      <c r="Q684">
        <v>7472</v>
      </c>
      <c r="R684">
        <v>7002</v>
      </c>
    </row>
    <row r="685" spans="4:19" x14ac:dyDescent="0.25">
      <c r="D685" t="s">
        <v>46</v>
      </c>
      <c r="E685">
        <v>2014</v>
      </c>
      <c r="F685" t="s">
        <v>24</v>
      </c>
      <c r="I685">
        <v>6664</v>
      </c>
      <c r="J685">
        <v>6027</v>
      </c>
      <c r="K685">
        <v>5895</v>
      </c>
      <c r="L685">
        <v>5799</v>
      </c>
      <c r="M685">
        <v>7419</v>
      </c>
      <c r="N685">
        <v>7700</v>
      </c>
      <c r="O685">
        <v>10113</v>
      </c>
      <c r="P685">
        <v>8099</v>
      </c>
      <c r="Q685">
        <v>6469</v>
      </c>
      <c r="R685">
        <v>6424</v>
      </c>
    </row>
    <row r="686" spans="4:19" x14ac:dyDescent="0.25">
      <c r="D686" t="s">
        <v>46</v>
      </c>
      <c r="E686">
        <v>2015</v>
      </c>
      <c r="F686" t="s">
        <v>24</v>
      </c>
      <c r="G686">
        <v>7466</v>
      </c>
      <c r="H686">
        <v>7550</v>
      </c>
      <c r="I686">
        <v>7318</v>
      </c>
      <c r="J686">
        <v>5933</v>
      </c>
      <c r="K686">
        <v>5292</v>
      </c>
      <c r="L686">
        <v>6089</v>
      </c>
    </row>
    <row r="687" spans="4:19" x14ac:dyDescent="0.25">
      <c r="D687" t="s">
        <v>46</v>
      </c>
      <c r="E687">
        <v>2013</v>
      </c>
      <c r="F687" t="s">
        <v>25</v>
      </c>
      <c r="S687">
        <v>150319</v>
      </c>
    </row>
    <row r="688" spans="4:19" x14ac:dyDescent="0.25">
      <c r="D688" t="s">
        <v>46</v>
      </c>
      <c r="E688">
        <v>2014</v>
      </c>
      <c r="F688" t="s">
        <v>25</v>
      </c>
      <c r="S688">
        <v>130127</v>
      </c>
    </row>
    <row r="689" spans="4:19" x14ac:dyDescent="0.25">
      <c r="D689" t="s">
        <v>46</v>
      </c>
      <c r="E689">
        <v>2015</v>
      </c>
      <c r="F689" t="s">
        <v>25</v>
      </c>
      <c r="S689">
        <v>137918</v>
      </c>
    </row>
    <row r="690" spans="4:19" x14ac:dyDescent="0.25">
      <c r="D690" t="s">
        <v>46</v>
      </c>
      <c r="E690">
        <v>2013</v>
      </c>
      <c r="F690" t="s">
        <v>26</v>
      </c>
      <c r="G690">
        <v>28048</v>
      </c>
      <c r="H690">
        <v>23208</v>
      </c>
      <c r="I690">
        <v>20778</v>
      </c>
      <c r="J690">
        <v>19457</v>
      </c>
      <c r="K690">
        <v>17904</v>
      </c>
      <c r="L690">
        <v>18773</v>
      </c>
      <c r="M690">
        <v>22151</v>
      </c>
      <c r="N690">
        <v>18322</v>
      </c>
      <c r="P690">
        <v>27980</v>
      </c>
      <c r="Q690">
        <v>27667</v>
      </c>
      <c r="R690">
        <v>27713</v>
      </c>
    </row>
    <row r="691" spans="4:19" x14ac:dyDescent="0.25">
      <c r="D691" t="s">
        <v>46</v>
      </c>
      <c r="E691">
        <v>2014</v>
      </c>
      <c r="F691" t="s">
        <v>26</v>
      </c>
      <c r="G691">
        <v>27387</v>
      </c>
      <c r="H691">
        <v>23352</v>
      </c>
      <c r="I691">
        <v>19247</v>
      </c>
      <c r="J691">
        <v>19764</v>
      </c>
      <c r="L691">
        <v>18777</v>
      </c>
      <c r="M691">
        <v>21600</v>
      </c>
      <c r="N691">
        <v>21633</v>
      </c>
      <c r="O691">
        <v>27223</v>
      </c>
      <c r="P691">
        <v>23798</v>
      </c>
      <c r="Q691">
        <v>27769</v>
      </c>
      <c r="R691">
        <v>29655</v>
      </c>
    </row>
    <row r="692" spans="4:19" x14ac:dyDescent="0.25">
      <c r="D692" t="s">
        <v>46</v>
      </c>
      <c r="E692">
        <v>2015</v>
      </c>
      <c r="F692" t="s">
        <v>26</v>
      </c>
      <c r="G692">
        <v>26541</v>
      </c>
      <c r="H692">
        <v>21782</v>
      </c>
      <c r="I692">
        <v>24807</v>
      </c>
      <c r="J692">
        <v>22404</v>
      </c>
      <c r="K692">
        <v>18923</v>
      </c>
      <c r="L692">
        <v>23461</v>
      </c>
    </row>
    <row r="693" spans="4:19" x14ac:dyDescent="0.25">
      <c r="D693" t="s">
        <v>46</v>
      </c>
      <c r="E693">
        <v>2013</v>
      </c>
      <c r="F693" t="s">
        <v>27</v>
      </c>
      <c r="S693">
        <v>289006</v>
      </c>
    </row>
    <row r="694" spans="4:19" x14ac:dyDescent="0.25">
      <c r="D694" t="s">
        <v>46</v>
      </c>
      <c r="E694">
        <v>2014</v>
      </c>
      <c r="F694" t="s">
        <v>27</v>
      </c>
      <c r="S694">
        <v>272341</v>
      </c>
    </row>
    <row r="695" spans="4:19" x14ac:dyDescent="0.25">
      <c r="D695" t="s">
        <v>46</v>
      </c>
      <c r="E695">
        <v>2015</v>
      </c>
      <c r="F695" t="s">
        <v>27</v>
      </c>
      <c r="S695">
        <v>299380</v>
      </c>
    </row>
    <row r="696" spans="4:19" x14ac:dyDescent="0.25">
      <c r="D696" t="s">
        <v>46</v>
      </c>
      <c r="E696">
        <v>2013</v>
      </c>
      <c r="F696" t="s">
        <v>28</v>
      </c>
      <c r="G696">
        <v>53166</v>
      </c>
      <c r="H696">
        <v>46024</v>
      </c>
      <c r="I696">
        <v>40137</v>
      </c>
      <c r="J696">
        <v>37846</v>
      </c>
      <c r="K696">
        <v>34389</v>
      </c>
      <c r="L696">
        <v>35110</v>
      </c>
      <c r="M696">
        <v>42334</v>
      </c>
      <c r="N696">
        <v>35790</v>
      </c>
      <c r="O696">
        <v>53421</v>
      </c>
      <c r="P696">
        <v>52614</v>
      </c>
      <c r="Q696">
        <v>46644</v>
      </c>
      <c r="R696">
        <v>48497</v>
      </c>
    </row>
    <row r="697" spans="4:19" x14ac:dyDescent="0.25">
      <c r="D697" t="s">
        <v>46</v>
      </c>
      <c r="E697">
        <v>2014</v>
      </c>
      <c r="F697" t="s">
        <v>28</v>
      </c>
      <c r="G697">
        <v>49029</v>
      </c>
      <c r="H697">
        <v>43317</v>
      </c>
      <c r="I697">
        <v>36029</v>
      </c>
      <c r="J697">
        <v>36829</v>
      </c>
      <c r="K697">
        <v>32869</v>
      </c>
      <c r="L697">
        <v>34955</v>
      </c>
      <c r="M697">
        <v>39313</v>
      </c>
      <c r="N697">
        <v>37605</v>
      </c>
      <c r="O697">
        <v>50337</v>
      </c>
      <c r="P697">
        <v>43357</v>
      </c>
      <c r="Q697">
        <v>46827</v>
      </c>
      <c r="R697">
        <v>51108</v>
      </c>
    </row>
    <row r="698" spans="4:19" x14ac:dyDescent="0.25">
      <c r="D698" t="s">
        <v>46</v>
      </c>
      <c r="E698">
        <v>2015</v>
      </c>
      <c r="F698" t="s">
        <v>28</v>
      </c>
      <c r="G698">
        <v>48466</v>
      </c>
      <c r="H698">
        <v>40555</v>
      </c>
      <c r="I698">
        <v>46391</v>
      </c>
      <c r="J698">
        <v>40787</v>
      </c>
      <c r="K698">
        <v>34372</v>
      </c>
      <c r="L698">
        <v>43595</v>
      </c>
      <c r="M698">
        <v>45214</v>
      </c>
    </row>
    <row r="699" spans="4:19" x14ac:dyDescent="0.25">
      <c r="D699" t="s">
        <v>46</v>
      </c>
      <c r="E699">
        <v>2013</v>
      </c>
      <c r="F699" t="s">
        <v>29</v>
      </c>
      <c r="S699">
        <v>34701</v>
      </c>
    </row>
    <row r="700" spans="4:19" x14ac:dyDescent="0.25">
      <c r="D700" t="s">
        <v>46</v>
      </c>
      <c r="E700">
        <v>2014</v>
      </c>
      <c r="F700" t="s">
        <v>29</v>
      </c>
      <c r="S700">
        <v>36440</v>
      </c>
    </row>
    <row r="701" spans="4:19" x14ac:dyDescent="0.25">
      <c r="D701" t="s">
        <v>46</v>
      </c>
      <c r="E701">
        <v>2015</v>
      </c>
      <c r="F701" t="s">
        <v>29</v>
      </c>
      <c r="S701">
        <v>39109</v>
      </c>
    </row>
    <row r="702" spans="4:19" x14ac:dyDescent="0.25">
      <c r="D702" t="s">
        <v>46</v>
      </c>
      <c r="E702">
        <v>2013</v>
      </c>
      <c r="F702" t="s">
        <v>30</v>
      </c>
      <c r="G702">
        <v>5435</v>
      </c>
      <c r="H702">
        <v>5464</v>
      </c>
      <c r="I702">
        <v>5432</v>
      </c>
      <c r="J702">
        <v>4787</v>
      </c>
      <c r="K702">
        <v>4567</v>
      </c>
      <c r="L702">
        <v>4067</v>
      </c>
      <c r="M702">
        <v>4949</v>
      </c>
      <c r="N702">
        <v>4379</v>
      </c>
      <c r="O702">
        <v>6466</v>
      </c>
      <c r="P702">
        <v>6147</v>
      </c>
      <c r="Q702">
        <v>5116</v>
      </c>
      <c r="R702">
        <v>5050</v>
      </c>
    </row>
    <row r="703" spans="4:19" x14ac:dyDescent="0.25">
      <c r="D703" t="s">
        <v>46</v>
      </c>
      <c r="E703">
        <v>2014</v>
      </c>
      <c r="F703" t="s">
        <v>30</v>
      </c>
      <c r="G703">
        <v>6185</v>
      </c>
      <c r="H703">
        <v>5346</v>
      </c>
      <c r="I703">
        <v>4925</v>
      </c>
      <c r="J703">
        <v>4908</v>
      </c>
      <c r="K703">
        <v>4661</v>
      </c>
      <c r="L703">
        <v>4747</v>
      </c>
      <c r="M703">
        <v>5668</v>
      </c>
      <c r="N703">
        <v>5292</v>
      </c>
      <c r="O703">
        <v>7386</v>
      </c>
      <c r="P703">
        <v>6189</v>
      </c>
      <c r="Q703">
        <v>5627</v>
      </c>
      <c r="R703">
        <v>5566</v>
      </c>
    </row>
    <row r="704" spans="4:19" x14ac:dyDescent="0.25">
      <c r="D704" t="s">
        <v>46</v>
      </c>
      <c r="E704">
        <v>2015</v>
      </c>
      <c r="F704" t="s">
        <v>30</v>
      </c>
      <c r="G704">
        <v>6409</v>
      </c>
      <c r="H704">
        <v>6177</v>
      </c>
      <c r="I704">
        <v>6112</v>
      </c>
      <c r="J704">
        <v>5079</v>
      </c>
      <c r="K704">
        <v>4350</v>
      </c>
      <c r="L704">
        <v>5421</v>
      </c>
      <c r="M704">
        <v>5561</v>
      </c>
    </row>
    <row r="705" spans="4:19" x14ac:dyDescent="0.25">
      <c r="D705" t="s">
        <v>46</v>
      </c>
      <c r="E705">
        <v>2013</v>
      </c>
      <c r="F705" t="s">
        <v>31</v>
      </c>
      <c r="S705">
        <v>0.88876096175618369</v>
      </c>
    </row>
    <row r="706" spans="4:19" x14ac:dyDescent="0.25">
      <c r="D706" t="s">
        <v>46</v>
      </c>
      <c r="E706">
        <v>2014</v>
      </c>
      <c r="F706" t="s">
        <v>31</v>
      </c>
      <c r="S706">
        <v>0.93600756236899429</v>
      </c>
    </row>
    <row r="707" spans="4:19" x14ac:dyDescent="0.25">
      <c r="D707" t="s">
        <v>46</v>
      </c>
      <c r="E707">
        <v>2015</v>
      </c>
      <c r="F707" t="s">
        <v>31</v>
      </c>
      <c r="S707">
        <v>0.93184362352535954</v>
      </c>
    </row>
    <row r="708" spans="4:19" x14ac:dyDescent="0.25">
      <c r="D708" t="s">
        <v>46</v>
      </c>
      <c r="E708">
        <v>2013</v>
      </c>
      <c r="F708" t="s">
        <v>32</v>
      </c>
      <c r="G708">
        <v>0.84096586178184851</v>
      </c>
      <c r="H708">
        <v>0.84571307300509335</v>
      </c>
      <c r="I708">
        <v>0.87745036044011637</v>
      </c>
      <c r="J708">
        <v>0.91174225072530157</v>
      </c>
      <c r="K708">
        <v>0.92858284070937847</v>
      </c>
      <c r="L708">
        <v>0.89828409693967803</v>
      </c>
      <c r="M708">
        <v>0.96335468493966925</v>
      </c>
      <c r="N708">
        <v>0.92249584529385098</v>
      </c>
      <c r="O708">
        <v>0.94684512428298284</v>
      </c>
      <c r="P708">
        <v>0.97367360644728007</v>
      </c>
      <c r="Q708">
        <v>0.92090471092077086</v>
      </c>
      <c r="R708">
        <v>0.95429877177949163</v>
      </c>
    </row>
    <row r="709" spans="4:19" x14ac:dyDescent="0.25">
      <c r="D709" t="s">
        <v>46</v>
      </c>
      <c r="E709">
        <v>2014</v>
      </c>
      <c r="F709" t="s">
        <v>32</v>
      </c>
      <c r="G709">
        <v>0.95514697271343252</v>
      </c>
      <c r="H709">
        <v>0.88868854429618949</v>
      </c>
      <c r="I709">
        <v>0.93952581032412963</v>
      </c>
      <c r="J709">
        <v>0.95918367346938771</v>
      </c>
      <c r="K709">
        <v>0.93180661577608137</v>
      </c>
      <c r="L709">
        <v>0.96447663390239702</v>
      </c>
      <c r="M709">
        <v>0.92613559778945953</v>
      </c>
      <c r="N709">
        <v>0.92051948051948052</v>
      </c>
      <c r="O709">
        <v>0.93948383269059621</v>
      </c>
      <c r="P709">
        <v>0.9417212001481664</v>
      </c>
      <c r="Q709">
        <v>0.94651414438089354</v>
      </c>
      <c r="R709">
        <v>0.94613947696139478</v>
      </c>
    </row>
    <row r="710" spans="4:19" x14ac:dyDescent="0.25">
      <c r="D710" t="s">
        <v>46</v>
      </c>
      <c r="E710">
        <v>2015</v>
      </c>
      <c r="F710" t="s">
        <v>32</v>
      </c>
      <c r="G710">
        <v>0.94079828556121081</v>
      </c>
      <c r="H710">
        <v>0.9454304635761589</v>
      </c>
      <c r="I710">
        <v>0.92333971030336159</v>
      </c>
      <c r="J710">
        <v>0.92920950615203102</v>
      </c>
      <c r="K710">
        <v>0.92781557067271347</v>
      </c>
      <c r="L710">
        <v>0.94481852520939402</v>
      </c>
      <c r="M710">
        <v>0.90990593768371542</v>
      </c>
    </row>
    <row r="711" spans="4:19" x14ac:dyDescent="0.25">
      <c r="D711" t="s">
        <v>46</v>
      </c>
      <c r="E711">
        <v>2013</v>
      </c>
      <c r="F711" t="s">
        <v>33</v>
      </c>
      <c r="S711">
        <v>0.91277433877321323</v>
      </c>
    </row>
    <row r="712" spans="4:19" x14ac:dyDescent="0.25">
      <c r="D712" t="s">
        <v>46</v>
      </c>
      <c r="E712">
        <v>2014</v>
      </c>
      <c r="F712" t="s">
        <v>33</v>
      </c>
      <c r="S712">
        <v>0.92695678151762595</v>
      </c>
    </row>
    <row r="713" spans="4:19" x14ac:dyDescent="0.25">
      <c r="D713" t="s">
        <v>46</v>
      </c>
      <c r="E713">
        <v>2015</v>
      </c>
      <c r="F713" t="s">
        <v>33</v>
      </c>
      <c r="S713">
        <v>0.97205641773886897</v>
      </c>
    </row>
    <row r="714" spans="4:19" x14ac:dyDescent="0.25">
      <c r="D714" t="s">
        <v>46</v>
      </c>
      <c r="E714">
        <v>2013</v>
      </c>
      <c r="F714" t="s">
        <v>34</v>
      </c>
      <c r="G714">
        <v>0.84082156611039793</v>
      </c>
      <c r="H714">
        <v>0.84211387434554974</v>
      </c>
      <c r="I714">
        <v>0.92477788746298129</v>
      </c>
      <c r="J714">
        <v>0.94810009267840589</v>
      </c>
      <c r="K714">
        <v>0.9748631159780986</v>
      </c>
      <c r="L714">
        <v>0.95453343906952159</v>
      </c>
      <c r="M714">
        <v>0.97403823459995276</v>
      </c>
      <c r="N714">
        <v>0.87829181494661923</v>
      </c>
      <c r="P714">
        <v>0.95961261075623328</v>
      </c>
      <c r="Q714">
        <v>0.87336618812941935</v>
      </c>
      <c r="R714">
        <v>0.92980916867734154</v>
      </c>
    </row>
    <row r="715" spans="4:19" x14ac:dyDescent="0.25">
      <c r="D715" t="s">
        <v>46</v>
      </c>
      <c r="E715">
        <v>2014</v>
      </c>
      <c r="F715" t="s">
        <v>34</v>
      </c>
      <c r="I715">
        <v>0.90988372093023251</v>
      </c>
      <c r="J715">
        <v>0.9396467124631992</v>
      </c>
      <c r="K715">
        <v>0.89665809768637528</v>
      </c>
      <c r="L715">
        <v>0.94593175853018374</v>
      </c>
      <c r="M715">
        <v>0.94525547445255476</v>
      </c>
      <c r="N715">
        <v>0.99536751080914143</v>
      </c>
      <c r="O715">
        <v>0.98143982002249719</v>
      </c>
      <c r="P715">
        <v>0.98925061425061422</v>
      </c>
      <c r="Q715">
        <v>0.98534923339011926</v>
      </c>
      <c r="R715">
        <v>0.99005634736493209</v>
      </c>
    </row>
    <row r="716" spans="4:19" x14ac:dyDescent="0.25">
      <c r="D716" t="s">
        <v>46</v>
      </c>
      <c r="E716">
        <v>2015</v>
      </c>
      <c r="F716" t="s">
        <v>34</v>
      </c>
      <c r="G716">
        <v>0.97268317589992337</v>
      </c>
      <c r="H716">
        <v>0.97927461139896377</v>
      </c>
      <c r="I716">
        <v>0.96067023504770765</v>
      </c>
      <c r="J716">
        <v>0.97098875074008284</v>
      </c>
      <c r="K716">
        <v>0.95981705325057176</v>
      </c>
      <c r="L716">
        <v>0.98735879505110269</v>
      </c>
    </row>
    <row r="717" spans="4:19" x14ac:dyDescent="0.25">
      <c r="D717" t="s">
        <v>47</v>
      </c>
      <c r="E717">
        <v>2013</v>
      </c>
      <c r="F717" t="s">
        <v>17</v>
      </c>
      <c r="S717">
        <v>0.66472925764192137</v>
      </c>
    </row>
    <row r="718" spans="4:19" x14ac:dyDescent="0.25">
      <c r="D718" t="s">
        <v>47</v>
      </c>
      <c r="E718">
        <v>2014</v>
      </c>
      <c r="F718" t="s">
        <v>17</v>
      </c>
      <c r="S718">
        <v>0.58001228208465472</v>
      </c>
    </row>
    <row r="719" spans="4:19" x14ac:dyDescent="0.25">
      <c r="D719" t="s">
        <v>47</v>
      </c>
      <c r="E719">
        <v>2015</v>
      </c>
      <c r="F719" t="s">
        <v>17</v>
      </c>
      <c r="S719">
        <v>0.95497513117960986</v>
      </c>
    </row>
    <row r="720" spans="4:19" x14ac:dyDescent="0.25">
      <c r="D720" t="s">
        <v>47</v>
      </c>
      <c r="E720">
        <v>2013</v>
      </c>
      <c r="F720" t="s">
        <v>18</v>
      </c>
      <c r="G720">
        <v>0.73799784966342563</v>
      </c>
      <c r="H720">
        <v>0.52399047773949814</v>
      </c>
      <c r="I720">
        <v>0.52599724896836308</v>
      </c>
      <c r="J720">
        <v>0.64397269960340642</v>
      </c>
      <c r="K720">
        <v>0.64299182903834062</v>
      </c>
      <c r="L720">
        <v>0.76129645270270274</v>
      </c>
      <c r="M720">
        <v>0.7477070003467079</v>
      </c>
      <c r="N720">
        <v>0.730567957256825</v>
      </c>
      <c r="O720">
        <v>0.6120127882456976</v>
      </c>
      <c r="P720">
        <v>0.60769141261345128</v>
      </c>
      <c r="Q720">
        <v>0.57098750920745378</v>
      </c>
      <c r="R720">
        <v>0.59999679343295065</v>
      </c>
    </row>
    <row r="721" spans="4:19" x14ac:dyDescent="0.25">
      <c r="D721" t="s">
        <v>47</v>
      </c>
      <c r="E721">
        <v>2014</v>
      </c>
      <c r="F721" t="s">
        <v>18</v>
      </c>
      <c r="G721">
        <v>0.5439935086180947</v>
      </c>
      <c r="H721">
        <v>0.53199395770392754</v>
      </c>
      <c r="I721">
        <v>0.55300668931460795</v>
      </c>
      <c r="J721">
        <v>0.99578301705961281</v>
      </c>
      <c r="K721">
        <v>0.9879670677644079</v>
      </c>
      <c r="L721">
        <v>0.97899063713176526</v>
      </c>
      <c r="M721">
        <v>0.97088546679499521</v>
      </c>
      <c r="N721">
        <v>0.98000919117647056</v>
      </c>
      <c r="O721">
        <v>0.95802236054160894</v>
      </c>
      <c r="P721">
        <v>0.97999739379723738</v>
      </c>
      <c r="Q721">
        <v>0.95001505570611267</v>
      </c>
      <c r="R721">
        <v>0.96398567103074762</v>
      </c>
    </row>
    <row r="722" spans="4:19" x14ac:dyDescent="0.25">
      <c r="D722" t="s">
        <v>47</v>
      </c>
      <c r="E722">
        <v>2015</v>
      </c>
      <c r="F722" t="s">
        <v>18</v>
      </c>
      <c r="G722">
        <v>0.94899381479222933</v>
      </c>
      <c r="H722">
        <v>0.96799960227366888</v>
      </c>
      <c r="I722">
        <v>0.9410053540305694</v>
      </c>
      <c r="J722">
        <v>0.970996640537514</v>
      </c>
      <c r="K722">
        <v>0.92800610279393536</v>
      </c>
      <c r="L722">
        <v>0.96799391677035806</v>
      </c>
      <c r="M722">
        <v>0.96100252931708441</v>
      </c>
    </row>
    <row r="723" spans="4:19" x14ac:dyDescent="0.25">
      <c r="D723" t="s">
        <v>47</v>
      </c>
      <c r="E723">
        <v>2013</v>
      </c>
      <c r="F723" t="s">
        <v>19</v>
      </c>
      <c r="S723">
        <v>0.50809354426180464</v>
      </c>
    </row>
    <row r="724" spans="4:19" x14ac:dyDescent="0.25">
      <c r="D724" t="s">
        <v>47</v>
      </c>
      <c r="E724">
        <v>2014</v>
      </c>
      <c r="F724" t="s">
        <v>19</v>
      </c>
      <c r="S724">
        <v>0.62078278738979331</v>
      </c>
    </row>
    <row r="725" spans="4:19" x14ac:dyDescent="0.25">
      <c r="D725" t="s">
        <v>47</v>
      </c>
      <c r="E725">
        <v>2015</v>
      </c>
      <c r="F725" t="s">
        <v>19</v>
      </c>
      <c r="S725">
        <v>0.66843455621613246</v>
      </c>
    </row>
    <row r="726" spans="4:19" x14ac:dyDescent="0.25">
      <c r="D726" t="s">
        <v>47</v>
      </c>
      <c r="E726">
        <v>2013</v>
      </c>
      <c r="F726" t="s">
        <v>20</v>
      </c>
      <c r="G726">
        <v>0.59563307397341869</v>
      </c>
      <c r="H726">
        <v>0.4689210122477343</v>
      </c>
      <c r="I726">
        <v>0.46864989982908689</v>
      </c>
      <c r="J726">
        <v>0.52794871369569907</v>
      </c>
      <c r="K726">
        <v>0.47017697542673681</v>
      </c>
      <c r="L726">
        <v>0.55357348280198182</v>
      </c>
      <c r="M726">
        <v>0.48857719725303611</v>
      </c>
      <c r="N726">
        <v>0.6268702013453219</v>
      </c>
      <c r="O726">
        <v>0.80219590571618904</v>
      </c>
      <c r="P726">
        <v>0.69249183895538624</v>
      </c>
      <c r="Q726">
        <v>0.54007971656333043</v>
      </c>
      <c r="R726">
        <v>0.52599581832297504</v>
      </c>
    </row>
    <row r="727" spans="4:19" x14ac:dyDescent="0.25">
      <c r="D727" t="s">
        <v>47</v>
      </c>
      <c r="E727">
        <v>2014</v>
      </c>
      <c r="F727" t="s">
        <v>20</v>
      </c>
      <c r="G727">
        <v>0.62734736809055092</v>
      </c>
      <c r="H727">
        <v>0.63776953956171711</v>
      </c>
      <c r="I727">
        <v>0.56539184174158785</v>
      </c>
      <c r="J727">
        <v>0.57914977622607022</v>
      </c>
      <c r="K727">
        <v>0.57314663310258029</v>
      </c>
      <c r="L727">
        <v>0.67173876279658784</v>
      </c>
      <c r="M727">
        <v>0.71745038409478434</v>
      </c>
      <c r="N727">
        <v>0.70822264309229344</v>
      </c>
      <c r="O727">
        <v>0.65382653061224494</v>
      </c>
      <c r="P727">
        <v>0.67864836325237587</v>
      </c>
      <c r="Q727">
        <v>0.67181734056014053</v>
      </c>
      <c r="R727">
        <v>0.68098291209892092</v>
      </c>
    </row>
    <row r="728" spans="4:19" x14ac:dyDescent="0.25">
      <c r="D728" t="s">
        <v>47</v>
      </c>
      <c r="E728">
        <v>2015</v>
      </c>
      <c r="F728" t="s">
        <v>20</v>
      </c>
      <c r="G728">
        <v>0.70534583019771502</v>
      </c>
      <c r="H728">
        <v>0.7002192117655246</v>
      </c>
      <c r="I728">
        <v>0.6612990372650468</v>
      </c>
      <c r="J728">
        <v>0.59745275312710122</v>
      </c>
      <c r="K728">
        <v>0.64174548912764096</v>
      </c>
      <c r="L728">
        <v>0.66781580341951863</v>
      </c>
      <c r="M728">
        <v>0.70606953121156968</v>
      </c>
    </row>
    <row r="729" spans="4:19" x14ac:dyDescent="0.25">
      <c r="D729" t="s">
        <v>47</v>
      </c>
      <c r="E729">
        <v>2013</v>
      </c>
      <c r="F729" t="s">
        <v>21</v>
      </c>
      <c r="S729">
        <v>0.89288505288019038</v>
      </c>
    </row>
    <row r="730" spans="4:19" x14ac:dyDescent="0.25">
      <c r="D730" t="s">
        <v>47</v>
      </c>
      <c r="E730">
        <v>2014</v>
      </c>
      <c r="F730" t="s">
        <v>21</v>
      </c>
      <c r="S730">
        <v>0.89672252440228717</v>
      </c>
    </row>
    <row r="731" spans="4:19" x14ac:dyDescent="0.25">
      <c r="D731" t="s">
        <v>47</v>
      </c>
      <c r="E731">
        <v>2015</v>
      </c>
      <c r="F731" t="s">
        <v>21</v>
      </c>
      <c r="S731">
        <v>0.88868979791807723</v>
      </c>
    </row>
    <row r="732" spans="4:19" x14ac:dyDescent="0.25">
      <c r="D732" t="s">
        <v>47</v>
      </c>
      <c r="E732">
        <v>2013</v>
      </c>
      <c r="F732" t="s">
        <v>22</v>
      </c>
      <c r="G732">
        <v>0.83345280229380403</v>
      </c>
      <c r="H732">
        <v>0.89120735999113254</v>
      </c>
      <c r="I732">
        <v>0.87473060344827591</v>
      </c>
      <c r="J732">
        <v>0.93389839403799724</v>
      </c>
      <c r="K732">
        <v>0.87439201076270312</v>
      </c>
      <c r="L732">
        <v>0.92097107438016534</v>
      </c>
      <c r="M732">
        <v>0.92289689800434027</v>
      </c>
      <c r="N732">
        <v>0.94125588877398603</v>
      </c>
      <c r="O732">
        <v>0.93458823529411761</v>
      </c>
      <c r="P732">
        <v>0.93856318825380181</v>
      </c>
      <c r="Q732">
        <v>0.92807641880501968</v>
      </c>
      <c r="R732">
        <v>0.88525770227469047</v>
      </c>
    </row>
    <row r="733" spans="4:19" x14ac:dyDescent="0.25">
      <c r="D733" t="s">
        <v>47</v>
      </c>
      <c r="E733">
        <v>2014</v>
      </c>
      <c r="F733" t="s">
        <v>22</v>
      </c>
      <c r="G733">
        <v>0.81202259104580965</v>
      </c>
      <c r="H733">
        <v>0.89830293819655527</v>
      </c>
      <c r="I733">
        <v>0.92111687519072327</v>
      </c>
      <c r="J733">
        <v>0.9120028937162149</v>
      </c>
      <c r="K733">
        <v>0.91724446909734814</v>
      </c>
      <c r="L733">
        <v>0.93638712708480154</v>
      </c>
      <c r="M733">
        <v>0.88374229606094246</v>
      </c>
      <c r="N733">
        <v>0.88914763397522023</v>
      </c>
      <c r="O733">
        <v>0.936370439238985</v>
      </c>
      <c r="P733">
        <v>0.95903622027455782</v>
      </c>
      <c r="Q733">
        <v>0.94926150249707786</v>
      </c>
      <c r="R733">
        <v>0.95684598028737677</v>
      </c>
    </row>
    <row r="734" spans="4:19" x14ac:dyDescent="0.25">
      <c r="D734" t="s">
        <v>47</v>
      </c>
      <c r="E734">
        <v>2015</v>
      </c>
      <c r="F734" t="s">
        <v>22</v>
      </c>
      <c r="G734">
        <v>0.9290561801575018</v>
      </c>
      <c r="H734">
        <v>0.94021032730710152</v>
      </c>
      <c r="I734">
        <v>0.93079826382336295</v>
      </c>
      <c r="J734">
        <v>0.85995861918762928</v>
      </c>
      <c r="K734">
        <v>0.79883838483953451</v>
      </c>
      <c r="L734">
        <v>0.87308216544927131</v>
      </c>
      <c r="M734">
        <v>0.87860671203544705</v>
      </c>
    </row>
    <row r="735" spans="4:19" x14ac:dyDescent="0.25">
      <c r="D735" t="s">
        <v>47</v>
      </c>
      <c r="E735">
        <v>2013</v>
      </c>
      <c r="F735" t="s">
        <v>23</v>
      </c>
      <c r="S735">
        <v>949709</v>
      </c>
    </row>
    <row r="736" spans="4:19" x14ac:dyDescent="0.25">
      <c r="D736" t="s">
        <v>47</v>
      </c>
      <c r="E736">
        <v>2014</v>
      </c>
      <c r="F736" t="s">
        <v>23</v>
      </c>
      <c r="S736">
        <v>1101409</v>
      </c>
    </row>
    <row r="737" spans="4:19" x14ac:dyDescent="0.25">
      <c r="D737" t="s">
        <v>47</v>
      </c>
      <c r="E737">
        <v>2015</v>
      </c>
      <c r="F737" t="s">
        <v>23</v>
      </c>
      <c r="S737">
        <v>964158</v>
      </c>
    </row>
    <row r="738" spans="4:19" x14ac:dyDescent="0.25">
      <c r="D738" t="s">
        <v>47</v>
      </c>
      <c r="E738">
        <v>2013</v>
      </c>
      <c r="F738" t="s">
        <v>24</v>
      </c>
      <c r="G738">
        <v>168875</v>
      </c>
      <c r="H738">
        <v>185956</v>
      </c>
      <c r="I738">
        <v>139058</v>
      </c>
      <c r="J738">
        <v>108277</v>
      </c>
      <c r="K738">
        <v>119797</v>
      </c>
      <c r="L738">
        <v>112196</v>
      </c>
      <c r="M738">
        <v>115550</v>
      </c>
      <c r="N738">
        <v>108559</v>
      </c>
      <c r="O738">
        <v>116460</v>
      </c>
      <c r="P738">
        <v>102958</v>
      </c>
      <c r="Q738">
        <v>94710</v>
      </c>
      <c r="R738">
        <v>103662</v>
      </c>
    </row>
    <row r="739" spans="4:19" x14ac:dyDescent="0.25">
      <c r="D739" t="s">
        <v>47</v>
      </c>
      <c r="E739">
        <v>2014</v>
      </c>
      <c r="F739" t="s">
        <v>24</v>
      </c>
      <c r="G739">
        <v>133726</v>
      </c>
      <c r="H739">
        <v>132164</v>
      </c>
      <c r="I739">
        <v>120536</v>
      </c>
      <c r="J739">
        <v>160955</v>
      </c>
      <c r="K739">
        <v>220317</v>
      </c>
      <c r="L739">
        <v>166315</v>
      </c>
      <c r="M739">
        <v>167396</v>
      </c>
      <c r="N739">
        <v>149828</v>
      </c>
      <c r="O739">
        <v>214556</v>
      </c>
      <c r="P739">
        <v>154226</v>
      </c>
      <c r="Q739">
        <v>150939</v>
      </c>
      <c r="R739">
        <v>165188</v>
      </c>
    </row>
    <row r="740" spans="4:19" x14ac:dyDescent="0.25">
      <c r="D740" t="s">
        <v>47</v>
      </c>
      <c r="E740">
        <v>2015</v>
      </c>
      <c r="F740" t="s">
        <v>24</v>
      </c>
      <c r="G740">
        <v>152145</v>
      </c>
      <c r="H740">
        <v>154047</v>
      </c>
      <c r="I740">
        <v>149100</v>
      </c>
      <c r="J740">
        <v>133407</v>
      </c>
      <c r="K740">
        <v>113229</v>
      </c>
      <c r="L740">
        <v>132914</v>
      </c>
      <c r="M740">
        <v>129316</v>
      </c>
    </row>
    <row r="741" spans="4:19" x14ac:dyDescent="0.25">
      <c r="D741" t="s">
        <v>47</v>
      </c>
      <c r="E741">
        <v>2013</v>
      </c>
      <c r="F741" t="s">
        <v>25</v>
      </c>
      <c r="S741">
        <v>1398304</v>
      </c>
    </row>
    <row r="742" spans="4:19" x14ac:dyDescent="0.25">
      <c r="D742" t="s">
        <v>47</v>
      </c>
      <c r="E742">
        <v>2014</v>
      </c>
      <c r="F742" t="s">
        <v>25</v>
      </c>
      <c r="S742">
        <v>1589125</v>
      </c>
    </row>
    <row r="743" spans="4:19" x14ac:dyDescent="0.25">
      <c r="D743" t="s">
        <v>47</v>
      </c>
      <c r="E743">
        <v>2015</v>
      </c>
      <c r="F743" t="s">
        <v>25</v>
      </c>
      <c r="S743">
        <v>1763638</v>
      </c>
    </row>
    <row r="744" spans="4:19" x14ac:dyDescent="0.25">
      <c r="D744" t="s">
        <v>47</v>
      </c>
      <c r="E744">
        <v>2013</v>
      </c>
      <c r="F744" t="s">
        <v>26</v>
      </c>
      <c r="G744">
        <v>240878</v>
      </c>
      <c r="H744">
        <v>188868</v>
      </c>
      <c r="I744">
        <v>207705</v>
      </c>
      <c r="J744">
        <v>196101</v>
      </c>
      <c r="K744">
        <v>166121</v>
      </c>
      <c r="L744">
        <v>190678</v>
      </c>
      <c r="M744">
        <v>207953</v>
      </c>
      <c r="N744">
        <v>205504</v>
      </c>
      <c r="O744">
        <v>251003</v>
      </c>
      <c r="P744">
        <v>353391</v>
      </c>
      <c r="Q744">
        <v>231372</v>
      </c>
      <c r="R744">
        <v>237677</v>
      </c>
    </row>
    <row r="745" spans="4:19" x14ac:dyDescent="0.25">
      <c r="D745" t="s">
        <v>47</v>
      </c>
      <c r="E745">
        <v>2014</v>
      </c>
      <c r="F745" t="s">
        <v>26</v>
      </c>
      <c r="G745">
        <v>276544</v>
      </c>
      <c r="H745">
        <v>215039</v>
      </c>
      <c r="I745">
        <v>215891</v>
      </c>
      <c r="J745">
        <v>229884</v>
      </c>
      <c r="K745">
        <v>213496</v>
      </c>
      <c r="L745">
        <v>201242</v>
      </c>
      <c r="M745">
        <v>237029</v>
      </c>
      <c r="N745">
        <v>215304</v>
      </c>
      <c r="O745">
        <v>251556</v>
      </c>
      <c r="P745">
        <v>280116</v>
      </c>
      <c r="Q745">
        <v>254029</v>
      </c>
      <c r="R745">
        <v>297596</v>
      </c>
    </row>
    <row r="746" spans="4:19" x14ac:dyDescent="0.25">
      <c r="D746" t="s">
        <v>47</v>
      </c>
      <c r="E746">
        <v>2015</v>
      </c>
      <c r="F746" t="s">
        <v>26</v>
      </c>
      <c r="G746">
        <v>272589</v>
      </c>
      <c r="H746">
        <v>256533</v>
      </c>
      <c r="I746">
        <v>258877</v>
      </c>
      <c r="J746">
        <v>248370</v>
      </c>
      <c r="K746">
        <v>218134</v>
      </c>
      <c r="L746">
        <v>256332</v>
      </c>
      <c r="M746">
        <v>252803</v>
      </c>
    </row>
    <row r="747" spans="4:19" x14ac:dyDescent="0.25">
      <c r="D747" t="s">
        <v>47</v>
      </c>
      <c r="E747">
        <v>2013</v>
      </c>
      <c r="F747" t="s">
        <v>27</v>
      </c>
      <c r="S747">
        <v>2571397</v>
      </c>
    </row>
    <row r="748" spans="4:19" x14ac:dyDescent="0.25">
      <c r="D748" t="s">
        <v>47</v>
      </c>
      <c r="E748">
        <v>2014</v>
      </c>
      <c r="F748" t="s">
        <v>27</v>
      </c>
      <c r="S748">
        <v>2782756</v>
      </c>
    </row>
    <row r="749" spans="4:19" x14ac:dyDescent="0.25">
      <c r="D749" t="s">
        <v>47</v>
      </c>
      <c r="E749">
        <v>2015</v>
      </c>
      <c r="F749" t="s">
        <v>27</v>
      </c>
      <c r="S749">
        <v>3048845</v>
      </c>
    </row>
    <row r="750" spans="4:19" x14ac:dyDescent="0.25">
      <c r="D750" t="s">
        <v>47</v>
      </c>
      <c r="E750">
        <v>2013</v>
      </c>
      <c r="F750" t="s">
        <v>28</v>
      </c>
      <c r="G750">
        <v>445775</v>
      </c>
      <c r="H750">
        <v>345618</v>
      </c>
      <c r="I750">
        <v>393155</v>
      </c>
      <c r="J750">
        <v>382679</v>
      </c>
      <c r="K750">
        <v>303497</v>
      </c>
      <c r="L750">
        <v>342381</v>
      </c>
      <c r="M750">
        <v>358292</v>
      </c>
      <c r="N750">
        <v>346945</v>
      </c>
      <c r="O750">
        <v>415433</v>
      </c>
      <c r="P750">
        <v>587989</v>
      </c>
      <c r="Q750">
        <v>402506</v>
      </c>
      <c r="R750">
        <v>405073</v>
      </c>
    </row>
    <row r="751" spans="4:19" x14ac:dyDescent="0.25">
      <c r="D751" t="s">
        <v>47</v>
      </c>
      <c r="E751">
        <v>2014</v>
      </c>
      <c r="F751" t="s">
        <v>28</v>
      </c>
      <c r="G751">
        <v>484786</v>
      </c>
      <c r="H751">
        <v>390293</v>
      </c>
      <c r="I751">
        <v>397694</v>
      </c>
      <c r="J751">
        <v>413582</v>
      </c>
      <c r="K751">
        <v>353951</v>
      </c>
      <c r="L751">
        <v>338465</v>
      </c>
      <c r="M751">
        <v>403985</v>
      </c>
      <c r="N751">
        <v>344601</v>
      </c>
      <c r="O751">
        <v>417718</v>
      </c>
      <c r="P751">
        <v>496031</v>
      </c>
      <c r="Q751">
        <v>436302</v>
      </c>
      <c r="R751">
        <v>498040</v>
      </c>
    </row>
    <row r="752" spans="4:19" x14ac:dyDescent="0.25">
      <c r="D752" t="s">
        <v>47</v>
      </c>
      <c r="E752">
        <v>2015</v>
      </c>
      <c r="F752" t="s">
        <v>28</v>
      </c>
      <c r="G752">
        <v>468896</v>
      </c>
      <c r="H752">
        <v>456229</v>
      </c>
      <c r="I752">
        <v>465980</v>
      </c>
      <c r="J752">
        <v>424378</v>
      </c>
      <c r="K752">
        <v>361431</v>
      </c>
      <c r="L752">
        <v>437464</v>
      </c>
      <c r="M752">
        <v>434467</v>
      </c>
    </row>
    <row r="753" spans="4:19" x14ac:dyDescent="0.25">
      <c r="D753" t="s">
        <v>47</v>
      </c>
      <c r="E753">
        <v>2013</v>
      </c>
      <c r="F753" t="s">
        <v>29</v>
      </c>
      <c r="S753">
        <v>458000</v>
      </c>
    </row>
    <row r="754" spans="4:19" x14ac:dyDescent="0.25">
      <c r="D754" t="s">
        <v>47</v>
      </c>
      <c r="E754">
        <v>2014</v>
      </c>
      <c r="F754" t="s">
        <v>29</v>
      </c>
      <c r="S754">
        <v>218204</v>
      </c>
    </row>
    <row r="755" spans="4:19" x14ac:dyDescent="0.25">
      <c r="D755" t="s">
        <v>47</v>
      </c>
      <c r="E755">
        <v>2015</v>
      </c>
      <c r="F755" t="s">
        <v>29</v>
      </c>
      <c r="S755">
        <v>402311</v>
      </c>
    </row>
    <row r="756" spans="4:19" x14ac:dyDescent="0.25">
      <c r="D756" t="s">
        <v>47</v>
      </c>
      <c r="E756">
        <v>2013</v>
      </c>
      <c r="F756" t="s">
        <v>30</v>
      </c>
      <c r="G756">
        <v>85568</v>
      </c>
      <c r="H756">
        <v>67631</v>
      </c>
      <c r="I756">
        <v>39985</v>
      </c>
      <c r="J756">
        <v>65054</v>
      </c>
      <c r="K756">
        <v>70004</v>
      </c>
      <c r="L756">
        <v>66304</v>
      </c>
      <c r="M756">
        <v>63454</v>
      </c>
      <c r="N756">
        <v>54652</v>
      </c>
      <c r="O756">
        <v>73505</v>
      </c>
      <c r="P756">
        <v>68752</v>
      </c>
      <c r="Q756">
        <v>63807</v>
      </c>
      <c r="R756">
        <v>62372</v>
      </c>
    </row>
    <row r="757" spans="4:19" x14ac:dyDescent="0.25">
      <c r="D757" t="s">
        <v>47</v>
      </c>
      <c r="E757">
        <v>2014</v>
      </c>
      <c r="F757" t="s">
        <v>30</v>
      </c>
      <c r="G757">
        <v>76409</v>
      </c>
      <c r="H757">
        <v>66200</v>
      </c>
      <c r="I757">
        <v>57106</v>
      </c>
      <c r="J757">
        <v>5217</v>
      </c>
      <c r="K757">
        <v>4737</v>
      </c>
      <c r="L757">
        <v>4379</v>
      </c>
      <c r="M757">
        <v>4156</v>
      </c>
      <c r="N757">
        <v>30464</v>
      </c>
      <c r="O757">
        <v>33899</v>
      </c>
      <c r="P757">
        <v>46044</v>
      </c>
      <c r="Q757">
        <v>39852</v>
      </c>
      <c r="R757">
        <v>46898</v>
      </c>
    </row>
    <row r="758" spans="4:19" x14ac:dyDescent="0.25">
      <c r="D758" t="s">
        <v>47</v>
      </c>
      <c r="E758">
        <v>2015</v>
      </c>
      <c r="F758" t="s">
        <v>30</v>
      </c>
      <c r="G758">
        <v>45916</v>
      </c>
      <c r="H758">
        <v>60343</v>
      </c>
      <c r="I758">
        <v>79753</v>
      </c>
      <c r="J758">
        <v>62510</v>
      </c>
      <c r="K758">
        <v>52435</v>
      </c>
      <c r="L758">
        <v>57864</v>
      </c>
      <c r="M758">
        <v>43490</v>
      </c>
    </row>
    <row r="759" spans="4:19" x14ac:dyDescent="0.25">
      <c r="D759" t="s">
        <v>47</v>
      </c>
      <c r="E759">
        <v>2013</v>
      </c>
      <c r="F759" t="s">
        <v>31</v>
      </c>
      <c r="S759">
        <v>0.62123134560165272</v>
      </c>
    </row>
    <row r="760" spans="4:19" x14ac:dyDescent="0.25">
      <c r="D760" t="s">
        <v>47</v>
      </c>
      <c r="E760">
        <v>2014</v>
      </c>
      <c r="F760" t="s">
        <v>31</v>
      </c>
      <c r="S760">
        <v>0.80501702818843868</v>
      </c>
    </row>
    <row r="761" spans="4:19" x14ac:dyDescent="0.25">
      <c r="D761" t="s">
        <v>47</v>
      </c>
      <c r="E761">
        <v>2015</v>
      </c>
      <c r="F761" t="s">
        <v>31</v>
      </c>
      <c r="S761">
        <v>0.86569524911892037</v>
      </c>
    </row>
    <row r="762" spans="4:19" x14ac:dyDescent="0.25">
      <c r="D762" t="s">
        <v>47</v>
      </c>
      <c r="E762">
        <v>2013</v>
      </c>
      <c r="F762" t="s">
        <v>32</v>
      </c>
      <c r="G762">
        <v>0.54472242783123614</v>
      </c>
      <c r="H762">
        <v>0.52216115640258987</v>
      </c>
      <c r="I762">
        <v>0.58382113938069002</v>
      </c>
      <c r="J762">
        <v>0.75800031400943879</v>
      </c>
      <c r="K762">
        <v>0.69136956685058892</v>
      </c>
      <c r="L762">
        <v>0.63195657599201394</v>
      </c>
      <c r="M762">
        <v>0.7262137602769364</v>
      </c>
      <c r="N762">
        <v>0.70206984220562085</v>
      </c>
      <c r="O762">
        <v>0.74442727116606555</v>
      </c>
      <c r="P762">
        <v>0.94850327317935468</v>
      </c>
      <c r="Q762">
        <v>0.9321296589589273</v>
      </c>
      <c r="R762">
        <v>0.93970789681850631</v>
      </c>
    </row>
    <row r="763" spans="4:19" x14ac:dyDescent="0.25">
      <c r="D763" t="s">
        <v>47</v>
      </c>
      <c r="E763">
        <v>2014</v>
      </c>
      <c r="F763" t="s">
        <v>32</v>
      </c>
      <c r="G763">
        <v>0.85120320655669057</v>
      </c>
      <c r="H763">
        <v>0.80464422989618956</v>
      </c>
      <c r="I763">
        <v>0.86659587177274844</v>
      </c>
      <c r="J763">
        <v>0.82439812369917054</v>
      </c>
      <c r="K763">
        <v>0.67508635284612628</v>
      </c>
      <c r="L763">
        <v>0.80280191203439255</v>
      </c>
      <c r="M763">
        <v>0.87864704055055076</v>
      </c>
      <c r="N763">
        <v>0.89294390901567133</v>
      </c>
      <c r="O763">
        <v>0.79283730121739782</v>
      </c>
      <c r="P763">
        <v>0.92601117840052904</v>
      </c>
      <c r="Q763">
        <v>0.80332452182669822</v>
      </c>
      <c r="R763">
        <v>0.77552848875220959</v>
      </c>
    </row>
    <row r="764" spans="4:19" x14ac:dyDescent="0.25">
      <c r="D764" t="s">
        <v>47</v>
      </c>
      <c r="E764">
        <v>2015</v>
      </c>
      <c r="F764" t="s">
        <v>32</v>
      </c>
      <c r="G764">
        <v>0.89279305925268659</v>
      </c>
      <c r="H764">
        <v>0.84557310431232025</v>
      </c>
      <c r="I764">
        <v>0.86562709590878606</v>
      </c>
      <c r="J764">
        <v>0.87265285929523939</v>
      </c>
      <c r="K764">
        <v>0.88051647546123346</v>
      </c>
      <c r="L764">
        <v>0.84429781663331172</v>
      </c>
      <c r="M764">
        <v>0.85970026910823105</v>
      </c>
    </row>
    <row r="765" spans="4:19" x14ac:dyDescent="0.25">
      <c r="D765" t="s">
        <v>47</v>
      </c>
      <c r="E765">
        <v>2013</v>
      </c>
      <c r="F765" t="s">
        <v>33</v>
      </c>
      <c r="S765">
        <v>0.5082749639669254</v>
      </c>
    </row>
    <row r="766" spans="4:19" x14ac:dyDescent="0.25">
      <c r="D766" t="s">
        <v>47</v>
      </c>
      <c r="E766">
        <v>2014</v>
      </c>
      <c r="F766" t="s">
        <v>33</v>
      </c>
      <c r="S766">
        <v>0.71864005798963937</v>
      </c>
    </row>
    <row r="767" spans="4:19" x14ac:dyDescent="0.25">
      <c r="D767" t="s">
        <v>47</v>
      </c>
      <c r="E767">
        <v>2015</v>
      </c>
      <c r="F767" t="s">
        <v>33</v>
      </c>
      <c r="S767">
        <v>0.85369222389375943</v>
      </c>
    </row>
    <row r="768" spans="4:19" x14ac:dyDescent="0.25">
      <c r="D768" t="s">
        <v>47</v>
      </c>
      <c r="E768">
        <v>2013</v>
      </c>
      <c r="F768" t="s">
        <v>34</v>
      </c>
      <c r="G768">
        <v>0.41270126755738268</v>
      </c>
      <c r="H768">
        <v>0.31893630856634381</v>
      </c>
      <c r="I768">
        <v>0.49324201206898399</v>
      </c>
      <c r="J768">
        <v>0.72989472805907463</v>
      </c>
      <c r="K768">
        <v>0.62348853885907862</v>
      </c>
      <c r="L768">
        <v>0.54127677271782071</v>
      </c>
      <c r="M768">
        <v>0.5989169864886178</v>
      </c>
      <c r="N768">
        <v>0.56053915241110375</v>
      </c>
      <c r="O768">
        <v>0.63699340187576992</v>
      </c>
      <c r="P768">
        <v>0.92499964635819676</v>
      </c>
      <c r="Q768">
        <v>0.89896417849452226</v>
      </c>
      <c r="R768">
        <v>0.90437430193240409</v>
      </c>
    </row>
    <row r="769" spans="4:19" x14ac:dyDescent="0.25">
      <c r="D769" t="s">
        <v>47</v>
      </c>
      <c r="E769">
        <v>2014</v>
      </c>
      <c r="F769" t="s">
        <v>34</v>
      </c>
      <c r="G769">
        <v>0.78250128441971556</v>
      </c>
      <c r="H769">
        <v>0.72480574711418555</v>
      </c>
      <c r="I769">
        <v>0.80232586728296418</v>
      </c>
      <c r="J769">
        <v>0.74468584850264241</v>
      </c>
      <c r="K769">
        <v>0.55391316811137215</v>
      </c>
      <c r="L769">
        <v>0.71589816443031506</v>
      </c>
      <c r="M769">
        <v>0.82505025854395242</v>
      </c>
      <c r="N769">
        <v>0.90990079532360957</v>
      </c>
      <c r="O769">
        <v>0.67501689486303584</v>
      </c>
      <c r="P769">
        <v>0.95165246812881399</v>
      </c>
      <c r="Q769">
        <v>0.72751558325912735</v>
      </c>
      <c r="R769">
        <v>0.69012533536219112</v>
      </c>
    </row>
    <row r="770" spans="4:19" x14ac:dyDescent="0.25">
      <c r="D770" t="s">
        <v>47</v>
      </c>
      <c r="E770">
        <v>2015</v>
      </c>
      <c r="F770" t="s">
        <v>34</v>
      </c>
      <c r="G770">
        <v>0.88663273563610034</v>
      </c>
      <c r="H770">
        <v>0.81808643517361979</v>
      </c>
      <c r="I770">
        <v>0.86785530777926212</v>
      </c>
      <c r="J770">
        <v>0.86830824919032201</v>
      </c>
      <c r="K770">
        <v>0.87789560101251962</v>
      </c>
      <c r="L770">
        <v>0.82238209432454035</v>
      </c>
      <c r="M770">
        <v>0.83931837279422672</v>
      </c>
    </row>
    <row r="771" spans="4:19" x14ac:dyDescent="0.25">
      <c r="D771" t="s">
        <v>48</v>
      </c>
      <c r="E771">
        <v>2013</v>
      </c>
      <c r="F771" t="s">
        <v>17</v>
      </c>
      <c r="S771">
        <v>0.86511395441823269</v>
      </c>
    </row>
    <row r="772" spans="4:19" x14ac:dyDescent="0.25">
      <c r="D772" t="s">
        <v>48</v>
      </c>
      <c r="E772">
        <v>2014</v>
      </c>
      <c r="F772" t="s">
        <v>17</v>
      </c>
      <c r="S772">
        <v>0.84020598098942312</v>
      </c>
    </row>
    <row r="773" spans="4:19" x14ac:dyDescent="0.25">
      <c r="D773" t="s">
        <v>48</v>
      </c>
      <c r="E773">
        <v>2015</v>
      </c>
      <c r="F773" t="s">
        <v>17</v>
      </c>
      <c r="S773">
        <v>0.83854976794769653</v>
      </c>
    </row>
    <row r="774" spans="4:19" x14ac:dyDescent="0.25">
      <c r="D774" t="s">
        <v>48</v>
      </c>
      <c r="E774">
        <v>2013</v>
      </c>
      <c r="F774" t="s">
        <v>18</v>
      </c>
      <c r="G774">
        <v>0.82328711492719153</v>
      </c>
      <c r="H774">
        <v>0.87105334784975508</v>
      </c>
      <c r="I774">
        <v>0.85973584614196341</v>
      </c>
      <c r="J774">
        <v>0.85510771369006255</v>
      </c>
      <c r="K774">
        <v>0.85931302851156177</v>
      </c>
      <c r="L774">
        <v>0.89083264509347548</v>
      </c>
      <c r="M774">
        <v>0.90644520159000563</v>
      </c>
      <c r="N774">
        <v>0.90763173834039979</v>
      </c>
      <c r="O774">
        <v>0.87104059623962504</v>
      </c>
      <c r="P774">
        <v>0.86221712976224574</v>
      </c>
      <c r="Q774">
        <v>0.81689863445378152</v>
      </c>
      <c r="R774">
        <v>0.87194065035013524</v>
      </c>
    </row>
    <row r="775" spans="4:19" x14ac:dyDescent="0.25">
      <c r="D775" t="s">
        <v>48</v>
      </c>
      <c r="E775">
        <v>2014</v>
      </c>
      <c r="F775" t="s">
        <v>18</v>
      </c>
      <c r="G775">
        <v>0.79952253737281875</v>
      </c>
      <c r="H775">
        <v>0.81537096876385984</v>
      </c>
      <c r="I775">
        <v>0.86467906505535852</v>
      </c>
      <c r="J775">
        <v>0.88352147778918044</v>
      </c>
      <c r="K775">
        <v>0.82933048198716897</v>
      </c>
      <c r="L775">
        <v>0.83117075702528365</v>
      </c>
      <c r="M775">
        <v>0.87045581655480986</v>
      </c>
      <c r="N775">
        <v>0.85079726651480636</v>
      </c>
      <c r="O775">
        <v>0.8316017556530918</v>
      </c>
      <c r="P775">
        <v>0.76117103235747308</v>
      </c>
      <c r="Q775">
        <v>0.78419875009644313</v>
      </c>
      <c r="R775">
        <v>0.80074821080026026</v>
      </c>
    </row>
    <row r="776" spans="4:19" x14ac:dyDescent="0.25">
      <c r="D776" t="s">
        <v>48</v>
      </c>
      <c r="E776">
        <v>2015</v>
      </c>
      <c r="F776" t="s">
        <v>18</v>
      </c>
      <c r="G776">
        <v>0.74782356355194424</v>
      </c>
      <c r="H776">
        <v>0.76765559496936475</v>
      </c>
      <c r="I776">
        <v>0.80785033015407193</v>
      </c>
      <c r="J776">
        <v>0.78702892199824714</v>
      </c>
      <c r="K776">
        <v>0.93585746102449885</v>
      </c>
      <c r="L776">
        <v>0.96523125996810211</v>
      </c>
      <c r="M776">
        <v>0.95664219420972429</v>
      </c>
    </row>
    <row r="777" spans="4:19" x14ac:dyDescent="0.25">
      <c r="D777" t="s">
        <v>48</v>
      </c>
      <c r="E777">
        <v>2013</v>
      </c>
      <c r="F777" t="s">
        <v>19</v>
      </c>
      <c r="S777">
        <v>0.71846869548362091</v>
      </c>
    </row>
    <row r="778" spans="4:19" x14ac:dyDescent="0.25">
      <c r="D778" t="s">
        <v>48</v>
      </c>
      <c r="E778">
        <v>2014</v>
      </c>
      <c r="F778" t="s">
        <v>19</v>
      </c>
      <c r="S778">
        <v>0.97454254165682119</v>
      </c>
    </row>
    <row r="779" spans="4:19" x14ac:dyDescent="0.25">
      <c r="D779" t="s">
        <v>48</v>
      </c>
      <c r="E779">
        <v>2015</v>
      </c>
      <c r="F779" t="s">
        <v>19</v>
      </c>
      <c r="S779">
        <v>0.99154723725918237</v>
      </c>
    </row>
    <row r="780" spans="4:19" x14ac:dyDescent="0.25">
      <c r="D780" t="s">
        <v>48</v>
      </c>
      <c r="E780">
        <v>2013</v>
      </c>
      <c r="F780" t="s">
        <v>20</v>
      </c>
      <c r="G780">
        <v>0.59857418394003759</v>
      </c>
      <c r="H780">
        <v>0.56527125450956373</v>
      </c>
      <c r="I780">
        <v>0.50077764562884741</v>
      </c>
      <c r="J780">
        <v>0.75705678074263161</v>
      </c>
      <c r="K780">
        <v>0.66747900717861774</v>
      </c>
      <c r="L780">
        <v>0.99619755244755248</v>
      </c>
      <c r="M780">
        <v>0.99322665195199333</v>
      </c>
      <c r="N780">
        <v>0.99559125919213742</v>
      </c>
      <c r="O780">
        <v>0.97872898831469102</v>
      </c>
      <c r="P780">
        <v>0.81820416440488752</v>
      </c>
      <c r="Q780">
        <v>0.60036119711042313</v>
      </c>
      <c r="R780">
        <v>0.89681388973499843</v>
      </c>
    </row>
    <row r="781" spans="4:19" x14ac:dyDescent="0.25">
      <c r="D781" t="s">
        <v>48</v>
      </c>
      <c r="E781">
        <v>2014</v>
      </c>
      <c r="F781" t="s">
        <v>20</v>
      </c>
      <c r="G781">
        <v>0.9917806053900261</v>
      </c>
      <c r="H781">
        <v>0.99475622361960547</v>
      </c>
      <c r="I781">
        <v>0.97069026922214452</v>
      </c>
      <c r="J781">
        <v>0.97700006541505857</v>
      </c>
      <c r="K781">
        <v>0.88573355578431723</v>
      </c>
      <c r="L781">
        <v>0.99871445030622763</v>
      </c>
      <c r="M781">
        <v>0.99845344139262204</v>
      </c>
      <c r="N781">
        <v>0.99871451381559362</v>
      </c>
      <c r="O781">
        <v>0.99906277457776038</v>
      </c>
      <c r="P781">
        <v>0.99893071641999864</v>
      </c>
      <c r="Q781">
        <v>0.99834359237411308</v>
      </c>
      <c r="R781">
        <v>0.9992625612239282</v>
      </c>
    </row>
    <row r="782" spans="4:19" x14ac:dyDescent="0.25">
      <c r="D782" t="s">
        <v>48</v>
      </c>
      <c r="E782">
        <v>2015</v>
      </c>
      <c r="F782" t="s">
        <v>20</v>
      </c>
      <c r="G782">
        <v>0.99767291531997415</v>
      </c>
      <c r="H782">
        <v>0.96269239876864787</v>
      </c>
      <c r="I782">
        <v>0.99733951504836804</v>
      </c>
      <c r="J782">
        <v>0.9894487993032226</v>
      </c>
      <c r="K782">
        <v>0.99286701492187679</v>
      </c>
      <c r="L782">
        <v>0.99827847913812895</v>
      </c>
      <c r="M782">
        <v>0.99818010393141399</v>
      </c>
    </row>
    <row r="783" spans="4:19" x14ac:dyDescent="0.25">
      <c r="D783" t="s">
        <v>48</v>
      </c>
      <c r="E783">
        <v>2013</v>
      </c>
      <c r="F783" t="s">
        <v>21</v>
      </c>
      <c r="S783">
        <v>0.94391330398311923</v>
      </c>
    </row>
    <row r="784" spans="4:19" x14ac:dyDescent="0.25">
      <c r="D784" t="s">
        <v>48</v>
      </c>
      <c r="E784">
        <v>2014</v>
      </c>
      <c r="F784" t="s">
        <v>21</v>
      </c>
      <c r="S784">
        <v>0.99969047619047624</v>
      </c>
    </row>
    <row r="785" spans="4:19" x14ac:dyDescent="0.25">
      <c r="D785" t="s">
        <v>48</v>
      </c>
      <c r="E785">
        <v>2015</v>
      </c>
      <c r="F785" t="s">
        <v>21</v>
      </c>
      <c r="S785">
        <v>0.98213919556231855</v>
      </c>
    </row>
    <row r="786" spans="4:19" x14ac:dyDescent="0.25">
      <c r="D786" t="s">
        <v>48</v>
      </c>
      <c r="E786">
        <v>2013</v>
      </c>
      <c r="F786" t="s">
        <v>22</v>
      </c>
      <c r="G786">
        <v>0.87758889466260859</v>
      </c>
      <c r="H786">
        <v>0.95328802527041256</v>
      </c>
      <c r="I786">
        <v>0.9518679580944851</v>
      </c>
      <c r="J786">
        <v>0.91468237273874631</v>
      </c>
      <c r="K786">
        <v>0.92513006107215567</v>
      </c>
      <c r="L786">
        <v>0.99962870138308735</v>
      </c>
      <c r="M786">
        <v>0.99982203239010503</v>
      </c>
      <c r="N786">
        <v>0.99846288976723763</v>
      </c>
      <c r="O786">
        <v>0.99952262745846854</v>
      </c>
      <c r="P786">
        <v>0.99772487202405136</v>
      </c>
      <c r="Q786">
        <v>0.99458239277652372</v>
      </c>
      <c r="R786">
        <v>0.97042145593869733</v>
      </c>
    </row>
    <row r="787" spans="4:19" x14ac:dyDescent="0.25">
      <c r="D787" t="s">
        <v>48</v>
      </c>
      <c r="E787">
        <v>2014</v>
      </c>
      <c r="F787" t="s">
        <v>22</v>
      </c>
      <c r="G787">
        <v>0.9991541064287911</v>
      </c>
      <c r="H787">
        <v>0.99982814916652341</v>
      </c>
      <c r="I787">
        <v>1</v>
      </c>
      <c r="J787">
        <v>0.99941874948102627</v>
      </c>
      <c r="K787">
        <v>0.99970501474926254</v>
      </c>
      <c r="L787">
        <v>1</v>
      </c>
      <c r="M787">
        <v>0.99976771196283387</v>
      </c>
      <c r="N787">
        <v>0.99948213360952876</v>
      </c>
      <c r="O787">
        <v>0.99922306629834257</v>
      </c>
      <c r="P787">
        <v>0.99740564063938408</v>
      </c>
      <c r="Q787">
        <v>0.99342969776609724</v>
      </c>
      <c r="R787">
        <v>0.99867237055612923</v>
      </c>
    </row>
    <row r="788" spans="4:19" x14ac:dyDescent="0.25">
      <c r="D788" t="s">
        <v>48</v>
      </c>
      <c r="E788">
        <v>2015</v>
      </c>
      <c r="F788" t="s">
        <v>22</v>
      </c>
      <c r="G788">
        <v>0.90068904481952083</v>
      </c>
      <c r="H788">
        <v>0.99823094242521715</v>
      </c>
      <c r="I788">
        <v>0.99787264217841443</v>
      </c>
      <c r="J788">
        <v>0.9992234819071284</v>
      </c>
      <c r="K788">
        <v>0.99944403261675319</v>
      </c>
      <c r="L788">
        <v>0.99950856500982865</v>
      </c>
      <c r="M788">
        <v>0.99927360774818397</v>
      </c>
    </row>
    <row r="789" spans="4:19" x14ac:dyDescent="0.25">
      <c r="D789" t="s">
        <v>48</v>
      </c>
      <c r="E789">
        <v>2013</v>
      </c>
      <c r="F789" t="s">
        <v>23</v>
      </c>
      <c r="S789">
        <v>147685</v>
      </c>
    </row>
    <row r="790" spans="4:19" x14ac:dyDescent="0.25">
      <c r="D790" t="s">
        <v>48</v>
      </c>
      <c r="E790">
        <v>2014</v>
      </c>
      <c r="F790" t="s">
        <v>23</v>
      </c>
      <c r="S790">
        <v>133182</v>
      </c>
    </row>
    <row r="791" spans="4:19" x14ac:dyDescent="0.25">
      <c r="D791" t="s">
        <v>48</v>
      </c>
      <c r="E791">
        <v>2015</v>
      </c>
      <c r="F791" t="s">
        <v>23</v>
      </c>
      <c r="S791">
        <v>134442</v>
      </c>
    </row>
    <row r="792" spans="4:19" x14ac:dyDescent="0.25">
      <c r="D792" t="s">
        <v>48</v>
      </c>
      <c r="E792">
        <v>2013</v>
      </c>
      <c r="F792" t="s">
        <v>24</v>
      </c>
      <c r="G792">
        <v>26785</v>
      </c>
      <c r="H792">
        <v>28246</v>
      </c>
      <c r="I792">
        <v>19890</v>
      </c>
      <c r="J792">
        <v>18605</v>
      </c>
      <c r="K792">
        <v>17364</v>
      </c>
      <c r="L792">
        <v>18503</v>
      </c>
      <c r="M792">
        <v>18292</v>
      </c>
      <c r="N792">
        <v>17458</v>
      </c>
      <c r="O792">
        <v>20689</v>
      </c>
      <c r="P792">
        <v>21081</v>
      </c>
      <c r="Q792">
        <v>18210</v>
      </c>
      <c r="R792">
        <v>19554</v>
      </c>
    </row>
    <row r="793" spans="4:19" x14ac:dyDescent="0.25">
      <c r="D793" t="s">
        <v>48</v>
      </c>
      <c r="E793">
        <v>2014</v>
      </c>
      <c r="F793" t="s">
        <v>24</v>
      </c>
      <c r="G793">
        <v>21937</v>
      </c>
      <c r="H793">
        <v>22169</v>
      </c>
      <c r="I793">
        <v>18129</v>
      </c>
      <c r="J793">
        <v>17120</v>
      </c>
      <c r="K793">
        <v>16296</v>
      </c>
      <c r="L793">
        <v>18311</v>
      </c>
      <c r="M793">
        <v>19220</v>
      </c>
      <c r="N793">
        <v>21064</v>
      </c>
      <c r="O793">
        <v>25458</v>
      </c>
      <c r="P793">
        <v>23517</v>
      </c>
      <c r="Q793">
        <v>20292</v>
      </c>
      <c r="R793">
        <v>19590</v>
      </c>
    </row>
    <row r="794" spans="4:19" x14ac:dyDescent="0.25">
      <c r="D794" t="s">
        <v>48</v>
      </c>
      <c r="E794">
        <v>2015</v>
      </c>
      <c r="F794" t="s">
        <v>24</v>
      </c>
      <c r="G794">
        <v>20765</v>
      </c>
      <c r="H794">
        <v>21325</v>
      </c>
      <c r="I794">
        <v>20060</v>
      </c>
      <c r="J794">
        <v>17059</v>
      </c>
      <c r="K794">
        <v>15965</v>
      </c>
      <c r="L794">
        <v>19327</v>
      </c>
      <c r="M794">
        <v>19941</v>
      </c>
    </row>
    <row r="795" spans="4:19" x14ac:dyDescent="0.25">
      <c r="D795" t="s">
        <v>48</v>
      </c>
      <c r="E795">
        <v>2013</v>
      </c>
      <c r="F795" t="s">
        <v>25</v>
      </c>
      <c r="S795">
        <v>489415</v>
      </c>
    </row>
    <row r="796" spans="4:19" x14ac:dyDescent="0.25">
      <c r="D796" t="s">
        <v>48</v>
      </c>
      <c r="E796">
        <v>2014</v>
      </c>
      <c r="F796" t="s">
        <v>25</v>
      </c>
      <c r="S796">
        <v>472981</v>
      </c>
    </row>
    <row r="797" spans="4:19" x14ac:dyDescent="0.25">
      <c r="D797" t="s">
        <v>48</v>
      </c>
      <c r="E797">
        <v>2015</v>
      </c>
      <c r="F797" t="s">
        <v>25</v>
      </c>
      <c r="S797">
        <v>500047</v>
      </c>
    </row>
    <row r="798" spans="4:19" x14ac:dyDescent="0.25">
      <c r="D798" t="s">
        <v>48</v>
      </c>
      <c r="E798">
        <v>2013</v>
      </c>
      <c r="F798" t="s">
        <v>26</v>
      </c>
      <c r="G798">
        <v>79276</v>
      </c>
      <c r="H798">
        <v>68307</v>
      </c>
      <c r="I798">
        <v>62465</v>
      </c>
      <c r="J798">
        <v>67570</v>
      </c>
      <c r="K798">
        <v>63469</v>
      </c>
      <c r="L798">
        <v>70677</v>
      </c>
      <c r="M798">
        <v>77651</v>
      </c>
      <c r="N798">
        <v>66710</v>
      </c>
      <c r="O798">
        <v>84802</v>
      </c>
      <c r="P798">
        <v>90258</v>
      </c>
      <c r="Q798">
        <v>76868</v>
      </c>
      <c r="R798">
        <v>85876</v>
      </c>
    </row>
    <row r="799" spans="4:19" x14ac:dyDescent="0.25">
      <c r="D799" t="s">
        <v>48</v>
      </c>
      <c r="E799">
        <v>2014</v>
      </c>
      <c r="F799" t="s">
        <v>26</v>
      </c>
      <c r="G799">
        <v>80152</v>
      </c>
      <c r="H799">
        <v>71944</v>
      </c>
      <c r="I799">
        <v>63777</v>
      </c>
      <c r="J799">
        <v>62681</v>
      </c>
      <c r="K799">
        <v>59173</v>
      </c>
      <c r="L799">
        <v>65060</v>
      </c>
      <c r="M799">
        <v>70194</v>
      </c>
      <c r="N799">
        <v>66472</v>
      </c>
      <c r="O799">
        <v>85599</v>
      </c>
      <c r="P799">
        <v>83585</v>
      </c>
      <c r="Q799">
        <v>84856</v>
      </c>
    </row>
    <row r="800" spans="4:19" x14ac:dyDescent="0.25">
      <c r="D800" t="s">
        <v>48</v>
      </c>
      <c r="E800">
        <v>2015</v>
      </c>
      <c r="F800" t="s">
        <v>26</v>
      </c>
      <c r="G800">
        <v>74498</v>
      </c>
      <c r="H800">
        <v>67479</v>
      </c>
      <c r="I800">
        <v>74169</v>
      </c>
      <c r="J800">
        <v>63287</v>
      </c>
      <c r="K800">
        <v>64990</v>
      </c>
      <c r="L800">
        <v>78706</v>
      </c>
      <c r="M800">
        <v>76918</v>
      </c>
    </row>
    <row r="801" spans="4:19" x14ac:dyDescent="0.25">
      <c r="D801" t="s">
        <v>48</v>
      </c>
      <c r="E801">
        <v>2013</v>
      </c>
      <c r="F801" t="s">
        <v>27</v>
      </c>
      <c r="S801">
        <v>851301</v>
      </c>
    </row>
    <row r="802" spans="4:19" x14ac:dyDescent="0.25">
      <c r="D802" t="s">
        <v>48</v>
      </c>
      <c r="E802">
        <v>2014</v>
      </c>
      <c r="F802" t="s">
        <v>27</v>
      </c>
      <c r="S802">
        <v>811146</v>
      </c>
    </row>
    <row r="803" spans="4:19" x14ac:dyDescent="0.25">
      <c r="D803" t="s">
        <v>48</v>
      </c>
      <c r="E803">
        <v>2015</v>
      </c>
      <c r="F803" t="s">
        <v>27</v>
      </c>
      <c r="S803">
        <v>831038</v>
      </c>
    </row>
    <row r="804" spans="4:19" x14ac:dyDescent="0.25">
      <c r="D804" t="s">
        <v>48</v>
      </c>
      <c r="E804">
        <v>2013</v>
      </c>
      <c r="F804" t="s">
        <v>28</v>
      </c>
      <c r="G804">
        <v>137672</v>
      </c>
      <c r="H804">
        <v>123812</v>
      </c>
      <c r="I804">
        <v>108685</v>
      </c>
      <c r="J804">
        <v>118072</v>
      </c>
      <c r="K804">
        <v>108951</v>
      </c>
      <c r="L804">
        <v>120441</v>
      </c>
      <c r="M804">
        <v>133668</v>
      </c>
      <c r="N804">
        <v>114227</v>
      </c>
      <c r="O804">
        <v>148175</v>
      </c>
      <c r="P804">
        <v>156703</v>
      </c>
      <c r="Q804">
        <v>128755</v>
      </c>
      <c r="R804">
        <v>138543</v>
      </c>
    </row>
    <row r="805" spans="4:19" x14ac:dyDescent="0.25">
      <c r="D805" t="s">
        <v>48</v>
      </c>
      <c r="E805">
        <v>2014</v>
      </c>
      <c r="F805" t="s">
        <v>28</v>
      </c>
      <c r="G805">
        <v>135839</v>
      </c>
      <c r="H805">
        <v>125947</v>
      </c>
      <c r="I805">
        <v>111325</v>
      </c>
      <c r="J805">
        <v>108996</v>
      </c>
      <c r="K805">
        <v>98615</v>
      </c>
      <c r="L805">
        <v>110450</v>
      </c>
      <c r="M805">
        <v>119974</v>
      </c>
      <c r="N805">
        <v>106854</v>
      </c>
      <c r="O805">
        <v>149115</v>
      </c>
      <c r="P805">
        <v>139239</v>
      </c>
      <c r="Q805">
        <v>136217</v>
      </c>
      <c r="R805">
        <v>146561</v>
      </c>
    </row>
    <row r="806" spans="4:19" x14ac:dyDescent="0.25">
      <c r="D806" t="s">
        <v>48</v>
      </c>
      <c r="E806">
        <v>2015</v>
      </c>
      <c r="F806" t="s">
        <v>28</v>
      </c>
      <c r="G806">
        <v>121482</v>
      </c>
      <c r="H806">
        <v>113311</v>
      </c>
      <c r="I806">
        <v>126095</v>
      </c>
      <c r="J806">
        <v>104396</v>
      </c>
      <c r="K806">
        <v>105927</v>
      </c>
      <c r="L806">
        <v>131347</v>
      </c>
      <c r="M806">
        <v>128480</v>
      </c>
    </row>
    <row r="807" spans="4:19" x14ac:dyDescent="0.25">
      <c r="D807" t="s">
        <v>48</v>
      </c>
      <c r="E807">
        <v>2013</v>
      </c>
      <c r="F807" t="s">
        <v>29</v>
      </c>
      <c r="S807">
        <v>100040</v>
      </c>
    </row>
    <row r="808" spans="4:19" x14ac:dyDescent="0.25">
      <c r="D808" t="s">
        <v>48</v>
      </c>
      <c r="E808">
        <v>2014</v>
      </c>
      <c r="F808" t="s">
        <v>29</v>
      </c>
      <c r="S808">
        <v>100786</v>
      </c>
    </row>
    <row r="809" spans="4:19" x14ac:dyDescent="0.25">
      <c r="D809" t="s">
        <v>48</v>
      </c>
      <c r="E809">
        <v>2015</v>
      </c>
      <c r="F809" t="s">
        <v>29</v>
      </c>
      <c r="S809">
        <v>79077</v>
      </c>
    </row>
    <row r="810" spans="4:19" x14ac:dyDescent="0.25">
      <c r="D810" t="s">
        <v>48</v>
      </c>
      <c r="E810">
        <v>2013</v>
      </c>
      <c r="F810" t="s">
        <v>30</v>
      </c>
      <c r="G810">
        <v>17237</v>
      </c>
      <c r="H810">
        <v>14696</v>
      </c>
      <c r="I810">
        <v>12947</v>
      </c>
      <c r="J810">
        <v>14390</v>
      </c>
      <c r="K810">
        <v>13363</v>
      </c>
      <c r="L810">
        <v>13319</v>
      </c>
      <c r="M810">
        <v>14088</v>
      </c>
      <c r="N810">
        <v>13208</v>
      </c>
      <c r="O810">
        <v>17711</v>
      </c>
      <c r="P810">
        <v>17455</v>
      </c>
      <c r="Q810">
        <v>15232</v>
      </c>
      <c r="R810">
        <v>14423</v>
      </c>
    </row>
    <row r="811" spans="4:19" x14ac:dyDescent="0.25">
      <c r="D811" t="s">
        <v>48</v>
      </c>
      <c r="E811">
        <v>2014</v>
      </c>
      <c r="F811" t="s">
        <v>30</v>
      </c>
      <c r="G811">
        <v>17593</v>
      </c>
      <c r="H811">
        <v>15783</v>
      </c>
      <c r="I811">
        <v>13819</v>
      </c>
      <c r="J811">
        <v>13642</v>
      </c>
      <c r="K811">
        <v>12158</v>
      </c>
      <c r="L811">
        <v>13487</v>
      </c>
      <c r="M811">
        <v>14304</v>
      </c>
      <c r="N811">
        <v>12292</v>
      </c>
      <c r="O811">
        <v>17999</v>
      </c>
      <c r="P811">
        <v>13629</v>
      </c>
      <c r="Q811">
        <v>12961</v>
      </c>
      <c r="R811">
        <v>12296</v>
      </c>
    </row>
    <row r="812" spans="4:19" x14ac:dyDescent="0.25">
      <c r="D812" t="s">
        <v>48</v>
      </c>
      <c r="E812">
        <v>2015</v>
      </c>
      <c r="F812" t="s">
        <v>30</v>
      </c>
      <c r="G812">
        <v>13784</v>
      </c>
      <c r="H812">
        <v>12404</v>
      </c>
      <c r="I812">
        <v>13630</v>
      </c>
      <c r="J812">
        <v>11410</v>
      </c>
      <c r="K812">
        <v>11225</v>
      </c>
      <c r="L812">
        <v>9405</v>
      </c>
      <c r="M812">
        <v>7219</v>
      </c>
    </row>
    <row r="813" spans="4:19" x14ac:dyDescent="0.25">
      <c r="D813" t="s">
        <v>48</v>
      </c>
      <c r="E813">
        <v>2013</v>
      </c>
      <c r="F813" t="s">
        <v>31</v>
      </c>
      <c r="S813">
        <v>0.91244202187087387</v>
      </c>
    </row>
    <row r="814" spans="4:19" x14ac:dyDescent="0.25">
      <c r="D814" t="s">
        <v>48</v>
      </c>
      <c r="E814">
        <v>2014</v>
      </c>
      <c r="F814" t="s">
        <v>31</v>
      </c>
      <c r="S814">
        <v>0.9395413794656936</v>
      </c>
    </row>
    <row r="815" spans="4:19" x14ac:dyDescent="0.25">
      <c r="D815" t="s">
        <v>48</v>
      </c>
      <c r="E815">
        <v>2015</v>
      </c>
      <c r="F815" t="s">
        <v>31</v>
      </c>
      <c r="S815">
        <v>0.90547596733163749</v>
      </c>
    </row>
    <row r="816" spans="4:19" x14ac:dyDescent="0.25">
      <c r="D816" t="s">
        <v>48</v>
      </c>
      <c r="E816">
        <v>2013</v>
      </c>
      <c r="F816" t="s">
        <v>32</v>
      </c>
      <c r="G816">
        <v>1.0925144670524547</v>
      </c>
      <c r="H816">
        <v>0.74591092544077042</v>
      </c>
      <c r="I816">
        <v>0.87541478129713424</v>
      </c>
      <c r="J816">
        <v>0.9015318462778823</v>
      </c>
      <c r="K816">
        <v>0.90941027413038467</v>
      </c>
      <c r="L816">
        <v>0.90687996541101445</v>
      </c>
      <c r="M816">
        <v>0.96577738902252352</v>
      </c>
      <c r="N816">
        <v>0.98344598464887156</v>
      </c>
      <c r="O816">
        <v>0.96350717772729466</v>
      </c>
      <c r="P816">
        <v>0.94174849390446369</v>
      </c>
      <c r="Q816">
        <v>0.95475013728720481</v>
      </c>
      <c r="R816">
        <v>0.95494527973816101</v>
      </c>
    </row>
    <row r="817" spans="4:19" x14ac:dyDescent="0.25">
      <c r="D817" t="s">
        <v>48</v>
      </c>
      <c r="E817">
        <v>2014</v>
      </c>
      <c r="F817" t="s">
        <v>32</v>
      </c>
      <c r="G817">
        <v>0.96079682727811455</v>
      </c>
      <c r="H817">
        <v>0.95006540664892414</v>
      </c>
      <c r="I817">
        <v>0.97390920624413924</v>
      </c>
      <c r="J817">
        <v>0.95210280373831779</v>
      </c>
      <c r="K817">
        <v>0.95017182130584188</v>
      </c>
      <c r="L817">
        <v>0.87979902790672271</v>
      </c>
      <c r="M817">
        <v>0.90744016649323622</v>
      </c>
      <c r="N817">
        <v>0.88819787314849985</v>
      </c>
      <c r="O817">
        <v>0.9028203315264357</v>
      </c>
      <c r="P817">
        <v>0.91083046306926907</v>
      </c>
      <c r="Q817">
        <v>0.89557461068401345</v>
      </c>
      <c r="R817">
        <v>0.92077590607452786</v>
      </c>
    </row>
    <row r="818" spans="4:19" x14ac:dyDescent="0.25">
      <c r="D818" t="s">
        <v>48</v>
      </c>
      <c r="E818">
        <v>2015</v>
      </c>
      <c r="F818" t="s">
        <v>32</v>
      </c>
      <c r="G818">
        <v>0.90045750060197449</v>
      </c>
      <c r="H818">
        <v>0.88150058616647131</v>
      </c>
      <c r="I818">
        <v>0.88893320039880364</v>
      </c>
      <c r="J818">
        <v>0.9223870097895539</v>
      </c>
      <c r="K818">
        <v>0.92533667397431885</v>
      </c>
      <c r="L818">
        <v>0.91224711543436643</v>
      </c>
      <c r="M818">
        <v>0.91605235444561461</v>
      </c>
    </row>
    <row r="819" spans="4:19" x14ac:dyDescent="0.25">
      <c r="D819" t="s">
        <v>48</v>
      </c>
      <c r="E819">
        <v>2013</v>
      </c>
      <c r="F819" t="s">
        <v>33</v>
      </c>
      <c r="S819">
        <v>0.95738438329084952</v>
      </c>
    </row>
    <row r="820" spans="4:19" x14ac:dyDescent="0.25">
      <c r="D820" t="s">
        <v>48</v>
      </c>
      <c r="E820">
        <v>2014</v>
      </c>
      <c r="F820" t="s">
        <v>33</v>
      </c>
      <c r="S820">
        <v>0.94090971726358252</v>
      </c>
    </row>
    <row r="821" spans="4:19" x14ac:dyDescent="0.25">
      <c r="D821" t="s">
        <v>48</v>
      </c>
      <c r="E821">
        <v>2015</v>
      </c>
      <c r="F821" t="s">
        <v>33</v>
      </c>
      <c r="S821">
        <v>0.91492309468525912</v>
      </c>
    </row>
    <row r="822" spans="4:19" x14ac:dyDescent="0.25">
      <c r="D822" t="s">
        <v>48</v>
      </c>
      <c r="E822">
        <v>2013</v>
      </c>
      <c r="F822" t="s">
        <v>34</v>
      </c>
      <c r="G822">
        <v>1.2244817485353763</v>
      </c>
      <c r="H822">
        <v>0.70893908144272855</v>
      </c>
      <c r="I822">
        <v>0.92869550831334269</v>
      </c>
      <c r="J822">
        <v>0.95234493192133129</v>
      </c>
      <c r="K822">
        <v>0.97917240113771908</v>
      </c>
      <c r="L822">
        <v>0.97385250546425972</v>
      </c>
      <c r="M822">
        <v>0.97189862160960427</v>
      </c>
      <c r="N822">
        <v>0.97293500655553478</v>
      </c>
      <c r="O822">
        <v>0.94375744934445771</v>
      </c>
      <c r="P822">
        <v>0.90882767837255918</v>
      </c>
      <c r="Q822">
        <v>0.92806634657354869</v>
      </c>
      <c r="R822">
        <v>0.92575425585707061</v>
      </c>
    </row>
    <row r="823" spans="4:19" x14ac:dyDescent="0.25">
      <c r="D823" t="s">
        <v>48</v>
      </c>
      <c r="E823">
        <v>2014</v>
      </c>
      <c r="F823" t="s">
        <v>34</v>
      </c>
      <c r="G823">
        <v>0.9393853961093882</v>
      </c>
      <c r="H823">
        <v>0.92187720536344386</v>
      </c>
      <c r="I823">
        <v>0.95840661273302852</v>
      </c>
      <c r="J823">
        <v>0.92782325499515883</v>
      </c>
      <c r="K823">
        <v>0.92352608777547562</v>
      </c>
      <c r="L823">
        <v>0.95166757791142698</v>
      </c>
      <c r="M823">
        <v>0.97737657416694523</v>
      </c>
      <c r="N823">
        <v>0.90953082263833374</v>
      </c>
      <c r="O823">
        <v>0.8931283397393831</v>
      </c>
      <c r="P823">
        <v>0.92073340124085568</v>
      </c>
      <c r="Q823">
        <v>0.87906976744186049</v>
      </c>
      <c r="R823">
        <v>0.93698439518934495</v>
      </c>
    </row>
    <row r="824" spans="4:19" x14ac:dyDescent="0.25">
      <c r="D824" t="s">
        <v>48</v>
      </c>
      <c r="E824">
        <v>2015</v>
      </c>
      <c r="F824" t="s">
        <v>34</v>
      </c>
      <c r="G824">
        <v>0.90060162176301339</v>
      </c>
      <c r="H824">
        <v>0.86669354838709678</v>
      </c>
      <c r="I824">
        <v>0.89553455019556716</v>
      </c>
      <c r="J824">
        <v>0.94677119867959558</v>
      </c>
      <c r="K824">
        <v>0.94123808526238606</v>
      </c>
      <c r="L824">
        <v>0.93175759729873819</v>
      </c>
      <c r="M824">
        <v>0.93708580012370768</v>
      </c>
    </row>
    <row r="825" spans="4:19" x14ac:dyDescent="0.25">
      <c r="D825" t="s">
        <v>49</v>
      </c>
      <c r="E825">
        <v>2013</v>
      </c>
      <c r="F825" t="s">
        <v>17</v>
      </c>
      <c r="S825">
        <v>0.93751584283903677</v>
      </c>
    </row>
    <row r="826" spans="4:19" x14ac:dyDescent="0.25">
      <c r="D826" t="s">
        <v>49</v>
      </c>
      <c r="E826">
        <v>2014</v>
      </c>
      <c r="F826" t="s">
        <v>17</v>
      </c>
      <c r="S826">
        <v>0.91551604564655442</v>
      </c>
    </row>
    <row r="827" spans="4:19" x14ac:dyDescent="0.25">
      <c r="D827" t="s">
        <v>49</v>
      </c>
      <c r="E827">
        <v>2015</v>
      </c>
      <c r="F827" t="s">
        <v>17</v>
      </c>
      <c r="S827">
        <v>0.88826025459688829</v>
      </c>
    </row>
    <row r="828" spans="4:19" x14ac:dyDescent="0.25">
      <c r="D828" t="s">
        <v>49</v>
      </c>
      <c r="E828">
        <v>2013</v>
      </c>
      <c r="F828" t="s">
        <v>18</v>
      </c>
      <c r="G828">
        <v>0.90037593984962405</v>
      </c>
      <c r="H828">
        <v>0.91092943201376941</v>
      </c>
      <c r="I828">
        <v>0.94997726239199631</v>
      </c>
      <c r="J828">
        <v>0.96703296703296704</v>
      </c>
      <c r="K828">
        <v>0.95578074619990783</v>
      </c>
      <c r="L828">
        <v>0.93317307692307694</v>
      </c>
      <c r="M828">
        <v>0.95561473590767865</v>
      </c>
      <c r="N828">
        <v>0.93150684931506844</v>
      </c>
      <c r="O828">
        <v>0.92702169625246544</v>
      </c>
      <c r="P828">
        <v>0.93916349809885935</v>
      </c>
      <c r="Q828">
        <v>0.92283813747228383</v>
      </c>
      <c r="R828">
        <v>0.90912915439629782</v>
      </c>
    </row>
    <row r="829" spans="4:19" x14ac:dyDescent="0.25">
      <c r="D829" t="s">
        <v>49</v>
      </c>
      <c r="E829">
        <v>2014</v>
      </c>
      <c r="F829" t="s">
        <v>18</v>
      </c>
      <c r="G829">
        <v>0.88565559739815136</v>
      </c>
      <c r="H829">
        <v>0.90551181102362199</v>
      </c>
      <c r="I829">
        <v>0.94551591128254575</v>
      </c>
      <c r="J829">
        <v>0.93342709798405998</v>
      </c>
      <c r="K829">
        <v>0.94275399690562145</v>
      </c>
      <c r="L829">
        <v>0.89661835748792273</v>
      </c>
      <c r="M829">
        <v>0.9148351648351648</v>
      </c>
      <c r="N829">
        <v>0.90090543259557343</v>
      </c>
      <c r="O829">
        <v>0.90426638917793967</v>
      </c>
      <c r="P829">
        <v>0.93317326930772304</v>
      </c>
      <c r="Q829">
        <v>0.90078671328671334</v>
      </c>
      <c r="R829">
        <v>0.88656195462478182</v>
      </c>
    </row>
    <row r="830" spans="4:19" x14ac:dyDescent="0.25">
      <c r="D830" t="s">
        <v>49</v>
      </c>
      <c r="E830">
        <v>2015</v>
      </c>
      <c r="F830" t="s">
        <v>18</v>
      </c>
      <c r="G830">
        <v>0.86140637775960749</v>
      </c>
      <c r="H830">
        <v>0.7695570216776626</v>
      </c>
      <c r="I830">
        <v>0.89987587918907741</v>
      </c>
      <c r="J830">
        <v>0.93278179937952432</v>
      </c>
      <c r="K830">
        <v>0.92284325637910081</v>
      </c>
      <c r="L830">
        <v>0.92129208371246585</v>
      </c>
      <c r="M830">
        <v>0.94190268700072621</v>
      </c>
    </row>
    <row r="831" spans="4:19" x14ac:dyDescent="0.25">
      <c r="D831" t="s">
        <v>49</v>
      </c>
      <c r="E831">
        <v>2013</v>
      </c>
      <c r="F831" t="s">
        <v>19</v>
      </c>
      <c r="S831">
        <v>0.97198134518691248</v>
      </c>
    </row>
    <row r="832" spans="4:19" x14ac:dyDescent="0.25">
      <c r="D832" t="s">
        <v>49</v>
      </c>
      <c r="E832">
        <v>2014</v>
      </c>
      <c r="F832" t="s">
        <v>19</v>
      </c>
      <c r="S832">
        <v>0.98451489015993898</v>
      </c>
    </row>
    <row r="833" spans="4:19" x14ac:dyDescent="0.25">
      <c r="D833" t="s">
        <v>49</v>
      </c>
      <c r="E833">
        <v>2015</v>
      </c>
      <c r="F833" t="s">
        <v>19</v>
      </c>
      <c r="S833">
        <v>0.99685931536080308</v>
      </c>
    </row>
    <row r="834" spans="4:19" x14ac:dyDescent="0.25">
      <c r="D834" t="s">
        <v>49</v>
      </c>
      <c r="E834">
        <v>2013</v>
      </c>
      <c r="F834" t="s">
        <v>20</v>
      </c>
      <c r="G834">
        <v>0.99267279090113736</v>
      </c>
      <c r="H834">
        <v>0.99642774832910808</v>
      </c>
      <c r="I834">
        <v>0.99414488017429192</v>
      </c>
      <c r="J834">
        <v>0.99315654405474763</v>
      </c>
      <c r="K834">
        <v>0.8440762004175365</v>
      </c>
      <c r="L834">
        <v>0.99122425297360028</v>
      </c>
      <c r="M834">
        <v>0.9888424786862734</v>
      </c>
      <c r="N834">
        <v>0.9933438305181792</v>
      </c>
      <c r="O834">
        <v>0.99936507936507935</v>
      </c>
      <c r="P834">
        <v>0.99632238911781645</v>
      </c>
      <c r="Q834">
        <v>0.9987916868052199</v>
      </c>
      <c r="R834">
        <v>0.9789721071185602</v>
      </c>
    </row>
    <row r="835" spans="4:19" x14ac:dyDescent="0.25">
      <c r="D835" t="s">
        <v>49</v>
      </c>
      <c r="E835">
        <v>2014</v>
      </c>
      <c r="F835" t="s">
        <v>20</v>
      </c>
      <c r="G835">
        <v>0.99923014413412603</v>
      </c>
      <c r="H835">
        <v>1</v>
      </c>
      <c r="I835">
        <v>0.99098382391938478</v>
      </c>
      <c r="J835">
        <v>0.96051198257080606</v>
      </c>
      <c r="K835">
        <v>0.95188095403657602</v>
      </c>
      <c r="L835">
        <v>0.99321146033782337</v>
      </c>
      <c r="M835">
        <v>0.98093389656353469</v>
      </c>
      <c r="N835">
        <v>0.9984920542860457</v>
      </c>
      <c r="O835">
        <v>0.99908578394027125</v>
      </c>
      <c r="P835">
        <v>0.9990742545312804</v>
      </c>
      <c r="Q835">
        <v>0.99560818323326661</v>
      </c>
      <c r="R835">
        <v>0.99248050067722204</v>
      </c>
    </row>
    <row r="836" spans="4:19" x14ac:dyDescent="0.25">
      <c r="D836" t="s">
        <v>49</v>
      </c>
      <c r="E836">
        <v>2015</v>
      </c>
      <c r="F836" t="s">
        <v>20</v>
      </c>
      <c r="G836">
        <v>0.99966976264189888</v>
      </c>
      <c r="H836">
        <v>0.99749885151345008</v>
      </c>
      <c r="I836">
        <v>0.99978173563820505</v>
      </c>
      <c r="J836">
        <v>0.9981635071090047</v>
      </c>
      <c r="K836">
        <v>0.99357003075202688</v>
      </c>
      <c r="L836">
        <v>0.99482065127555241</v>
      </c>
      <c r="M836">
        <v>0.99183841230696967</v>
      </c>
    </row>
    <row r="837" spans="4:19" x14ac:dyDescent="0.25">
      <c r="D837" t="s">
        <v>49</v>
      </c>
      <c r="E837">
        <v>2013</v>
      </c>
      <c r="F837" t="s">
        <v>21</v>
      </c>
      <c r="S837">
        <v>0.98620531971648506</v>
      </c>
    </row>
    <row r="838" spans="4:19" x14ac:dyDescent="0.25">
      <c r="D838" t="s">
        <v>49</v>
      </c>
      <c r="E838">
        <v>2014</v>
      </c>
      <c r="F838" t="s">
        <v>21</v>
      </c>
      <c r="S838">
        <v>0.99911347517730498</v>
      </c>
    </row>
    <row r="839" spans="4:19" x14ac:dyDescent="0.25">
      <c r="D839" t="s">
        <v>49</v>
      </c>
      <c r="E839">
        <v>2015</v>
      </c>
      <c r="F839" t="s">
        <v>21</v>
      </c>
      <c r="S839">
        <v>0.99816118191617531</v>
      </c>
    </row>
    <row r="840" spans="4:19" x14ac:dyDescent="0.25">
      <c r="D840" t="s">
        <v>49</v>
      </c>
      <c r="E840">
        <v>2013</v>
      </c>
      <c r="F840" t="s">
        <v>22</v>
      </c>
      <c r="G840">
        <v>0.99271948608137039</v>
      </c>
      <c r="H840">
        <v>0.99638118214716531</v>
      </c>
      <c r="I840">
        <v>0.9910714285714286</v>
      </c>
      <c r="J840">
        <v>0.99205448354143022</v>
      </c>
      <c r="K840">
        <v>0.93457943925233644</v>
      </c>
      <c r="L840">
        <v>0.99166203446359091</v>
      </c>
      <c r="M840">
        <v>0.99951526902569077</v>
      </c>
      <c r="N840">
        <v>1</v>
      </c>
      <c r="O840">
        <v>0.99789584429247769</v>
      </c>
      <c r="P840">
        <v>0.99814039981404001</v>
      </c>
      <c r="Q840">
        <v>0.99942857142857144</v>
      </c>
      <c r="R840">
        <v>0.99478196049198653</v>
      </c>
    </row>
    <row r="841" spans="4:19" x14ac:dyDescent="0.25">
      <c r="D841" t="s">
        <v>49</v>
      </c>
      <c r="E841">
        <v>2014</v>
      </c>
      <c r="F841" t="s">
        <v>22</v>
      </c>
      <c r="G841">
        <v>1</v>
      </c>
      <c r="H841">
        <v>1</v>
      </c>
      <c r="I841">
        <v>1</v>
      </c>
      <c r="J841">
        <v>0.99658369936554414</v>
      </c>
      <c r="K841">
        <v>0.9982698961937716</v>
      </c>
      <c r="L841">
        <v>0.99953789279112759</v>
      </c>
      <c r="M841">
        <v>0.99912854030501086</v>
      </c>
      <c r="N841">
        <v>0.9987021414665801</v>
      </c>
      <c r="O841">
        <v>0.99859616284510999</v>
      </c>
      <c r="P841">
        <v>1</v>
      </c>
      <c r="Q841">
        <v>0.99835886214442016</v>
      </c>
      <c r="R841">
        <v>0.99651457541191379</v>
      </c>
    </row>
    <row r="842" spans="4:19" x14ac:dyDescent="0.25">
      <c r="D842" t="s">
        <v>49</v>
      </c>
      <c r="E842">
        <v>2015</v>
      </c>
      <c r="F842" t="s">
        <v>22</v>
      </c>
      <c r="G842">
        <v>0.99925567547450689</v>
      </c>
      <c r="H842">
        <v>0.99595551061678467</v>
      </c>
      <c r="I842">
        <v>1</v>
      </c>
      <c r="J842">
        <v>1</v>
      </c>
      <c r="K842">
        <v>1</v>
      </c>
      <c r="L842">
        <v>0.99364137346333192</v>
      </c>
      <c r="M842">
        <v>0.99813606710158431</v>
      </c>
    </row>
    <row r="843" spans="4:19" x14ac:dyDescent="0.25">
      <c r="D843" t="s">
        <v>49</v>
      </c>
      <c r="E843">
        <v>2013</v>
      </c>
      <c r="F843" t="s">
        <v>23</v>
      </c>
      <c r="S843">
        <v>35087</v>
      </c>
    </row>
    <row r="844" spans="4:19" x14ac:dyDescent="0.25">
      <c r="D844" t="s">
        <v>49</v>
      </c>
      <c r="E844">
        <v>2014</v>
      </c>
      <c r="F844" t="s">
        <v>23</v>
      </c>
      <c r="S844">
        <v>32056</v>
      </c>
    </row>
    <row r="845" spans="4:19" x14ac:dyDescent="0.25">
      <c r="D845" t="s">
        <v>49</v>
      </c>
      <c r="E845">
        <v>2015</v>
      </c>
      <c r="F845" t="s">
        <v>23</v>
      </c>
      <c r="S845">
        <v>30194</v>
      </c>
    </row>
    <row r="846" spans="4:19" x14ac:dyDescent="0.25">
      <c r="D846" t="s">
        <v>49</v>
      </c>
      <c r="E846">
        <v>2013</v>
      </c>
      <c r="F846" t="s">
        <v>24</v>
      </c>
      <c r="G846">
        <v>6186</v>
      </c>
      <c r="H846">
        <v>5771</v>
      </c>
      <c r="I846">
        <v>4760</v>
      </c>
      <c r="J846">
        <v>4494</v>
      </c>
      <c r="K846">
        <v>4513</v>
      </c>
      <c r="L846">
        <v>4277</v>
      </c>
      <c r="M846">
        <v>5086</v>
      </c>
      <c r="N846">
        <v>4816</v>
      </c>
      <c r="O846">
        <v>5505</v>
      </c>
      <c r="P846">
        <v>5111</v>
      </c>
      <c r="Q846">
        <v>4717</v>
      </c>
      <c r="R846">
        <v>4840</v>
      </c>
    </row>
    <row r="847" spans="4:19" x14ac:dyDescent="0.25">
      <c r="D847" t="s">
        <v>49</v>
      </c>
      <c r="E847">
        <v>2014</v>
      </c>
      <c r="F847" t="s">
        <v>24</v>
      </c>
      <c r="G847">
        <v>5233</v>
      </c>
      <c r="H847">
        <v>5273</v>
      </c>
      <c r="I847">
        <v>3935</v>
      </c>
      <c r="J847">
        <v>4008</v>
      </c>
      <c r="K847">
        <v>4063</v>
      </c>
      <c r="L847">
        <v>4457</v>
      </c>
      <c r="M847">
        <v>5087</v>
      </c>
      <c r="N847">
        <v>4749</v>
      </c>
      <c r="O847">
        <v>5753</v>
      </c>
      <c r="P847">
        <v>5030</v>
      </c>
      <c r="Q847">
        <v>4218</v>
      </c>
      <c r="R847">
        <v>4457</v>
      </c>
    </row>
    <row r="848" spans="4:19" x14ac:dyDescent="0.25">
      <c r="D848" t="s">
        <v>49</v>
      </c>
      <c r="E848">
        <v>2015</v>
      </c>
      <c r="F848" t="s">
        <v>24</v>
      </c>
      <c r="G848">
        <v>5039</v>
      </c>
      <c r="H848">
        <v>4146</v>
      </c>
      <c r="I848">
        <v>4022</v>
      </c>
      <c r="J848">
        <v>3859</v>
      </c>
      <c r="K848">
        <v>3334</v>
      </c>
      <c r="L848">
        <v>4579</v>
      </c>
      <c r="M848">
        <v>5215</v>
      </c>
    </row>
    <row r="849" spans="4:19" x14ac:dyDescent="0.25">
      <c r="D849" t="s">
        <v>49</v>
      </c>
      <c r="E849">
        <v>2013</v>
      </c>
      <c r="F849" t="s">
        <v>25</v>
      </c>
      <c r="S849">
        <v>71748</v>
      </c>
    </row>
    <row r="850" spans="4:19" x14ac:dyDescent="0.25">
      <c r="D850" t="s">
        <v>49</v>
      </c>
      <c r="E850">
        <v>2014</v>
      </c>
      <c r="F850" t="s">
        <v>25</v>
      </c>
      <c r="S850">
        <v>70581</v>
      </c>
    </row>
    <row r="851" spans="4:19" x14ac:dyDescent="0.25">
      <c r="D851" t="s">
        <v>49</v>
      </c>
      <c r="E851">
        <v>2015</v>
      </c>
      <c r="F851" t="s">
        <v>25</v>
      </c>
      <c r="S851">
        <v>77938</v>
      </c>
    </row>
    <row r="852" spans="4:19" x14ac:dyDescent="0.25">
      <c r="D852" t="s">
        <v>49</v>
      </c>
      <c r="E852">
        <v>2013</v>
      </c>
      <c r="F852" t="s">
        <v>26</v>
      </c>
      <c r="G852">
        <v>11938</v>
      </c>
      <c r="H852">
        <v>10324</v>
      </c>
      <c r="I852">
        <v>9951</v>
      </c>
      <c r="J852">
        <v>9195</v>
      </c>
      <c r="K852">
        <v>8725</v>
      </c>
      <c r="L852">
        <v>9637</v>
      </c>
      <c r="M852">
        <v>11978</v>
      </c>
      <c r="N852">
        <v>9490</v>
      </c>
      <c r="O852">
        <v>13215</v>
      </c>
      <c r="P852">
        <v>19146</v>
      </c>
      <c r="Q852">
        <v>11494</v>
      </c>
      <c r="R852">
        <v>11398</v>
      </c>
    </row>
    <row r="853" spans="4:19" x14ac:dyDescent="0.25">
      <c r="D853" t="s">
        <v>49</v>
      </c>
      <c r="E853">
        <v>2014</v>
      </c>
      <c r="F853" t="s">
        <v>26</v>
      </c>
      <c r="G853">
        <v>11411</v>
      </c>
      <c r="H853">
        <v>10687</v>
      </c>
      <c r="I853">
        <v>9767</v>
      </c>
      <c r="J853">
        <v>9398</v>
      </c>
      <c r="K853">
        <v>8705</v>
      </c>
      <c r="L853">
        <v>9833</v>
      </c>
      <c r="M853">
        <v>10780</v>
      </c>
      <c r="N853">
        <v>12201</v>
      </c>
      <c r="O853">
        <v>13195</v>
      </c>
      <c r="P853">
        <v>15948</v>
      </c>
      <c r="Q853">
        <v>12300</v>
      </c>
      <c r="R853">
        <v>13490</v>
      </c>
    </row>
    <row r="854" spans="4:19" x14ac:dyDescent="0.25">
      <c r="D854" t="s">
        <v>49</v>
      </c>
      <c r="E854">
        <v>2015</v>
      </c>
      <c r="F854" t="s">
        <v>26</v>
      </c>
      <c r="G854">
        <v>12210</v>
      </c>
      <c r="H854">
        <v>11037</v>
      </c>
      <c r="I854">
        <v>11990</v>
      </c>
      <c r="J854">
        <v>10717</v>
      </c>
      <c r="K854">
        <v>8881</v>
      </c>
      <c r="L854">
        <v>11569</v>
      </c>
      <c r="M854">
        <v>11534</v>
      </c>
    </row>
    <row r="855" spans="4:19" x14ac:dyDescent="0.25">
      <c r="D855" t="s">
        <v>49</v>
      </c>
      <c r="E855">
        <v>2013</v>
      </c>
      <c r="F855" t="s">
        <v>27</v>
      </c>
      <c r="S855">
        <v>148896</v>
      </c>
    </row>
    <row r="856" spans="4:19" x14ac:dyDescent="0.25">
      <c r="D856" t="s">
        <v>49</v>
      </c>
      <c r="E856">
        <v>2014</v>
      </c>
      <c r="F856" t="s">
        <v>27</v>
      </c>
      <c r="S856">
        <v>148059</v>
      </c>
    </row>
    <row r="857" spans="4:19" x14ac:dyDescent="0.25">
      <c r="D857" t="s">
        <v>49</v>
      </c>
      <c r="E857">
        <v>2015</v>
      </c>
      <c r="F857" t="s">
        <v>27</v>
      </c>
      <c r="S857">
        <v>161013</v>
      </c>
    </row>
    <row r="858" spans="4:19" x14ac:dyDescent="0.25">
      <c r="D858" t="s">
        <v>49</v>
      </c>
      <c r="E858">
        <v>2013</v>
      </c>
      <c r="F858" t="s">
        <v>28</v>
      </c>
      <c r="G858">
        <v>24578</v>
      </c>
      <c r="H858">
        <v>21762</v>
      </c>
      <c r="I858">
        <v>21088</v>
      </c>
      <c r="J858">
        <v>19562</v>
      </c>
      <c r="K858">
        <v>17993</v>
      </c>
      <c r="L858">
        <v>20381</v>
      </c>
      <c r="M858">
        <v>23532</v>
      </c>
      <c r="N858">
        <v>17812</v>
      </c>
      <c r="O858">
        <v>27344</v>
      </c>
      <c r="P858">
        <v>32945</v>
      </c>
      <c r="Q858">
        <v>22911</v>
      </c>
      <c r="R858">
        <v>24062</v>
      </c>
    </row>
    <row r="859" spans="4:19" x14ac:dyDescent="0.25">
      <c r="D859" t="s">
        <v>49</v>
      </c>
      <c r="E859">
        <v>2014</v>
      </c>
      <c r="F859" t="s">
        <v>28</v>
      </c>
      <c r="G859">
        <v>25264</v>
      </c>
      <c r="H859">
        <v>22994</v>
      </c>
      <c r="I859">
        <v>20723</v>
      </c>
      <c r="J859">
        <v>19905</v>
      </c>
      <c r="K859">
        <v>18225</v>
      </c>
      <c r="L859">
        <v>19333</v>
      </c>
      <c r="M859">
        <v>21615</v>
      </c>
      <c r="N859">
        <v>22367</v>
      </c>
      <c r="O859">
        <v>25924</v>
      </c>
      <c r="P859">
        <v>29645</v>
      </c>
      <c r="Q859">
        <v>24558</v>
      </c>
      <c r="R859">
        <v>29103</v>
      </c>
    </row>
    <row r="860" spans="4:19" x14ac:dyDescent="0.25">
      <c r="D860" t="s">
        <v>49</v>
      </c>
      <c r="E860">
        <v>2015</v>
      </c>
      <c r="F860" t="s">
        <v>28</v>
      </c>
      <c r="G860">
        <v>25639</v>
      </c>
      <c r="H860">
        <v>24081</v>
      </c>
      <c r="I860">
        <v>26055</v>
      </c>
      <c r="J860">
        <v>22084</v>
      </c>
      <c r="K860">
        <v>17893</v>
      </c>
      <c r="L860">
        <v>23332</v>
      </c>
      <c r="M860">
        <v>21929</v>
      </c>
    </row>
    <row r="861" spans="4:19" x14ac:dyDescent="0.25">
      <c r="D861" t="s">
        <v>49</v>
      </c>
      <c r="E861">
        <v>2013</v>
      </c>
      <c r="F861" t="s">
        <v>29</v>
      </c>
      <c r="S861">
        <v>15780</v>
      </c>
    </row>
    <row r="862" spans="4:19" x14ac:dyDescent="0.25">
      <c r="D862" t="s">
        <v>49</v>
      </c>
      <c r="E862">
        <v>2014</v>
      </c>
      <c r="F862" t="s">
        <v>29</v>
      </c>
      <c r="S862">
        <v>15861</v>
      </c>
    </row>
    <row r="863" spans="4:19" x14ac:dyDescent="0.25">
      <c r="D863" t="s">
        <v>49</v>
      </c>
      <c r="E863">
        <v>2015</v>
      </c>
      <c r="F863" t="s">
        <v>29</v>
      </c>
      <c r="S863">
        <v>14140</v>
      </c>
    </row>
    <row r="864" spans="4:19" x14ac:dyDescent="0.25">
      <c r="D864" t="s">
        <v>49</v>
      </c>
      <c r="E864">
        <v>2013</v>
      </c>
      <c r="F864" t="s">
        <v>30</v>
      </c>
      <c r="G864">
        <v>2660</v>
      </c>
      <c r="H864">
        <v>2324</v>
      </c>
      <c r="I864">
        <v>2199</v>
      </c>
      <c r="J864">
        <v>2093</v>
      </c>
      <c r="K864">
        <v>2171</v>
      </c>
      <c r="L864">
        <v>2080</v>
      </c>
      <c r="M864">
        <v>2253</v>
      </c>
      <c r="N864">
        <v>2190</v>
      </c>
      <c r="O864">
        <v>3042</v>
      </c>
      <c r="P864">
        <v>2630</v>
      </c>
      <c r="Q864">
        <v>2255</v>
      </c>
      <c r="R864">
        <v>2377</v>
      </c>
    </row>
    <row r="865" spans="4:19" x14ac:dyDescent="0.25">
      <c r="D865" t="s">
        <v>49</v>
      </c>
      <c r="E865">
        <v>2014</v>
      </c>
      <c r="F865" t="s">
        <v>30</v>
      </c>
      <c r="G865">
        <v>2921</v>
      </c>
      <c r="H865">
        <v>2540</v>
      </c>
      <c r="I865">
        <v>2074</v>
      </c>
      <c r="J865">
        <v>2133</v>
      </c>
      <c r="K865">
        <v>1939</v>
      </c>
      <c r="L865">
        <v>2070</v>
      </c>
      <c r="M865">
        <v>2184</v>
      </c>
      <c r="N865">
        <v>1988</v>
      </c>
      <c r="O865">
        <v>2883</v>
      </c>
      <c r="P865">
        <v>2499</v>
      </c>
      <c r="Q865">
        <v>2288</v>
      </c>
      <c r="R865">
        <v>2292</v>
      </c>
    </row>
    <row r="866" spans="4:19" x14ac:dyDescent="0.25">
      <c r="D866" t="s">
        <v>49</v>
      </c>
      <c r="E866">
        <v>2015</v>
      </c>
      <c r="F866" t="s">
        <v>30</v>
      </c>
      <c r="G866">
        <v>2446</v>
      </c>
      <c r="H866">
        <v>2122</v>
      </c>
      <c r="I866">
        <v>2417</v>
      </c>
      <c r="J866">
        <v>1934</v>
      </c>
      <c r="K866">
        <v>1646</v>
      </c>
      <c r="L866">
        <v>2198</v>
      </c>
      <c r="M866">
        <v>1377</v>
      </c>
    </row>
    <row r="867" spans="4:19" x14ac:dyDescent="0.25">
      <c r="D867" t="s">
        <v>49</v>
      </c>
      <c r="E867">
        <v>2013</v>
      </c>
      <c r="F867" t="s">
        <v>31</v>
      </c>
      <c r="S867">
        <v>0.93940775785903607</v>
      </c>
    </row>
    <row r="868" spans="4:19" x14ac:dyDescent="0.25">
      <c r="D868" t="s">
        <v>49</v>
      </c>
      <c r="E868">
        <v>2014</v>
      </c>
      <c r="F868" t="s">
        <v>31</v>
      </c>
      <c r="S868">
        <v>0.95064886448714747</v>
      </c>
    </row>
    <row r="869" spans="4:19" x14ac:dyDescent="0.25">
      <c r="D869" t="s">
        <v>49</v>
      </c>
      <c r="E869">
        <v>2015</v>
      </c>
      <c r="F869" t="s">
        <v>31</v>
      </c>
      <c r="S869">
        <v>0.93382791283036359</v>
      </c>
    </row>
    <row r="870" spans="4:19" x14ac:dyDescent="0.25">
      <c r="D870" t="s">
        <v>49</v>
      </c>
      <c r="E870">
        <v>2013</v>
      </c>
      <c r="F870" t="s">
        <v>32</v>
      </c>
      <c r="G870">
        <v>0.87714193339799551</v>
      </c>
      <c r="H870">
        <v>0.86016288338242941</v>
      </c>
      <c r="I870">
        <v>1.1256302521008403</v>
      </c>
      <c r="J870">
        <v>0.92367601246105924</v>
      </c>
      <c r="K870">
        <v>0.93175271438067808</v>
      </c>
      <c r="L870">
        <v>0.922375496843582</v>
      </c>
      <c r="M870">
        <v>0.96578843885174992</v>
      </c>
      <c r="N870">
        <v>0.93604651162790697</v>
      </c>
      <c r="O870">
        <v>0.95585831062670301</v>
      </c>
      <c r="P870">
        <v>0.97652122872236358</v>
      </c>
      <c r="Q870">
        <v>0.93555225779096884</v>
      </c>
      <c r="R870">
        <v>0.96301652892561984</v>
      </c>
    </row>
    <row r="871" spans="4:19" x14ac:dyDescent="0.25">
      <c r="D871" t="s">
        <v>49</v>
      </c>
      <c r="E871">
        <v>2014</v>
      </c>
      <c r="F871" t="s">
        <v>32</v>
      </c>
      <c r="G871">
        <v>0.96120772023695777</v>
      </c>
      <c r="H871">
        <v>0.90897022567798214</v>
      </c>
      <c r="I871">
        <v>0.97407878017789074</v>
      </c>
      <c r="J871">
        <v>0.9663173652694611</v>
      </c>
      <c r="K871">
        <v>0.94191484125030767</v>
      </c>
      <c r="L871">
        <v>0.97128113080547451</v>
      </c>
      <c r="M871">
        <v>0.94141930410851193</v>
      </c>
      <c r="N871">
        <v>0.91703516529795748</v>
      </c>
      <c r="O871">
        <v>0.83034938293064486</v>
      </c>
      <c r="P871">
        <v>0.92027833001988069</v>
      </c>
      <c r="Q871">
        <v>0.94120436225699389</v>
      </c>
      <c r="R871">
        <v>0.94727395108817591</v>
      </c>
    </row>
    <row r="872" spans="4:19" x14ac:dyDescent="0.25">
      <c r="D872" t="s">
        <v>49</v>
      </c>
      <c r="E872">
        <v>2015</v>
      </c>
      <c r="F872" t="s">
        <v>32</v>
      </c>
      <c r="G872">
        <v>0.95038698154395718</v>
      </c>
      <c r="H872">
        <v>0.95369030390738063</v>
      </c>
      <c r="I872">
        <v>0.92565887618100451</v>
      </c>
      <c r="J872">
        <v>0.94247214304223892</v>
      </c>
      <c r="K872">
        <v>0.9382123575284943</v>
      </c>
      <c r="L872">
        <v>0.9294605809128631</v>
      </c>
      <c r="M872">
        <v>0.90297219558964525</v>
      </c>
    </row>
    <row r="873" spans="4:19" x14ac:dyDescent="0.25">
      <c r="D873" t="s">
        <v>49</v>
      </c>
      <c r="E873">
        <v>2013</v>
      </c>
      <c r="F873" t="s">
        <v>33</v>
      </c>
      <c r="S873">
        <v>0.93888843681341039</v>
      </c>
    </row>
    <row r="874" spans="4:19" x14ac:dyDescent="0.25">
      <c r="D874" t="s">
        <v>49</v>
      </c>
      <c r="E874">
        <v>2014</v>
      </c>
      <c r="F874" t="s">
        <v>33</v>
      </c>
      <c r="S874">
        <v>0.93519372693726932</v>
      </c>
    </row>
    <row r="875" spans="4:19" x14ac:dyDescent="0.25">
      <c r="D875" t="s">
        <v>49</v>
      </c>
      <c r="E875">
        <v>2015</v>
      </c>
      <c r="F875" t="s">
        <v>33</v>
      </c>
      <c r="S875">
        <v>0.95827067669172927</v>
      </c>
    </row>
    <row r="876" spans="4:19" x14ac:dyDescent="0.25">
      <c r="D876" t="s">
        <v>49</v>
      </c>
      <c r="E876">
        <v>2013</v>
      </c>
      <c r="F876" t="s">
        <v>34</v>
      </c>
      <c r="G876">
        <v>0.89110537432527581</v>
      </c>
      <c r="H876">
        <v>0.87309136420525657</v>
      </c>
      <c r="I876">
        <v>0.951985773562537</v>
      </c>
      <c r="J876">
        <v>0.96650717703349287</v>
      </c>
      <c r="K876">
        <v>0.97591125198098261</v>
      </c>
      <c r="L876">
        <v>0.97197164948453607</v>
      </c>
      <c r="M876">
        <v>0.97158131682611137</v>
      </c>
      <c r="N876">
        <v>0.90314465408805034</v>
      </c>
      <c r="O876">
        <v>0.93712807244501939</v>
      </c>
      <c r="P876">
        <v>0.96630160067396798</v>
      </c>
      <c r="Q876">
        <v>0.90634627233518172</v>
      </c>
      <c r="R876">
        <v>0.94721321144205251</v>
      </c>
    </row>
    <row r="877" spans="4:19" x14ac:dyDescent="0.25">
      <c r="D877" t="s">
        <v>49</v>
      </c>
      <c r="E877">
        <v>2014</v>
      </c>
      <c r="F877" t="s">
        <v>34</v>
      </c>
      <c r="G877">
        <v>0.94458094458094455</v>
      </c>
      <c r="H877">
        <v>0.87223848815544314</v>
      </c>
      <c r="I877">
        <v>0.96184062850729513</v>
      </c>
      <c r="J877">
        <v>0.95166487647690656</v>
      </c>
      <c r="K877">
        <v>0.91589451176051317</v>
      </c>
      <c r="L877">
        <v>0.95905310300703772</v>
      </c>
      <c r="M877">
        <v>0.95772187281621246</v>
      </c>
      <c r="N877">
        <v>0.9947743467933492</v>
      </c>
      <c r="O877">
        <v>0.74121282348397066</v>
      </c>
      <c r="P877">
        <v>0.94913380022115734</v>
      </c>
      <c r="Q877">
        <v>0.9856459330143541</v>
      </c>
      <c r="R877">
        <v>0.98748957464553799</v>
      </c>
    </row>
    <row r="878" spans="4:19" x14ac:dyDescent="0.25">
      <c r="D878" t="s">
        <v>49</v>
      </c>
      <c r="E878">
        <v>2015</v>
      </c>
      <c r="F878" t="s">
        <v>34</v>
      </c>
      <c r="G878">
        <v>0.98097921803451915</v>
      </c>
      <c r="H878">
        <v>0.98352941176470587</v>
      </c>
      <c r="I878">
        <v>0.9640062597809077</v>
      </c>
      <c r="J878">
        <v>0.98033818324813216</v>
      </c>
      <c r="K878">
        <v>0.96744186046511627</v>
      </c>
      <c r="L878">
        <v>0.94837412001340937</v>
      </c>
      <c r="M878">
        <v>0.89496498832944316</v>
      </c>
    </row>
    <row r="879" spans="4:19" x14ac:dyDescent="0.25">
      <c r="D879" t="s">
        <v>50</v>
      </c>
      <c r="E879">
        <v>2013</v>
      </c>
      <c r="F879" t="s">
        <v>17</v>
      </c>
      <c r="S879">
        <v>0.75512473831123517</v>
      </c>
    </row>
    <row r="880" spans="4:19" x14ac:dyDescent="0.25">
      <c r="D880" t="s">
        <v>50</v>
      </c>
      <c r="E880">
        <v>2014</v>
      </c>
      <c r="F880" t="s">
        <v>17</v>
      </c>
      <c r="S880">
        <v>0.91569852869149537</v>
      </c>
    </row>
    <row r="881" spans="4:19" x14ac:dyDescent="0.25">
      <c r="D881" t="s">
        <v>50</v>
      </c>
      <c r="E881">
        <v>2015</v>
      </c>
      <c r="F881" t="s">
        <v>17</v>
      </c>
      <c r="S881">
        <v>0.93091060792175584</v>
      </c>
    </row>
    <row r="882" spans="4:19" x14ac:dyDescent="0.25">
      <c r="D882" t="s">
        <v>50</v>
      </c>
      <c r="E882">
        <v>2013</v>
      </c>
      <c r="F882" t="s">
        <v>18</v>
      </c>
      <c r="G882">
        <v>0.69938650306748462</v>
      </c>
      <c r="H882">
        <v>0.63765941485371347</v>
      </c>
      <c r="I882">
        <v>0.72705992509363293</v>
      </c>
      <c r="J882">
        <v>0.72286950732356858</v>
      </c>
      <c r="K882">
        <v>0.78011779403890769</v>
      </c>
      <c r="L882">
        <v>0.85479041916167664</v>
      </c>
      <c r="M882">
        <v>0.88205613371176284</v>
      </c>
      <c r="N882">
        <v>0.85757271815446334</v>
      </c>
      <c r="O882">
        <v>0.85463602400090566</v>
      </c>
      <c r="P882">
        <v>0.91255961844197142</v>
      </c>
      <c r="Q882">
        <v>0.87647058823529411</v>
      </c>
      <c r="R882">
        <v>0.92549993464906544</v>
      </c>
    </row>
    <row r="883" spans="4:19" x14ac:dyDescent="0.25">
      <c r="D883" t="s">
        <v>50</v>
      </c>
      <c r="E883">
        <v>2014</v>
      </c>
      <c r="F883" t="s">
        <v>18</v>
      </c>
      <c r="G883">
        <v>0.88039304269256835</v>
      </c>
      <c r="H883">
        <v>0.88289456620412399</v>
      </c>
      <c r="I883">
        <v>0.91080617495711835</v>
      </c>
      <c r="J883">
        <v>0.92039655926519903</v>
      </c>
      <c r="K883">
        <v>0.94236716333989312</v>
      </c>
      <c r="L883">
        <v>0.94837361981498058</v>
      </c>
      <c r="M883">
        <v>0.94167737789203088</v>
      </c>
      <c r="N883">
        <v>0.96279217681666407</v>
      </c>
      <c r="O883">
        <v>0.93913043478260871</v>
      </c>
      <c r="P883">
        <v>0.92475506205094704</v>
      </c>
      <c r="Q883">
        <v>0.93085767557489119</v>
      </c>
      <c r="R883">
        <v>0.90703851261620183</v>
      </c>
    </row>
    <row r="884" spans="4:19" x14ac:dyDescent="0.25">
      <c r="D884" t="s">
        <v>50</v>
      </c>
      <c r="E884">
        <v>2015</v>
      </c>
      <c r="F884" t="s">
        <v>18</v>
      </c>
      <c r="G884">
        <v>0.90088638195004034</v>
      </c>
      <c r="H884">
        <v>0.90861186389641679</v>
      </c>
      <c r="I884">
        <v>0.9211777334764607</v>
      </c>
      <c r="J884">
        <v>0.94849937844077425</v>
      </c>
      <c r="K884">
        <v>0.93625888698210347</v>
      </c>
      <c r="L884">
        <v>0.95143962183068331</v>
      </c>
      <c r="M884">
        <v>0.96015050453223871</v>
      </c>
    </row>
    <row r="885" spans="4:19" x14ac:dyDescent="0.25">
      <c r="D885" t="s">
        <v>50</v>
      </c>
      <c r="E885">
        <v>2013</v>
      </c>
      <c r="F885" t="s">
        <v>19</v>
      </c>
      <c r="S885">
        <v>0.81776553956866183</v>
      </c>
    </row>
    <row r="886" spans="4:19" x14ac:dyDescent="0.25">
      <c r="D886" t="s">
        <v>50</v>
      </c>
      <c r="E886">
        <v>2014</v>
      </c>
      <c r="F886" t="s">
        <v>19</v>
      </c>
      <c r="S886">
        <v>0.92903544340213118</v>
      </c>
    </row>
    <row r="887" spans="4:19" x14ac:dyDescent="0.25">
      <c r="D887" t="s">
        <v>50</v>
      </c>
      <c r="E887">
        <v>2015</v>
      </c>
      <c r="F887" t="s">
        <v>19</v>
      </c>
      <c r="S887">
        <v>0.98670861861980708</v>
      </c>
    </row>
    <row r="888" spans="4:19" x14ac:dyDescent="0.25">
      <c r="D888" t="s">
        <v>50</v>
      </c>
      <c r="E888">
        <v>2013</v>
      </c>
      <c r="F888" t="s">
        <v>20</v>
      </c>
      <c r="G888">
        <v>0.67432327544387305</v>
      </c>
      <c r="H888">
        <v>0.64919079097333032</v>
      </c>
      <c r="I888">
        <v>0.72501377073260298</v>
      </c>
      <c r="J888">
        <v>0.81024981631153559</v>
      </c>
      <c r="K888">
        <v>0.97087567778174622</v>
      </c>
      <c r="L888">
        <v>0.9848802446651318</v>
      </c>
      <c r="M888">
        <v>0.97652519893899203</v>
      </c>
      <c r="N888">
        <v>0.96072380952380954</v>
      </c>
      <c r="O888">
        <v>0.94899470296747734</v>
      </c>
      <c r="P888">
        <v>0.94914007828252878</v>
      </c>
      <c r="Q888">
        <v>0.91587263297551558</v>
      </c>
      <c r="R888">
        <v>0.97998140348958052</v>
      </c>
    </row>
    <row r="889" spans="4:19" x14ac:dyDescent="0.25">
      <c r="D889" t="s">
        <v>50</v>
      </c>
      <c r="E889">
        <v>2014</v>
      </c>
      <c r="F889" t="s">
        <v>20</v>
      </c>
      <c r="G889">
        <v>0.97941190264034139</v>
      </c>
      <c r="H889">
        <v>0.97273501846066457</v>
      </c>
      <c r="I889">
        <v>0.9131897296630046</v>
      </c>
      <c r="J889">
        <v>0.88752991225737832</v>
      </c>
      <c r="K889">
        <v>0.8037010676156584</v>
      </c>
      <c r="L889">
        <v>0.95707970911164975</v>
      </c>
      <c r="M889">
        <v>0.96701093714314712</v>
      </c>
      <c r="N889">
        <v>0.88800727592046669</v>
      </c>
      <c r="O889">
        <v>0.87347376269922639</v>
      </c>
      <c r="P889">
        <v>0.93435393959564028</v>
      </c>
      <c r="Q889">
        <v>0.91262875826634215</v>
      </c>
      <c r="R889">
        <v>0.98155192088246479</v>
      </c>
    </row>
    <row r="890" spans="4:19" x14ac:dyDescent="0.25">
      <c r="D890" t="s">
        <v>50</v>
      </c>
      <c r="E890">
        <v>2015</v>
      </c>
      <c r="F890" t="s">
        <v>20</v>
      </c>
      <c r="G890">
        <v>0.9837939074265184</v>
      </c>
      <c r="H890">
        <v>0.98665424529323831</v>
      </c>
      <c r="I890">
        <v>0.98437849193223981</v>
      </c>
      <c r="J890">
        <v>0.99636691812838429</v>
      </c>
      <c r="K890">
        <v>0.99831194155825254</v>
      </c>
      <c r="L890">
        <v>0.99439640076510682</v>
      </c>
      <c r="M890">
        <v>0.96811165337985561</v>
      </c>
    </row>
    <row r="891" spans="4:19" x14ac:dyDescent="0.25">
      <c r="D891" t="s">
        <v>50</v>
      </c>
      <c r="E891">
        <v>2013</v>
      </c>
      <c r="F891" t="s">
        <v>21</v>
      </c>
      <c r="S891">
        <v>0.94303267858715756</v>
      </c>
    </row>
    <row r="892" spans="4:19" x14ac:dyDescent="0.25">
      <c r="D892" t="s">
        <v>50</v>
      </c>
      <c r="E892">
        <v>2014</v>
      </c>
      <c r="F892" t="s">
        <v>21</v>
      </c>
      <c r="S892">
        <v>0.93980014131422229</v>
      </c>
    </row>
    <row r="893" spans="4:19" x14ac:dyDescent="0.25">
      <c r="D893" t="s">
        <v>50</v>
      </c>
      <c r="E893">
        <v>2015</v>
      </c>
      <c r="F893" t="s">
        <v>21</v>
      </c>
      <c r="S893">
        <v>0.9515831766744075</v>
      </c>
    </row>
    <row r="894" spans="4:19" x14ac:dyDescent="0.25">
      <c r="D894" t="s">
        <v>50</v>
      </c>
      <c r="E894">
        <v>2013</v>
      </c>
      <c r="F894" t="s">
        <v>22</v>
      </c>
      <c r="G894">
        <v>0.8914640324214792</v>
      </c>
      <c r="H894">
        <v>0.96293058226962758</v>
      </c>
      <c r="I894">
        <v>0.90287539936102235</v>
      </c>
      <c r="J894">
        <v>0.90969847684177807</v>
      </c>
      <c r="K894">
        <v>0.97438901908269171</v>
      </c>
      <c r="L894">
        <v>0.98953211736716895</v>
      </c>
      <c r="M894">
        <v>0.98388042203985937</v>
      </c>
      <c r="N894">
        <v>0.94812164579606439</v>
      </c>
      <c r="O894">
        <v>0.89784301977231873</v>
      </c>
      <c r="P894">
        <v>0.90921035343581658</v>
      </c>
      <c r="Q894">
        <v>0.92464228934817172</v>
      </c>
      <c r="R894">
        <v>0.922875</v>
      </c>
    </row>
    <row r="895" spans="4:19" x14ac:dyDescent="0.25">
      <c r="D895" t="s">
        <v>50</v>
      </c>
      <c r="E895">
        <v>2014</v>
      </c>
      <c r="F895" t="s">
        <v>22</v>
      </c>
      <c r="G895">
        <v>0.96723889398506091</v>
      </c>
      <c r="H895">
        <v>0.92137449039021546</v>
      </c>
      <c r="I895">
        <v>0.843404513100106</v>
      </c>
      <c r="J895">
        <v>0.9306313328137179</v>
      </c>
      <c r="K895">
        <v>0.97105739187633611</v>
      </c>
      <c r="L895">
        <v>0.98411764705882354</v>
      </c>
      <c r="M895">
        <v>0.95670995670995673</v>
      </c>
      <c r="N895">
        <v>0.92774128347650331</v>
      </c>
      <c r="O895">
        <v>0.87318840579710144</v>
      </c>
      <c r="P895">
        <v>0.96594345825115058</v>
      </c>
      <c r="Q895">
        <v>0.95854687971058183</v>
      </c>
      <c r="R895">
        <v>0.98867444816826533</v>
      </c>
    </row>
    <row r="896" spans="4:19" x14ac:dyDescent="0.25">
      <c r="D896" t="s">
        <v>50</v>
      </c>
      <c r="E896">
        <v>2015</v>
      </c>
      <c r="F896" t="s">
        <v>22</v>
      </c>
      <c r="G896">
        <v>0.88544536271809005</v>
      </c>
      <c r="H896">
        <v>0.93872317451747878</v>
      </c>
      <c r="I896">
        <v>0.96654421411702962</v>
      </c>
      <c r="J896">
        <v>0.98568111455108354</v>
      </c>
      <c r="K896">
        <v>0.99326757476123373</v>
      </c>
      <c r="L896">
        <v>0.98768043802887007</v>
      </c>
      <c r="M896">
        <v>0.92002398081534775</v>
      </c>
    </row>
    <row r="897" spans="4:19" x14ac:dyDescent="0.25">
      <c r="D897" t="s">
        <v>50</v>
      </c>
      <c r="E897">
        <v>2013</v>
      </c>
      <c r="F897" t="s">
        <v>23</v>
      </c>
      <c r="S897">
        <v>91017</v>
      </c>
    </row>
    <row r="898" spans="4:19" x14ac:dyDescent="0.25">
      <c r="D898" t="s">
        <v>50</v>
      </c>
      <c r="E898">
        <v>2014</v>
      </c>
      <c r="F898" t="s">
        <v>23</v>
      </c>
      <c r="S898">
        <v>81972</v>
      </c>
    </row>
    <row r="899" spans="4:19" x14ac:dyDescent="0.25">
      <c r="D899" t="s">
        <v>50</v>
      </c>
      <c r="E899">
        <v>2015</v>
      </c>
      <c r="F899" t="s">
        <v>23</v>
      </c>
      <c r="S899">
        <v>75823</v>
      </c>
    </row>
    <row r="900" spans="4:19" x14ac:dyDescent="0.25">
      <c r="D900" t="s">
        <v>50</v>
      </c>
      <c r="E900">
        <v>2013</v>
      </c>
      <c r="F900" t="s">
        <v>24</v>
      </c>
      <c r="G900">
        <v>16708</v>
      </c>
      <c r="H900">
        <v>16973</v>
      </c>
      <c r="I900">
        <v>12739</v>
      </c>
      <c r="J900">
        <v>11522</v>
      </c>
      <c r="K900">
        <v>11980</v>
      </c>
      <c r="L900">
        <v>9934</v>
      </c>
      <c r="M900">
        <v>11161</v>
      </c>
      <c r="N900">
        <v>10580</v>
      </c>
      <c r="O900">
        <v>12878</v>
      </c>
      <c r="P900">
        <v>12573</v>
      </c>
      <c r="Q900">
        <v>12324</v>
      </c>
      <c r="R900">
        <v>12629</v>
      </c>
    </row>
    <row r="901" spans="4:19" x14ac:dyDescent="0.25">
      <c r="D901" t="s">
        <v>50</v>
      </c>
      <c r="E901">
        <v>2014</v>
      </c>
      <c r="F901" t="s">
        <v>24</v>
      </c>
      <c r="G901">
        <v>13927</v>
      </c>
      <c r="H901">
        <v>12576</v>
      </c>
      <c r="I901">
        <v>10787</v>
      </c>
      <c r="J901">
        <v>10733</v>
      </c>
      <c r="K901">
        <v>11097</v>
      </c>
      <c r="L901">
        <v>10764</v>
      </c>
      <c r="M901">
        <v>12088</v>
      </c>
      <c r="N901">
        <v>12409</v>
      </c>
      <c r="O901">
        <v>16849</v>
      </c>
      <c r="P901">
        <v>14291</v>
      </c>
      <c r="Q901">
        <v>12297</v>
      </c>
      <c r="R901">
        <v>12960</v>
      </c>
    </row>
    <row r="902" spans="4:19" x14ac:dyDescent="0.25">
      <c r="D902" t="s">
        <v>50</v>
      </c>
      <c r="E902">
        <v>2015</v>
      </c>
      <c r="F902" t="s">
        <v>24</v>
      </c>
      <c r="G902">
        <v>13118</v>
      </c>
      <c r="H902">
        <v>11536</v>
      </c>
      <c r="I902">
        <v>11229</v>
      </c>
      <c r="J902">
        <v>9914</v>
      </c>
      <c r="K902">
        <v>8020</v>
      </c>
      <c r="L902">
        <v>10490</v>
      </c>
      <c r="M902">
        <v>11516</v>
      </c>
    </row>
    <row r="903" spans="4:19" x14ac:dyDescent="0.25">
      <c r="D903" t="s">
        <v>50</v>
      </c>
      <c r="E903">
        <v>2013</v>
      </c>
      <c r="F903" t="s">
        <v>25</v>
      </c>
      <c r="S903">
        <v>225665</v>
      </c>
    </row>
    <row r="904" spans="4:19" x14ac:dyDescent="0.25">
      <c r="D904" t="s">
        <v>50</v>
      </c>
      <c r="E904">
        <v>2014</v>
      </c>
      <c r="F904" t="s">
        <v>25</v>
      </c>
      <c r="S904">
        <v>234231</v>
      </c>
    </row>
    <row r="905" spans="4:19" x14ac:dyDescent="0.25">
      <c r="D905" t="s">
        <v>50</v>
      </c>
      <c r="E905">
        <v>2015</v>
      </c>
      <c r="F905" t="s">
        <v>25</v>
      </c>
      <c r="S905">
        <v>260060</v>
      </c>
    </row>
    <row r="906" spans="4:19" x14ac:dyDescent="0.25">
      <c r="D906" t="s">
        <v>50</v>
      </c>
      <c r="E906">
        <v>2013</v>
      </c>
      <c r="F906" t="s">
        <v>26</v>
      </c>
      <c r="G906">
        <v>37574</v>
      </c>
      <c r="H906">
        <v>30707</v>
      </c>
      <c r="I906">
        <v>31450</v>
      </c>
      <c r="J906">
        <v>31484</v>
      </c>
      <c r="K906">
        <v>30687</v>
      </c>
      <c r="L906">
        <v>31161</v>
      </c>
      <c r="M906">
        <v>32602</v>
      </c>
      <c r="N906">
        <v>28794</v>
      </c>
      <c r="O906">
        <v>44136</v>
      </c>
      <c r="P906">
        <v>41035</v>
      </c>
      <c r="Q906">
        <v>38692</v>
      </c>
      <c r="R906">
        <v>44645</v>
      </c>
    </row>
    <row r="907" spans="4:19" x14ac:dyDescent="0.25">
      <c r="D907" t="s">
        <v>50</v>
      </c>
      <c r="E907">
        <v>2014</v>
      </c>
      <c r="F907" t="s">
        <v>26</v>
      </c>
      <c r="G907">
        <v>40403</v>
      </c>
      <c r="H907">
        <v>34950</v>
      </c>
      <c r="I907">
        <v>32475</v>
      </c>
      <c r="J907">
        <v>30786</v>
      </c>
      <c r="K907">
        <v>30017</v>
      </c>
      <c r="L907">
        <v>31091</v>
      </c>
      <c r="M907">
        <v>34509</v>
      </c>
      <c r="N907">
        <v>30703</v>
      </c>
      <c r="O907">
        <v>45118</v>
      </c>
      <c r="P907">
        <v>42756</v>
      </c>
      <c r="Q907">
        <v>37975</v>
      </c>
      <c r="R907">
        <v>51341</v>
      </c>
    </row>
    <row r="908" spans="4:19" x14ac:dyDescent="0.25">
      <c r="D908" t="s">
        <v>50</v>
      </c>
      <c r="E908">
        <v>2015</v>
      </c>
      <c r="F908" t="s">
        <v>26</v>
      </c>
      <c r="G908">
        <v>43429</v>
      </c>
      <c r="H908">
        <v>37201</v>
      </c>
      <c r="I908">
        <v>36825</v>
      </c>
      <c r="J908">
        <v>35670</v>
      </c>
      <c r="K908">
        <v>31141</v>
      </c>
      <c r="L908">
        <v>36104</v>
      </c>
      <c r="M908">
        <v>39690</v>
      </c>
    </row>
    <row r="909" spans="4:19" x14ac:dyDescent="0.25">
      <c r="D909" t="s">
        <v>50</v>
      </c>
      <c r="E909">
        <v>2013</v>
      </c>
      <c r="F909" t="s">
        <v>27</v>
      </c>
      <c r="S909">
        <v>365707</v>
      </c>
    </row>
    <row r="910" spans="4:19" x14ac:dyDescent="0.25">
      <c r="D910" t="s">
        <v>50</v>
      </c>
      <c r="E910">
        <v>2014</v>
      </c>
      <c r="F910" t="s">
        <v>27</v>
      </c>
      <c r="S910">
        <v>377351</v>
      </c>
    </row>
    <row r="911" spans="4:19" x14ac:dyDescent="0.25">
      <c r="D911" t="s">
        <v>50</v>
      </c>
      <c r="E911">
        <v>2015</v>
      </c>
      <c r="F911" t="s">
        <v>27</v>
      </c>
      <c r="S911">
        <v>421993</v>
      </c>
    </row>
    <row r="912" spans="4:19" x14ac:dyDescent="0.25">
      <c r="D912" t="s">
        <v>50</v>
      </c>
      <c r="E912">
        <v>2013</v>
      </c>
      <c r="F912" t="s">
        <v>28</v>
      </c>
      <c r="G912">
        <v>59954</v>
      </c>
      <c r="H912">
        <v>51024</v>
      </c>
      <c r="I912">
        <v>51755</v>
      </c>
      <c r="J912">
        <v>51684</v>
      </c>
      <c r="K912">
        <v>49535</v>
      </c>
      <c r="L912">
        <v>49283</v>
      </c>
      <c r="M912">
        <v>52472</v>
      </c>
      <c r="N912">
        <v>46962</v>
      </c>
      <c r="O912">
        <v>67493</v>
      </c>
      <c r="P912">
        <v>65748</v>
      </c>
      <c r="Q912">
        <v>59933</v>
      </c>
      <c r="R912">
        <v>67868</v>
      </c>
    </row>
    <row r="913" spans="4:19" x14ac:dyDescent="0.25">
      <c r="D913" t="s">
        <v>50</v>
      </c>
      <c r="E913">
        <v>2014</v>
      </c>
      <c r="F913" t="s">
        <v>28</v>
      </c>
      <c r="G913">
        <v>64888</v>
      </c>
      <c r="H913">
        <v>57903</v>
      </c>
      <c r="I913">
        <v>53168</v>
      </c>
      <c r="J913">
        <v>49882</v>
      </c>
      <c r="K913">
        <v>47612</v>
      </c>
      <c r="L913">
        <v>49408</v>
      </c>
      <c r="M913">
        <v>54490</v>
      </c>
      <c r="N913">
        <v>49275</v>
      </c>
      <c r="O913">
        <v>70050</v>
      </c>
      <c r="P913">
        <v>68214</v>
      </c>
      <c r="Q913">
        <v>60116</v>
      </c>
      <c r="R913">
        <v>79094</v>
      </c>
    </row>
    <row r="914" spans="4:19" x14ac:dyDescent="0.25">
      <c r="D914" t="s">
        <v>50</v>
      </c>
      <c r="E914">
        <v>2015</v>
      </c>
      <c r="F914" t="s">
        <v>28</v>
      </c>
      <c r="G914">
        <v>69954</v>
      </c>
      <c r="H914">
        <v>61627</v>
      </c>
      <c r="I914">
        <v>61207</v>
      </c>
      <c r="J914">
        <v>56951</v>
      </c>
      <c r="K914">
        <v>49933</v>
      </c>
      <c r="L914">
        <v>58106</v>
      </c>
      <c r="M914">
        <v>64215</v>
      </c>
    </row>
    <row r="915" spans="4:19" x14ac:dyDescent="0.25">
      <c r="D915" t="s">
        <v>50</v>
      </c>
      <c r="E915">
        <v>2013</v>
      </c>
      <c r="F915" t="s">
        <v>29</v>
      </c>
      <c r="S915">
        <v>45856</v>
      </c>
    </row>
    <row r="916" spans="4:19" x14ac:dyDescent="0.25">
      <c r="D916" t="s">
        <v>50</v>
      </c>
      <c r="E916">
        <v>2014</v>
      </c>
      <c r="F916" t="s">
        <v>29</v>
      </c>
      <c r="S916">
        <v>51043</v>
      </c>
    </row>
    <row r="917" spans="4:19" x14ac:dyDescent="0.25">
      <c r="D917" t="s">
        <v>50</v>
      </c>
      <c r="E917">
        <v>2015</v>
      </c>
      <c r="F917" t="s">
        <v>29</v>
      </c>
      <c r="S917">
        <v>43147</v>
      </c>
    </row>
    <row r="918" spans="4:19" x14ac:dyDescent="0.25">
      <c r="D918" t="s">
        <v>50</v>
      </c>
      <c r="E918">
        <v>2013</v>
      </c>
      <c r="F918" t="s">
        <v>30</v>
      </c>
      <c r="G918">
        <v>8150</v>
      </c>
      <c r="H918">
        <v>6665</v>
      </c>
      <c r="I918">
        <v>6408</v>
      </c>
      <c r="J918">
        <v>6008</v>
      </c>
      <c r="K918">
        <v>5603</v>
      </c>
      <c r="L918">
        <v>6680</v>
      </c>
      <c r="M918">
        <v>6342</v>
      </c>
      <c r="N918">
        <v>5982</v>
      </c>
      <c r="O918">
        <v>8833</v>
      </c>
      <c r="P918">
        <v>8806</v>
      </c>
      <c r="Q918">
        <v>7650</v>
      </c>
      <c r="R918">
        <v>7651</v>
      </c>
    </row>
    <row r="919" spans="4:19" x14ac:dyDescent="0.25">
      <c r="D919" t="s">
        <v>50</v>
      </c>
      <c r="E919">
        <v>2014</v>
      </c>
      <c r="F919" t="s">
        <v>30</v>
      </c>
      <c r="G919">
        <v>8854</v>
      </c>
      <c r="H919">
        <v>7711</v>
      </c>
      <c r="I919">
        <v>7579</v>
      </c>
      <c r="J919">
        <v>6859</v>
      </c>
      <c r="K919">
        <v>7114</v>
      </c>
      <c r="L919">
        <v>6702</v>
      </c>
      <c r="M919">
        <v>6224</v>
      </c>
      <c r="N919">
        <v>6289</v>
      </c>
      <c r="O919">
        <v>8510</v>
      </c>
      <c r="P919">
        <v>7655</v>
      </c>
      <c r="Q919">
        <v>6436</v>
      </c>
      <c r="R919">
        <v>7530</v>
      </c>
    </row>
    <row r="920" spans="4:19" x14ac:dyDescent="0.25">
      <c r="D920" t="s">
        <v>50</v>
      </c>
      <c r="E920">
        <v>2015</v>
      </c>
      <c r="F920" t="s">
        <v>30</v>
      </c>
      <c r="G920">
        <v>7446</v>
      </c>
      <c r="H920">
        <v>6642</v>
      </c>
      <c r="I920">
        <v>6521</v>
      </c>
      <c r="J920">
        <v>5631</v>
      </c>
      <c r="K920">
        <v>4079</v>
      </c>
      <c r="L920">
        <v>6981</v>
      </c>
      <c r="M920">
        <v>5847</v>
      </c>
    </row>
    <row r="921" spans="4:19" x14ac:dyDescent="0.25">
      <c r="D921" t="s">
        <v>50</v>
      </c>
      <c r="E921">
        <v>2013</v>
      </c>
      <c r="F921" t="s">
        <v>31</v>
      </c>
      <c r="S921">
        <v>0.82101145939769493</v>
      </c>
    </row>
    <row r="922" spans="4:19" x14ac:dyDescent="0.25">
      <c r="D922" t="s">
        <v>50</v>
      </c>
      <c r="E922">
        <v>2014</v>
      </c>
      <c r="F922" t="s">
        <v>31</v>
      </c>
      <c r="S922">
        <v>0.9437002879031865</v>
      </c>
    </row>
    <row r="923" spans="4:19" x14ac:dyDescent="0.25">
      <c r="D923" t="s">
        <v>50</v>
      </c>
      <c r="E923">
        <v>2015</v>
      </c>
      <c r="F923" t="s">
        <v>31</v>
      </c>
      <c r="S923">
        <v>0.90840510135447028</v>
      </c>
    </row>
    <row r="924" spans="4:19" x14ac:dyDescent="0.25">
      <c r="D924" t="s">
        <v>50</v>
      </c>
      <c r="E924">
        <v>2013</v>
      </c>
      <c r="F924" t="s">
        <v>32</v>
      </c>
      <c r="G924">
        <v>0.77220493176921234</v>
      </c>
      <c r="H924">
        <v>0.68826960466623466</v>
      </c>
      <c r="I924">
        <v>0.83326791741894968</v>
      </c>
      <c r="J924">
        <v>0.86590869640687385</v>
      </c>
      <c r="K924">
        <v>0.84081803005008349</v>
      </c>
      <c r="L924">
        <v>0.88343064223877588</v>
      </c>
      <c r="M924">
        <v>0.95878505510258938</v>
      </c>
      <c r="N924">
        <v>0.9696597353497165</v>
      </c>
      <c r="O924">
        <v>0.90774965056685819</v>
      </c>
      <c r="P924">
        <v>0.92102123598186592</v>
      </c>
      <c r="Q924">
        <v>0.89143135345666991</v>
      </c>
      <c r="R924">
        <v>0.88447224641697675</v>
      </c>
    </row>
    <row r="925" spans="4:19" x14ac:dyDescent="0.25">
      <c r="D925" t="s">
        <v>50</v>
      </c>
      <c r="E925">
        <v>2014</v>
      </c>
      <c r="F925" t="s">
        <v>32</v>
      </c>
      <c r="G925">
        <v>0.94930710131399443</v>
      </c>
      <c r="H925">
        <v>0.96843193384223913</v>
      </c>
      <c r="I925">
        <v>0.97052007045517752</v>
      </c>
      <c r="J925">
        <v>0.95965713220907478</v>
      </c>
      <c r="K925">
        <v>0.89627827340722721</v>
      </c>
      <c r="L925">
        <v>0.91044221479004084</v>
      </c>
      <c r="M925">
        <v>0.94655857048312375</v>
      </c>
      <c r="N925">
        <v>0.91385284873881856</v>
      </c>
      <c r="O925">
        <v>0.91358537598670542</v>
      </c>
      <c r="P925">
        <v>0.90217619480792111</v>
      </c>
      <c r="Q925">
        <v>0.92916971619094091</v>
      </c>
      <c r="R925">
        <v>0.94120370370370365</v>
      </c>
    </row>
    <row r="926" spans="4:19" x14ac:dyDescent="0.25">
      <c r="D926" t="s">
        <v>50</v>
      </c>
      <c r="E926">
        <v>2015</v>
      </c>
      <c r="F926" t="s">
        <v>32</v>
      </c>
      <c r="G926">
        <v>0.91957615490166189</v>
      </c>
      <c r="H926">
        <v>0.91860263522884877</v>
      </c>
      <c r="I926">
        <v>0.90355329949238583</v>
      </c>
      <c r="J926">
        <v>0.90740367157554969</v>
      </c>
      <c r="K926">
        <v>0.91683291770573561</v>
      </c>
      <c r="L926">
        <v>0.90562440419447088</v>
      </c>
      <c r="M926">
        <v>0.88772143105244872</v>
      </c>
    </row>
    <row r="927" spans="4:19" x14ac:dyDescent="0.25">
      <c r="D927" t="s">
        <v>50</v>
      </c>
      <c r="E927">
        <v>2013</v>
      </c>
      <c r="F927" t="s">
        <v>33</v>
      </c>
      <c r="S927">
        <v>0.81131456210053554</v>
      </c>
    </row>
    <row r="928" spans="4:19" x14ac:dyDescent="0.25">
      <c r="D928" t="s">
        <v>50</v>
      </c>
      <c r="E928">
        <v>2014</v>
      </c>
      <c r="F928" t="s">
        <v>33</v>
      </c>
      <c r="S928">
        <v>0.92177553804183088</v>
      </c>
    </row>
    <row r="929" spans="4:19" x14ac:dyDescent="0.25">
      <c r="D929" t="s">
        <v>50</v>
      </c>
      <c r="E929">
        <v>2015</v>
      </c>
      <c r="F929" t="s">
        <v>33</v>
      </c>
      <c r="S929">
        <v>0.92653806643077274</v>
      </c>
    </row>
    <row r="930" spans="4:19" x14ac:dyDescent="0.25">
      <c r="D930" t="s">
        <v>50</v>
      </c>
      <c r="E930">
        <v>2013</v>
      </c>
      <c r="F930" t="s">
        <v>34</v>
      </c>
      <c r="G930">
        <v>0.73913450730610719</v>
      </c>
      <c r="H930">
        <v>0.59959160943010947</v>
      </c>
      <c r="I930">
        <v>0.8448440104786854</v>
      </c>
      <c r="J930">
        <v>0.90257528273606757</v>
      </c>
      <c r="K930">
        <v>0.85384110308601446</v>
      </c>
      <c r="L930">
        <v>0.92730318257956446</v>
      </c>
      <c r="M930">
        <v>0.96361337454341112</v>
      </c>
      <c r="N930">
        <v>0.951385733757383</v>
      </c>
      <c r="O930">
        <v>0.86275415896487984</v>
      </c>
      <c r="P930">
        <v>0.90660564077189509</v>
      </c>
      <c r="Q930">
        <v>0.85958005249343827</v>
      </c>
      <c r="R930">
        <v>0.82514381591562802</v>
      </c>
    </row>
    <row r="931" spans="4:19" x14ac:dyDescent="0.25">
      <c r="D931" t="s">
        <v>50</v>
      </c>
      <c r="E931">
        <v>2014</v>
      </c>
      <c r="F931" t="s">
        <v>34</v>
      </c>
      <c r="G931">
        <v>0.92317736670293793</v>
      </c>
      <c r="H931">
        <v>0.95090886608136516</v>
      </c>
      <c r="I931">
        <v>0.95548712206047037</v>
      </c>
      <c r="J931">
        <v>0.9400940785832872</v>
      </c>
      <c r="K931">
        <v>0.84263057150669951</v>
      </c>
      <c r="L931">
        <v>0.86830601092896176</v>
      </c>
      <c r="M931">
        <v>0.97538840178434083</v>
      </c>
      <c r="N931">
        <v>0.9814385150812065</v>
      </c>
      <c r="O931">
        <v>0.90854172520370891</v>
      </c>
      <c r="P931">
        <v>0.91284403669724767</v>
      </c>
      <c r="Q931">
        <v>0.94391080617495715</v>
      </c>
      <c r="R931">
        <v>0.97237484737484736</v>
      </c>
    </row>
    <row r="932" spans="4:19" x14ac:dyDescent="0.25">
      <c r="D932" t="s">
        <v>50</v>
      </c>
      <c r="E932">
        <v>2015</v>
      </c>
      <c r="F932" t="s">
        <v>34</v>
      </c>
      <c r="G932">
        <v>0.93042646254784034</v>
      </c>
      <c r="H932">
        <v>0.93373143023594529</v>
      </c>
      <c r="I932">
        <v>0.93018637335777576</v>
      </c>
      <c r="J932">
        <v>0.94241204270960965</v>
      </c>
      <c r="K932">
        <v>0.94203520824388154</v>
      </c>
      <c r="L932">
        <v>0.92410206403380468</v>
      </c>
      <c r="M932">
        <v>0.88844803906607661</v>
      </c>
    </row>
    <row r="933" spans="4:19" x14ac:dyDescent="0.25">
      <c r="D933" t="s">
        <v>51</v>
      </c>
      <c r="E933">
        <v>2013</v>
      </c>
      <c r="F933" t="s">
        <v>17</v>
      </c>
      <c r="S933">
        <v>0.7193682850936417</v>
      </c>
    </row>
    <row r="934" spans="4:19" x14ac:dyDescent="0.25">
      <c r="D934" t="s">
        <v>51</v>
      </c>
      <c r="E934">
        <v>2014</v>
      </c>
      <c r="F934" t="s">
        <v>17</v>
      </c>
      <c r="S934">
        <v>0.82802275090208555</v>
      </c>
    </row>
    <row r="935" spans="4:19" x14ac:dyDescent="0.25">
      <c r="D935" t="s">
        <v>51</v>
      </c>
      <c r="E935">
        <v>2015</v>
      </c>
      <c r="F935" t="s">
        <v>17</v>
      </c>
      <c r="S935">
        <v>0.91408591408591411</v>
      </c>
    </row>
    <row r="936" spans="4:19" x14ac:dyDescent="0.25">
      <c r="D936" t="s">
        <v>51</v>
      </c>
      <c r="E936">
        <v>2013</v>
      </c>
      <c r="F936" t="s">
        <v>18</v>
      </c>
      <c r="G936">
        <v>0.60324299807234383</v>
      </c>
      <c r="H936">
        <v>0.57737169517884912</v>
      </c>
      <c r="I936">
        <v>0.70925765274507369</v>
      </c>
      <c r="J936">
        <v>0.77549760839376636</v>
      </c>
      <c r="K936">
        <v>0.69922688076122508</v>
      </c>
      <c r="L936">
        <v>0.8383206106870229</v>
      </c>
      <c r="M936">
        <v>0.89655684179281681</v>
      </c>
      <c r="N936">
        <v>0.85881994206433909</v>
      </c>
      <c r="O936">
        <v>0.78205675272029018</v>
      </c>
      <c r="P936">
        <v>0.82789076118535732</v>
      </c>
      <c r="Q936">
        <v>0.73201917954182205</v>
      </c>
      <c r="R936">
        <v>0.72910784867306611</v>
      </c>
    </row>
    <row r="937" spans="4:19" x14ac:dyDescent="0.25">
      <c r="D937" t="s">
        <v>51</v>
      </c>
      <c r="E937">
        <v>2014</v>
      </c>
      <c r="F937" t="s">
        <v>18</v>
      </c>
      <c r="G937">
        <v>0.68791832104367556</v>
      </c>
      <c r="H937">
        <v>0.74783576552065301</v>
      </c>
      <c r="I937">
        <v>0.80534301646997797</v>
      </c>
      <c r="J937">
        <v>0.88335455124124762</v>
      </c>
      <c r="K937">
        <v>0.88659951159951156</v>
      </c>
      <c r="L937">
        <v>0.94392067620286091</v>
      </c>
      <c r="M937">
        <v>0.94058316523014851</v>
      </c>
      <c r="N937">
        <v>0.92760554089709768</v>
      </c>
      <c r="O937">
        <v>0.91068505962122981</v>
      </c>
      <c r="P937">
        <v>0.89851150202976993</v>
      </c>
      <c r="Q937">
        <v>0.90675585284280935</v>
      </c>
      <c r="R937">
        <v>0.90125744540039709</v>
      </c>
    </row>
    <row r="938" spans="4:19" x14ac:dyDescent="0.25">
      <c r="D938" t="s">
        <v>51</v>
      </c>
      <c r="E938">
        <v>2015</v>
      </c>
      <c r="F938" t="s">
        <v>18</v>
      </c>
      <c r="G938">
        <v>0.87430906032203792</v>
      </c>
      <c r="H938">
        <v>0.8771790808240888</v>
      </c>
      <c r="I938">
        <v>0.90295358649789026</v>
      </c>
      <c r="J938">
        <v>0.92115580078408599</v>
      </c>
      <c r="K938">
        <v>0.90476190476190477</v>
      </c>
      <c r="L938">
        <v>0.94533859702399026</v>
      </c>
      <c r="M938">
        <v>0.99196090794451452</v>
      </c>
    </row>
    <row r="939" spans="4:19" x14ac:dyDescent="0.25">
      <c r="D939" t="s">
        <v>51</v>
      </c>
      <c r="E939">
        <v>2013</v>
      </c>
      <c r="F939" t="s">
        <v>19</v>
      </c>
      <c r="S939">
        <v>0.72130144354334813</v>
      </c>
    </row>
    <row r="940" spans="4:19" x14ac:dyDescent="0.25">
      <c r="D940" t="s">
        <v>51</v>
      </c>
      <c r="E940">
        <v>2014</v>
      </c>
      <c r="F940" t="s">
        <v>19</v>
      </c>
      <c r="S940">
        <v>0.99495219885277242</v>
      </c>
    </row>
    <row r="941" spans="4:19" x14ac:dyDescent="0.25">
      <c r="D941" t="s">
        <v>51</v>
      </c>
      <c r="E941">
        <v>2015</v>
      </c>
      <c r="F941" t="s">
        <v>19</v>
      </c>
      <c r="S941">
        <v>0.99270342457596839</v>
      </c>
    </row>
    <row r="942" spans="4:19" x14ac:dyDescent="0.25">
      <c r="D942" t="s">
        <v>51</v>
      </c>
      <c r="E942">
        <v>2013</v>
      </c>
      <c r="F942" t="s">
        <v>20</v>
      </c>
      <c r="G942">
        <v>0.54032951455859457</v>
      </c>
      <c r="H942">
        <v>0.5742817409829275</v>
      </c>
      <c r="I942">
        <v>0.53847479648927421</v>
      </c>
      <c r="J942">
        <v>0.85160258793782995</v>
      </c>
      <c r="K942">
        <v>0.7354922279792746</v>
      </c>
      <c r="L942">
        <v>0.98711081669347966</v>
      </c>
      <c r="M942">
        <v>0.99023291925465839</v>
      </c>
      <c r="N942">
        <v>0.99129353233830841</v>
      </c>
      <c r="O942">
        <v>0.99587529976019185</v>
      </c>
      <c r="P942">
        <v>0.99138565834843084</v>
      </c>
      <c r="Q942">
        <v>0.99186228901610118</v>
      </c>
      <c r="R942">
        <v>0.99257091400270148</v>
      </c>
    </row>
    <row r="943" spans="4:19" x14ac:dyDescent="0.25">
      <c r="D943" t="s">
        <v>51</v>
      </c>
      <c r="E943">
        <v>2014</v>
      </c>
      <c r="F943" t="s">
        <v>20</v>
      </c>
      <c r="G943">
        <v>0.9895258154494222</v>
      </c>
      <c r="H943">
        <v>0.99558493262556147</v>
      </c>
      <c r="I943">
        <v>0.99521880976487798</v>
      </c>
      <c r="J943">
        <v>0.99627954479136271</v>
      </c>
      <c r="K943">
        <v>0.99628265017435358</v>
      </c>
      <c r="L943">
        <v>0.99665871121718375</v>
      </c>
      <c r="M943">
        <v>0.99686706558375027</v>
      </c>
      <c r="N943">
        <v>0.99627512573596311</v>
      </c>
      <c r="O943">
        <v>0.99778651561812581</v>
      </c>
      <c r="P943">
        <v>0.9912414360098657</v>
      </c>
      <c r="Q943">
        <v>0.99572980397053312</v>
      </c>
      <c r="R943">
        <v>0.9926707782817733</v>
      </c>
    </row>
    <row r="944" spans="4:19" x14ac:dyDescent="0.25">
      <c r="D944" t="s">
        <v>51</v>
      </c>
      <c r="E944">
        <v>2015</v>
      </c>
      <c r="F944" t="s">
        <v>20</v>
      </c>
      <c r="G944">
        <v>0.9848435858055129</v>
      </c>
      <c r="H944">
        <v>0.9942309227103262</v>
      </c>
      <c r="I944">
        <v>0.99761624941792137</v>
      </c>
      <c r="J944">
        <v>0.99551847116613956</v>
      </c>
      <c r="K944">
        <v>0.99400103107278437</v>
      </c>
      <c r="L944">
        <v>0.9918333573175997</v>
      </c>
      <c r="M944">
        <v>0.9924917353056536</v>
      </c>
    </row>
    <row r="945" spans="4:19" x14ac:dyDescent="0.25">
      <c r="D945" t="s">
        <v>51</v>
      </c>
      <c r="E945">
        <v>2013</v>
      </c>
      <c r="F945" t="s">
        <v>21</v>
      </c>
      <c r="S945">
        <v>0.93162473992812556</v>
      </c>
    </row>
    <row r="946" spans="4:19" x14ac:dyDescent="0.25">
      <c r="D946" t="s">
        <v>51</v>
      </c>
      <c r="E946">
        <v>2014</v>
      </c>
      <c r="F946" t="s">
        <v>21</v>
      </c>
      <c r="S946">
        <v>0.98281855946987284</v>
      </c>
    </row>
    <row r="947" spans="4:19" x14ac:dyDescent="0.25">
      <c r="D947" t="s">
        <v>51</v>
      </c>
      <c r="E947">
        <v>2015</v>
      </c>
      <c r="F947" t="s">
        <v>21</v>
      </c>
      <c r="S947">
        <v>0.99715870033454013</v>
      </c>
    </row>
    <row r="948" spans="4:19" x14ac:dyDescent="0.25">
      <c r="D948" t="s">
        <v>51</v>
      </c>
      <c r="E948">
        <v>2013</v>
      </c>
      <c r="F948" t="s">
        <v>22</v>
      </c>
      <c r="G948">
        <v>0.75978765759787659</v>
      </c>
      <c r="H948">
        <v>0.97406842449335362</v>
      </c>
      <c r="I948">
        <v>0.97792043575527676</v>
      </c>
      <c r="J948">
        <v>0.9810120481927711</v>
      </c>
      <c r="K948">
        <v>0.87836868531611845</v>
      </c>
      <c r="L948">
        <v>0.98185066766973861</v>
      </c>
      <c r="M948">
        <v>0.98951853429910519</v>
      </c>
      <c r="N948">
        <v>0.99641452694887811</v>
      </c>
      <c r="O948">
        <v>0.99194160030337508</v>
      </c>
      <c r="P948">
        <v>0.96026372059871701</v>
      </c>
      <c r="Q948">
        <v>0.96973365617433416</v>
      </c>
      <c r="R948">
        <v>0.98052640939000535</v>
      </c>
    </row>
    <row r="949" spans="4:19" x14ac:dyDescent="0.25">
      <c r="D949" t="s">
        <v>51</v>
      </c>
      <c r="E949">
        <v>2014</v>
      </c>
      <c r="F949" t="s">
        <v>22</v>
      </c>
      <c r="G949">
        <v>0.90804856115107913</v>
      </c>
      <c r="H949">
        <v>0.99790874524714834</v>
      </c>
      <c r="I949">
        <v>0.99542999584545078</v>
      </c>
      <c r="J949">
        <v>0.99819277108433735</v>
      </c>
      <c r="K949">
        <v>0.99816295655932574</v>
      </c>
      <c r="L949">
        <v>0.99938003719776813</v>
      </c>
      <c r="M949">
        <v>0.99827808867843304</v>
      </c>
      <c r="N949">
        <v>0.99919719016557951</v>
      </c>
      <c r="O949">
        <v>0.99437813527071439</v>
      </c>
      <c r="P949">
        <v>0.99547668754349339</v>
      </c>
      <c r="Q949">
        <v>0.99584552922292513</v>
      </c>
      <c r="R949">
        <v>0.99508686983765304</v>
      </c>
    </row>
    <row r="950" spans="4:19" x14ac:dyDescent="0.25">
      <c r="D950" t="s">
        <v>51</v>
      </c>
      <c r="E950">
        <v>2015</v>
      </c>
      <c r="F950" t="s">
        <v>22</v>
      </c>
      <c r="G950">
        <v>0.99624722371141916</v>
      </c>
      <c r="H950">
        <v>0.99844747283077451</v>
      </c>
      <c r="I950">
        <v>0.99849127092463541</v>
      </c>
      <c r="J950">
        <v>0.99821567106283937</v>
      </c>
      <c r="K950">
        <v>0.99660144181256438</v>
      </c>
      <c r="L950">
        <v>0.99526707234617984</v>
      </c>
      <c r="M950">
        <v>0.99679762555651019</v>
      </c>
    </row>
    <row r="951" spans="4:19" x14ac:dyDescent="0.25">
      <c r="D951" t="s">
        <v>51</v>
      </c>
      <c r="E951">
        <v>2013</v>
      </c>
      <c r="F951" t="s">
        <v>23</v>
      </c>
      <c r="S951">
        <v>170214</v>
      </c>
    </row>
    <row r="952" spans="4:19" x14ac:dyDescent="0.25">
      <c r="D952" t="s">
        <v>51</v>
      </c>
      <c r="E952">
        <v>2014</v>
      </c>
      <c r="F952" t="s">
        <v>23</v>
      </c>
      <c r="S952">
        <v>150938</v>
      </c>
    </row>
    <row r="953" spans="4:19" x14ac:dyDescent="0.25">
      <c r="D953" t="s">
        <v>51</v>
      </c>
      <c r="E953">
        <v>2015</v>
      </c>
      <c r="F953" t="s">
        <v>23</v>
      </c>
      <c r="S953">
        <v>147067</v>
      </c>
    </row>
    <row r="954" spans="4:19" x14ac:dyDescent="0.25">
      <c r="D954" t="s">
        <v>51</v>
      </c>
      <c r="E954">
        <v>2013</v>
      </c>
      <c r="F954" t="s">
        <v>24</v>
      </c>
      <c r="G954">
        <v>32216</v>
      </c>
      <c r="H954">
        <v>33676</v>
      </c>
      <c r="I954">
        <v>24218</v>
      </c>
      <c r="J954">
        <v>20983</v>
      </c>
      <c r="K954">
        <v>21051</v>
      </c>
      <c r="L954">
        <v>18701</v>
      </c>
      <c r="M954">
        <v>19369</v>
      </c>
      <c r="N954">
        <v>18726</v>
      </c>
      <c r="O954">
        <v>23922</v>
      </c>
      <c r="P954">
        <v>23481</v>
      </c>
      <c r="Q954">
        <v>20780</v>
      </c>
      <c r="R954">
        <v>22508</v>
      </c>
    </row>
    <row r="955" spans="4:19" x14ac:dyDescent="0.25">
      <c r="D955" t="s">
        <v>51</v>
      </c>
      <c r="E955">
        <v>2014</v>
      </c>
      <c r="F955" t="s">
        <v>24</v>
      </c>
      <c r="G955">
        <v>25123</v>
      </c>
      <c r="H955">
        <v>24652</v>
      </c>
      <c r="I955">
        <v>21095</v>
      </c>
      <c r="J955">
        <v>19441</v>
      </c>
      <c r="K955">
        <v>19723</v>
      </c>
      <c r="L955">
        <v>19326</v>
      </c>
      <c r="M955">
        <v>21578</v>
      </c>
      <c r="N955">
        <v>22254</v>
      </c>
      <c r="O955">
        <v>31759</v>
      </c>
      <c r="P955">
        <v>26912</v>
      </c>
      <c r="Q955">
        <v>22382</v>
      </c>
      <c r="R955">
        <v>22906</v>
      </c>
    </row>
    <row r="956" spans="4:19" x14ac:dyDescent="0.25">
      <c r="D956" t="s">
        <v>51</v>
      </c>
      <c r="E956">
        <v>2015</v>
      </c>
      <c r="F956" t="s">
        <v>24</v>
      </c>
      <c r="G956">
        <v>25486</v>
      </c>
      <c r="H956">
        <v>23060</v>
      </c>
      <c r="I956">
        <v>21930</v>
      </c>
      <c r="J956">
        <v>18873</v>
      </c>
      <c r="K956">
        <v>16073</v>
      </c>
      <c r="L956">
        <v>20351</v>
      </c>
      <c r="M956">
        <v>21294</v>
      </c>
    </row>
    <row r="957" spans="4:19" x14ac:dyDescent="0.25">
      <c r="D957" t="s">
        <v>51</v>
      </c>
      <c r="E957">
        <v>2013</v>
      </c>
      <c r="F957" t="s">
        <v>25</v>
      </c>
      <c r="S957">
        <v>388883</v>
      </c>
    </row>
    <row r="958" spans="4:19" x14ac:dyDescent="0.25">
      <c r="D958" t="s">
        <v>51</v>
      </c>
      <c r="E958">
        <v>2014</v>
      </c>
      <c r="F958" t="s">
        <v>25</v>
      </c>
      <c r="S958">
        <v>387621</v>
      </c>
    </row>
    <row r="959" spans="4:19" x14ac:dyDescent="0.25">
      <c r="D959" t="s">
        <v>51</v>
      </c>
      <c r="E959">
        <v>2015</v>
      </c>
      <c r="F959" t="s">
        <v>25</v>
      </c>
      <c r="S959">
        <v>425267</v>
      </c>
    </row>
    <row r="960" spans="4:19" x14ac:dyDescent="0.25">
      <c r="D960" t="s">
        <v>51</v>
      </c>
      <c r="E960">
        <v>2013</v>
      </c>
      <c r="F960" t="s">
        <v>26</v>
      </c>
      <c r="G960">
        <v>68814</v>
      </c>
      <c r="H960">
        <v>58513</v>
      </c>
      <c r="I960">
        <v>55408</v>
      </c>
      <c r="J960">
        <v>51528</v>
      </c>
      <c r="K960">
        <v>48558</v>
      </c>
      <c r="L960">
        <v>50151</v>
      </c>
      <c r="M960">
        <v>55911</v>
      </c>
      <c r="N960">
        <v>49134</v>
      </c>
      <c r="O960">
        <v>72359</v>
      </c>
      <c r="P960">
        <v>69528</v>
      </c>
      <c r="Q960">
        <v>65225</v>
      </c>
      <c r="R960">
        <v>77857</v>
      </c>
    </row>
    <row r="961" spans="4:19" x14ac:dyDescent="0.25">
      <c r="D961" t="s">
        <v>51</v>
      </c>
      <c r="E961">
        <v>2014</v>
      </c>
      <c r="F961" t="s">
        <v>26</v>
      </c>
      <c r="G961">
        <v>66126</v>
      </c>
      <c r="H961">
        <v>60138</v>
      </c>
      <c r="I961">
        <v>55801</v>
      </c>
      <c r="J961">
        <v>54095</v>
      </c>
      <c r="K961">
        <v>48532</v>
      </c>
      <c r="L961">
        <v>49000</v>
      </c>
      <c r="M961">
        <v>53929</v>
      </c>
      <c r="N961">
        <v>50458</v>
      </c>
      <c r="O961">
        <v>74194</v>
      </c>
      <c r="P961">
        <v>75352</v>
      </c>
      <c r="Q961">
        <v>76918</v>
      </c>
      <c r="R961">
        <v>72347</v>
      </c>
    </row>
    <row r="962" spans="4:19" x14ac:dyDescent="0.25">
      <c r="D962" t="s">
        <v>51</v>
      </c>
      <c r="E962">
        <v>2015</v>
      </c>
      <c r="F962" t="s">
        <v>26</v>
      </c>
      <c r="G962">
        <v>67539</v>
      </c>
      <c r="H962">
        <v>60174</v>
      </c>
      <c r="I962">
        <v>62863</v>
      </c>
      <c r="J962">
        <v>57871</v>
      </c>
      <c r="K962">
        <v>48647</v>
      </c>
      <c r="L962">
        <v>61567</v>
      </c>
      <c r="M962">
        <v>66606</v>
      </c>
    </row>
    <row r="963" spans="4:19" x14ac:dyDescent="0.25">
      <c r="D963" t="s">
        <v>51</v>
      </c>
      <c r="E963">
        <v>2013</v>
      </c>
      <c r="F963" t="s">
        <v>27</v>
      </c>
      <c r="S963">
        <v>674653</v>
      </c>
    </row>
    <row r="964" spans="4:19" x14ac:dyDescent="0.25">
      <c r="D964" t="s">
        <v>51</v>
      </c>
      <c r="E964">
        <v>2014</v>
      </c>
      <c r="F964" t="s">
        <v>27</v>
      </c>
      <c r="S964">
        <v>658981</v>
      </c>
    </row>
    <row r="965" spans="4:19" x14ac:dyDescent="0.25">
      <c r="D965" t="s">
        <v>51</v>
      </c>
      <c r="E965">
        <v>2015</v>
      </c>
      <c r="F965" t="s">
        <v>27</v>
      </c>
      <c r="S965">
        <v>727261</v>
      </c>
    </row>
    <row r="966" spans="4:19" x14ac:dyDescent="0.25">
      <c r="D966" t="s">
        <v>51</v>
      </c>
      <c r="E966">
        <v>2013</v>
      </c>
      <c r="F966" t="s">
        <v>28</v>
      </c>
      <c r="G966">
        <v>112967</v>
      </c>
      <c r="H966">
        <v>104668</v>
      </c>
      <c r="I966">
        <v>95350</v>
      </c>
      <c r="J966">
        <v>92783</v>
      </c>
      <c r="K966">
        <v>85076</v>
      </c>
      <c r="L966">
        <v>86971</v>
      </c>
      <c r="M966">
        <v>96838</v>
      </c>
      <c r="N966">
        <v>85522</v>
      </c>
      <c r="O966">
        <v>120132</v>
      </c>
      <c r="P966">
        <v>120665</v>
      </c>
      <c r="Q966">
        <v>109980</v>
      </c>
      <c r="R966">
        <v>124026</v>
      </c>
    </row>
    <row r="967" spans="4:19" x14ac:dyDescent="0.25">
      <c r="D967" t="s">
        <v>51</v>
      </c>
      <c r="E967">
        <v>2014</v>
      </c>
      <c r="F967" t="s">
        <v>28</v>
      </c>
      <c r="G967">
        <v>111614</v>
      </c>
      <c r="H967">
        <v>104526</v>
      </c>
      <c r="I967">
        <v>96655</v>
      </c>
      <c r="J967">
        <v>92127</v>
      </c>
      <c r="K967">
        <v>81487</v>
      </c>
      <c r="L967">
        <v>82717</v>
      </c>
      <c r="M967">
        <v>89855</v>
      </c>
      <c r="N967">
        <v>84104</v>
      </c>
      <c r="O967">
        <v>121772</v>
      </c>
      <c r="P967">
        <v>129494</v>
      </c>
      <c r="Q967">
        <v>120972</v>
      </c>
      <c r="R967">
        <v>124087</v>
      </c>
    </row>
    <row r="968" spans="4:19" x14ac:dyDescent="0.25">
      <c r="D968" t="s">
        <v>51</v>
      </c>
      <c r="E968">
        <v>2015</v>
      </c>
      <c r="F968" t="s">
        <v>28</v>
      </c>
      <c r="G968">
        <v>113338</v>
      </c>
      <c r="H968">
        <v>105418</v>
      </c>
      <c r="I968">
        <v>109680</v>
      </c>
      <c r="J968">
        <v>98243</v>
      </c>
      <c r="K968">
        <v>81721</v>
      </c>
      <c r="L968">
        <v>106604</v>
      </c>
      <c r="M968">
        <v>112257</v>
      </c>
    </row>
    <row r="969" spans="4:19" x14ac:dyDescent="0.25">
      <c r="D969" t="s">
        <v>51</v>
      </c>
      <c r="E969">
        <v>2013</v>
      </c>
      <c r="F969" t="s">
        <v>29</v>
      </c>
      <c r="S969">
        <v>51099</v>
      </c>
    </row>
    <row r="970" spans="4:19" x14ac:dyDescent="0.25">
      <c r="D970" t="s">
        <v>51</v>
      </c>
      <c r="E970">
        <v>2014</v>
      </c>
      <c r="F970" t="s">
        <v>29</v>
      </c>
      <c r="S970">
        <v>49053</v>
      </c>
    </row>
    <row r="971" spans="4:19" x14ac:dyDescent="0.25">
      <c r="D971" t="s">
        <v>51</v>
      </c>
      <c r="E971">
        <v>2015</v>
      </c>
      <c r="F971" t="s">
        <v>29</v>
      </c>
      <c r="S971">
        <v>49049</v>
      </c>
    </row>
    <row r="972" spans="4:19" x14ac:dyDescent="0.25">
      <c r="D972" t="s">
        <v>51</v>
      </c>
      <c r="E972">
        <v>2013</v>
      </c>
      <c r="F972" t="s">
        <v>30</v>
      </c>
      <c r="G972">
        <v>8819</v>
      </c>
      <c r="H972">
        <v>7716</v>
      </c>
      <c r="I972">
        <v>8069</v>
      </c>
      <c r="J972">
        <v>6481</v>
      </c>
      <c r="K972">
        <v>6726</v>
      </c>
      <c r="L972">
        <v>6550</v>
      </c>
      <c r="M972">
        <v>6738</v>
      </c>
      <c r="N972">
        <v>6559</v>
      </c>
      <c r="O972">
        <v>9374</v>
      </c>
      <c r="P972">
        <v>8605</v>
      </c>
      <c r="Q972">
        <v>7508</v>
      </c>
      <c r="R972">
        <v>7084</v>
      </c>
    </row>
    <row r="973" spans="4:19" x14ac:dyDescent="0.25">
      <c r="D973" t="s">
        <v>51</v>
      </c>
      <c r="E973">
        <v>2014</v>
      </c>
      <c r="F973" t="s">
        <v>30</v>
      </c>
      <c r="G973">
        <v>8815</v>
      </c>
      <c r="H973">
        <v>8086</v>
      </c>
      <c r="I973">
        <v>7711</v>
      </c>
      <c r="J973">
        <v>6284</v>
      </c>
      <c r="K973">
        <v>6552</v>
      </c>
      <c r="L973">
        <v>6152</v>
      </c>
      <c r="M973">
        <v>5453</v>
      </c>
      <c r="N973">
        <v>6064</v>
      </c>
      <c r="O973">
        <v>8554</v>
      </c>
      <c r="P973">
        <v>8129</v>
      </c>
      <c r="Q973">
        <v>7475</v>
      </c>
      <c r="R973">
        <v>7555</v>
      </c>
    </row>
    <row r="974" spans="4:19" x14ac:dyDescent="0.25">
      <c r="D974" t="s">
        <v>51</v>
      </c>
      <c r="E974">
        <v>2015</v>
      </c>
      <c r="F974" t="s">
        <v>30</v>
      </c>
      <c r="G974">
        <v>8322</v>
      </c>
      <c r="H974">
        <v>7572</v>
      </c>
      <c r="I974">
        <v>7584</v>
      </c>
      <c r="J974">
        <v>6887</v>
      </c>
      <c r="K974">
        <v>5754</v>
      </c>
      <c r="L974">
        <v>6586</v>
      </c>
      <c r="M974">
        <v>6344</v>
      </c>
    </row>
    <row r="975" spans="4:19" x14ac:dyDescent="0.25">
      <c r="D975" t="s">
        <v>51</v>
      </c>
      <c r="E975">
        <v>2013</v>
      </c>
      <c r="F975" t="s">
        <v>31</v>
      </c>
      <c r="S975">
        <v>0.81503871596930921</v>
      </c>
    </row>
    <row r="976" spans="4:19" x14ac:dyDescent="0.25">
      <c r="D976" t="s">
        <v>51</v>
      </c>
      <c r="E976">
        <v>2014</v>
      </c>
      <c r="F976" t="s">
        <v>31</v>
      </c>
      <c r="S976">
        <v>0.94648796194463947</v>
      </c>
    </row>
    <row r="977" spans="4:19" x14ac:dyDescent="0.25">
      <c r="D977" t="s">
        <v>51</v>
      </c>
      <c r="E977">
        <v>2015</v>
      </c>
      <c r="F977" t="s">
        <v>31</v>
      </c>
      <c r="S977">
        <v>0.91669783160056306</v>
      </c>
    </row>
    <row r="978" spans="4:19" x14ac:dyDescent="0.25">
      <c r="D978" t="s">
        <v>51</v>
      </c>
      <c r="E978">
        <v>2013</v>
      </c>
      <c r="F978" t="s">
        <v>32</v>
      </c>
      <c r="G978">
        <v>0.77296995281847525</v>
      </c>
      <c r="H978">
        <v>0.68891792374391259</v>
      </c>
      <c r="I978">
        <v>0.8336774300107358</v>
      </c>
      <c r="J978">
        <v>0.85921936805985799</v>
      </c>
      <c r="K978">
        <v>0.83478219562016054</v>
      </c>
      <c r="L978">
        <v>0.87380353991765147</v>
      </c>
      <c r="M978">
        <v>0.95492797769631887</v>
      </c>
      <c r="N978">
        <v>0.96731816725408526</v>
      </c>
      <c r="O978">
        <v>0.91376139118802779</v>
      </c>
      <c r="P978">
        <v>0.90477407265448662</v>
      </c>
      <c r="Q978">
        <v>0.89817131857555343</v>
      </c>
      <c r="R978">
        <v>0.88062022392038386</v>
      </c>
    </row>
    <row r="979" spans="4:19" x14ac:dyDescent="0.25">
      <c r="D979" t="s">
        <v>51</v>
      </c>
      <c r="E979">
        <v>2014</v>
      </c>
      <c r="F979" t="s">
        <v>32</v>
      </c>
      <c r="G979">
        <v>0.94717987501492651</v>
      </c>
      <c r="H979">
        <v>0.96503326302125592</v>
      </c>
      <c r="I979">
        <v>0.96416212372600141</v>
      </c>
      <c r="J979">
        <v>0.95931279255182345</v>
      </c>
      <c r="K979">
        <v>0.90670790447700655</v>
      </c>
      <c r="L979">
        <v>0.9343371623719342</v>
      </c>
      <c r="M979">
        <v>0.94290481045509311</v>
      </c>
      <c r="N979">
        <v>0.91969982924418081</v>
      </c>
      <c r="O979">
        <v>0.91825939103876064</v>
      </c>
      <c r="P979">
        <v>0.90732758620689657</v>
      </c>
      <c r="Q979">
        <v>0.93450093825395408</v>
      </c>
      <c r="R979">
        <v>0.94123810355365412</v>
      </c>
    </row>
    <row r="980" spans="4:19" x14ac:dyDescent="0.25">
      <c r="D980" t="s">
        <v>51</v>
      </c>
      <c r="E980">
        <v>2015</v>
      </c>
      <c r="F980" t="s">
        <v>32</v>
      </c>
      <c r="G980">
        <v>0.92643019697088602</v>
      </c>
      <c r="H980">
        <v>0.92619254119687766</v>
      </c>
      <c r="I980">
        <v>0.90816233470132235</v>
      </c>
      <c r="J980">
        <v>0.92152810893869552</v>
      </c>
      <c r="K980">
        <v>0.92776706277608412</v>
      </c>
      <c r="L980">
        <v>0.91341948798584838</v>
      </c>
      <c r="M980">
        <v>0.89405466328543248</v>
      </c>
    </row>
    <row r="981" spans="4:19" x14ac:dyDescent="0.25">
      <c r="D981" t="s">
        <v>51</v>
      </c>
      <c r="E981">
        <v>2013</v>
      </c>
      <c r="F981" t="s">
        <v>33</v>
      </c>
      <c r="S981">
        <v>0.80478522915566564</v>
      </c>
    </row>
    <row r="982" spans="4:19" x14ac:dyDescent="0.25">
      <c r="D982" t="s">
        <v>51</v>
      </c>
      <c r="E982">
        <v>2014</v>
      </c>
      <c r="F982" t="s">
        <v>33</v>
      </c>
      <c r="S982">
        <v>0.92428190204030169</v>
      </c>
    </row>
    <row r="983" spans="4:19" x14ac:dyDescent="0.25">
      <c r="D983" t="s">
        <v>51</v>
      </c>
      <c r="E983">
        <v>2015</v>
      </c>
      <c r="F983" t="s">
        <v>33</v>
      </c>
      <c r="S983">
        <v>0.92988947506624331</v>
      </c>
    </row>
    <row r="984" spans="4:19" x14ac:dyDescent="0.25">
      <c r="D984" t="s">
        <v>51</v>
      </c>
      <c r="E984">
        <v>2013</v>
      </c>
      <c r="F984" t="s">
        <v>34</v>
      </c>
      <c r="G984">
        <v>0.73304418283208617</v>
      </c>
      <c r="H984">
        <v>0.600432561778105</v>
      </c>
      <c r="I984">
        <v>0.84402305261200972</v>
      </c>
      <c r="J984">
        <v>0.89494307260091677</v>
      </c>
      <c r="K984">
        <v>0.85498663970535138</v>
      </c>
      <c r="L984">
        <v>0.93106839517210549</v>
      </c>
      <c r="M984">
        <v>0.96452417343737429</v>
      </c>
      <c r="N984">
        <v>0.94817512067067489</v>
      </c>
      <c r="O984">
        <v>0.8882364454883539</v>
      </c>
      <c r="P984">
        <v>0.87497528504580502</v>
      </c>
      <c r="Q984">
        <v>0.87085843373493976</v>
      </c>
      <c r="R984">
        <v>0.81815105576610725</v>
      </c>
    </row>
    <row r="985" spans="4:19" x14ac:dyDescent="0.25">
      <c r="D985" t="s">
        <v>51</v>
      </c>
      <c r="E985">
        <v>2014</v>
      </c>
      <c r="F985" t="s">
        <v>34</v>
      </c>
      <c r="G985">
        <v>0.91948792622254583</v>
      </c>
      <c r="H985">
        <v>0.94520373784247669</v>
      </c>
      <c r="I985">
        <v>0.94534808067664278</v>
      </c>
      <c r="J985">
        <v>0.9402883671774741</v>
      </c>
      <c r="K985">
        <v>0.86080641500869959</v>
      </c>
      <c r="L985">
        <v>0.8879371246909219</v>
      </c>
      <c r="M985">
        <v>0.96809448263705267</v>
      </c>
      <c r="N985">
        <v>0.974004151428289</v>
      </c>
      <c r="O985">
        <v>0.91611115272264254</v>
      </c>
      <c r="P985">
        <v>0.91250569130368797</v>
      </c>
      <c r="Q985">
        <v>0.95149394856278369</v>
      </c>
      <c r="R985">
        <v>0.96960379513309325</v>
      </c>
    </row>
    <row r="986" spans="4:19" x14ac:dyDescent="0.25">
      <c r="D986" t="s">
        <v>51</v>
      </c>
      <c r="E986">
        <v>2015</v>
      </c>
      <c r="F986" t="s">
        <v>34</v>
      </c>
      <c r="G986">
        <v>0.93585476550680791</v>
      </c>
      <c r="H986">
        <v>0.93766999093381687</v>
      </c>
      <c r="I986">
        <v>0.92884371029224899</v>
      </c>
      <c r="J986">
        <v>0.94868301544050859</v>
      </c>
      <c r="K986">
        <v>0.94446187637276435</v>
      </c>
      <c r="L986">
        <v>0.92040139467641802</v>
      </c>
      <c r="M986">
        <v>0.89737181554337309</v>
      </c>
    </row>
    <row r="987" spans="4:19" x14ac:dyDescent="0.25">
      <c r="D987" t="s">
        <v>52</v>
      </c>
      <c r="E987">
        <v>2013</v>
      </c>
      <c r="F987" t="s">
        <v>17</v>
      </c>
      <c r="S987">
        <v>1</v>
      </c>
    </row>
    <row r="988" spans="4:19" x14ac:dyDescent="0.25">
      <c r="D988" t="s">
        <v>52</v>
      </c>
      <c r="E988">
        <v>2014</v>
      </c>
      <c r="F988" t="s">
        <v>17</v>
      </c>
      <c r="S988">
        <v>1.1030494216614091</v>
      </c>
    </row>
    <row r="989" spans="4:19" x14ac:dyDescent="0.25">
      <c r="D989" t="s">
        <v>52</v>
      </c>
      <c r="E989">
        <v>2015</v>
      </c>
      <c r="F989" t="s">
        <v>17</v>
      </c>
      <c r="S989">
        <v>1</v>
      </c>
    </row>
    <row r="990" spans="4:19" x14ac:dyDescent="0.25">
      <c r="D990" t="s">
        <v>52</v>
      </c>
      <c r="E990">
        <v>2013</v>
      </c>
      <c r="F990" t="s">
        <v>18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0.99636363636363634</v>
      </c>
      <c r="P990">
        <v>1</v>
      </c>
      <c r="Q990">
        <v>1</v>
      </c>
      <c r="R990">
        <v>1</v>
      </c>
    </row>
    <row r="991" spans="4:19" x14ac:dyDescent="0.25">
      <c r="D991" t="s">
        <v>52</v>
      </c>
      <c r="E991">
        <v>2014</v>
      </c>
      <c r="F991" t="s">
        <v>18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2</v>
      </c>
      <c r="N991">
        <v>1</v>
      </c>
      <c r="O991">
        <v>1</v>
      </c>
      <c r="P991">
        <v>1</v>
      </c>
      <c r="Q991">
        <v>1</v>
      </c>
      <c r="R991">
        <v>1</v>
      </c>
    </row>
    <row r="992" spans="4:19" x14ac:dyDescent="0.25">
      <c r="D992" t="s">
        <v>52</v>
      </c>
      <c r="E992">
        <v>2015</v>
      </c>
      <c r="F992" t="s">
        <v>18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</row>
    <row r="993" spans="4:19" x14ac:dyDescent="0.25">
      <c r="D993" t="s">
        <v>52</v>
      </c>
      <c r="E993">
        <v>2013</v>
      </c>
      <c r="F993" t="s">
        <v>19</v>
      </c>
      <c r="S993">
        <v>0.96572861521315134</v>
      </c>
    </row>
    <row r="994" spans="4:19" x14ac:dyDescent="0.25">
      <c r="D994" t="s">
        <v>52</v>
      </c>
      <c r="E994">
        <v>2014</v>
      </c>
      <c r="F994" t="s">
        <v>19</v>
      </c>
      <c r="S994">
        <v>0.99541680754348394</v>
      </c>
    </row>
    <row r="995" spans="4:19" x14ac:dyDescent="0.25">
      <c r="D995" t="s">
        <v>52</v>
      </c>
      <c r="E995">
        <v>2015</v>
      </c>
      <c r="F995" t="s">
        <v>19</v>
      </c>
      <c r="S995">
        <v>0.99015384615384616</v>
      </c>
    </row>
    <row r="996" spans="4:19" x14ac:dyDescent="0.25">
      <c r="D996" t="s">
        <v>52</v>
      </c>
      <c r="E996">
        <v>2013</v>
      </c>
      <c r="F996" t="s">
        <v>20</v>
      </c>
      <c r="G996">
        <v>0.84443779008833653</v>
      </c>
      <c r="H996">
        <v>0.99136474563544208</v>
      </c>
      <c r="I996">
        <v>0.98840339614827089</v>
      </c>
      <c r="J996">
        <v>0.99601857996018583</v>
      </c>
      <c r="K996">
        <v>0.99576587795765881</v>
      </c>
      <c r="L996">
        <v>0.99491740787801775</v>
      </c>
      <c r="M996">
        <v>0.99482490943591517</v>
      </c>
      <c r="N996">
        <v>0.99605425400739822</v>
      </c>
      <c r="O996">
        <v>0.99739266469667998</v>
      </c>
      <c r="P996">
        <v>0.99904367229837421</v>
      </c>
      <c r="Q996">
        <v>0.99456655964435658</v>
      </c>
      <c r="R996">
        <v>0.99713740458015265</v>
      </c>
    </row>
    <row r="997" spans="4:19" x14ac:dyDescent="0.25">
      <c r="D997" t="s">
        <v>52</v>
      </c>
      <c r="E997">
        <v>2014</v>
      </c>
      <c r="F997" t="s">
        <v>20</v>
      </c>
      <c r="G997">
        <v>0.99817518248175185</v>
      </c>
      <c r="H997">
        <v>0.99808219178082191</v>
      </c>
      <c r="I997">
        <v>0.99229891614375354</v>
      </c>
      <c r="J997">
        <v>0.99174501261178627</v>
      </c>
      <c r="K997">
        <v>0.99809220985691571</v>
      </c>
      <c r="L997">
        <v>0.99577549788774899</v>
      </c>
      <c r="M997">
        <v>0.99436487438365817</v>
      </c>
      <c r="N997">
        <v>0.9978932584269663</v>
      </c>
      <c r="O997">
        <v>0.99836448598130845</v>
      </c>
      <c r="P997">
        <v>0.9986893840104849</v>
      </c>
      <c r="Q997">
        <v>0.99938931297709921</v>
      </c>
      <c r="R997">
        <v>0.99124775583482949</v>
      </c>
    </row>
    <row r="998" spans="4:19" x14ac:dyDescent="0.25">
      <c r="D998" t="s">
        <v>52</v>
      </c>
      <c r="E998">
        <v>2015</v>
      </c>
      <c r="F998" t="s">
        <v>20</v>
      </c>
      <c r="G998">
        <v>0.99840292037417289</v>
      </c>
      <c r="H998">
        <v>0.98773690078037901</v>
      </c>
      <c r="I998">
        <v>0.99865771812080539</v>
      </c>
      <c r="J998">
        <v>1</v>
      </c>
      <c r="K998">
        <v>1</v>
      </c>
      <c r="L998">
        <v>0.98998330550918201</v>
      </c>
      <c r="M998">
        <v>0.96618556701030933</v>
      </c>
    </row>
    <row r="999" spans="4:19" x14ac:dyDescent="0.25">
      <c r="D999" t="s">
        <v>52</v>
      </c>
      <c r="E999">
        <v>2013</v>
      </c>
      <c r="F999" t="s">
        <v>21</v>
      </c>
      <c r="S999">
        <v>0.93474088291746638</v>
      </c>
    </row>
    <row r="1000" spans="4:19" x14ac:dyDescent="0.25">
      <c r="D1000" t="s">
        <v>52</v>
      </c>
      <c r="E1000">
        <v>2014</v>
      </c>
      <c r="F1000" t="s">
        <v>21</v>
      </c>
      <c r="S1000">
        <v>0.98754448398576511</v>
      </c>
    </row>
    <row r="1001" spans="4:19" x14ac:dyDescent="0.25">
      <c r="D1001" t="s">
        <v>52</v>
      </c>
      <c r="E1001">
        <v>2015</v>
      </c>
      <c r="F1001" t="s">
        <v>21</v>
      </c>
      <c r="S1001">
        <v>0.99313501144164762</v>
      </c>
    </row>
    <row r="1002" spans="4:19" x14ac:dyDescent="0.25">
      <c r="D1002" t="s">
        <v>52</v>
      </c>
      <c r="E1002">
        <v>2013</v>
      </c>
      <c r="F1002" t="s">
        <v>22</v>
      </c>
      <c r="G1002">
        <v>0.82300884955752207</v>
      </c>
      <c r="H1002">
        <v>0.95145631067961167</v>
      </c>
      <c r="I1002">
        <v>1</v>
      </c>
      <c r="J1002">
        <v>0.94117647058823528</v>
      </c>
      <c r="K1002">
        <v>1</v>
      </c>
      <c r="L1002">
        <v>0.90384615384615385</v>
      </c>
      <c r="M1002">
        <v>1</v>
      </c>
      <c r="N1002">
        <v>1</v>
      </c>
      <c r="O1002">
        <v>0.97777777777777775</v>
      </c>
      <c r="P1002">
        <v>0.93939393939393945</v>
      </c>
      <c r="Q1002">
        <v>1</v>
      </c>
      <c r="R1002">
        <v>1</v>
      </c>
    </row>
    <row r="1003" spans="4:19" x14ac:dyDescent="0.25">
      <c r="D1003" t="s">
        <v>52</v>
      </c>
      <c r="E1003">
        <v>2014</v>
      </c>
      <c r="F1003" t="s">
        <v>22</v>
      </c>
      <c r="G1003">
        <v>1</v>
      </c>
      <c r="H1003">
        <v>1</v>
      </c>
      <c r="I1003">
        <v>1</v>
      </c>
      <c r="J1003">
        <v>0.95061728395061729</v>
      </c>
      <c r="K1003">
        <v>1</v>
      </c>
      <c r="L1003">
        <v>0.98275862068965514</v>
      </c>
      <c r="M1003">
        <v>0.98165137614678899</v>
      </c>
      <c r="N1003">
        <v>1</v>
      </c>
      <c r="O1003">
        <v>1</v>
      </c>
      <c r="P1003">
        <v>0.98245614035087714</v>
      </c>
      <c r="Q1003">
        <v>1</v>
      </c>
      <c r="R1003">
        <v>1</v>
      </c>
    </row>
    <row r="1004" spans="4:19" x14ac:dyDescent="0.25">
      <c r="D1004" t="s">
        <v>52</v>
      </c>
      <c r="E1004">
        <v>2015</v>
      </c>
      <c r="F1004" t="s">
        <v>22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0.97959183673469385</v>
      </c>
      <c r="M1004">
        <v>0.97101449275362317</v>
      </c>
    </row>
    <row r="1005" spans="4:19" x14ac:dyDescent="0.25">
      <c r="D1005" t="s">
        <v>52</v>
      </c>
      <c r="E1005">
        <v>2013</v>
      </c>
      <c r="F1005" t="s">
        <v>23</v>
      </c>
      <c r="S1005">
        <v>14331</v>
      </c>
    </row>
    <row r="1006" spans="4:19" x14ac:dyDescent="0.25">
      <c r="D1006" t="s">
        <v>52</v>
      </c>
      <c r="E1006">
        <v>2014</v>
      </c>
      <c r="F1006" t="s">
        <v>23</v>
      </c>
      <c r="S1006">
        <v>14544</v>
      </c>
    </row>
    <row r="1007" spans="4:19" x14ac:dyDescent="0.25">
      <c r="D1007" t="s">
        <v>52</v>
      </c>
      <c r="E1007">
        <v>2015</v>
      </c>
      <c r="F1007" t="s">
        <v>23</v>
      </c>
      <c r="S1007">
        <v>21351</v>
      </c>
    </row>
    <row r="1008" spans="4:19" x14ac:dyDescent="0.25">
      <c r="D1008" t="s">
        <v>52</v>
      </c>
      <c r="E1008">
        <v>2013</v>
      </c>
      <c r="F1008" t="s">
        <v>24</v>
      </c>
      <c r="G1008">
        <v>2661</v>
      </c>
      <c r="H1008">
        <v>2573</v>
      </c>
      <c r="I1008">
        <v>2033</v>
      </c>
      <c r="J1008">
        <v>1772</v>
      </c>
      <c r="K1008">
        <v>1623</v>
      </c>
      <c r="L1008">
        <v>1685</v>
      </c>
      <c r="M1008">
        <v>1984</v>
      </c>
      <c r="N1008">
        <v>2060</v>
      </c>
      <c r="O1008">
        <v>2564</v>
      </c>
      <c r="P1008">
        <v>2475</v>
      </c>
      <c r="Q1008">
        <v>2495</v>
      </c>
      <c r="R1008">
        <v>1795</v>
      </c>
    </row>
    <row r="1009" spans="4:19" x14ac:dyDescent="0.25">
      <c r="D1009" t="s">
        <v>52</v>
      </c>
      <c r="E1009">
        <v>2014</v>
      </c>
      <c r="F1009" t="s">
        <v>24</v>
      </c>
      <c r="G1009">
        <v>2402</v>
      </c>
      <c r="H1009">
        <v>2288</v>
      </c>
      <c r="I1009">
        <v>1809</v>
      </c>
      <c r="J1009">
        <v>1808</v>
      </c>
      <c r="K1009">
        <v>1732</v>
      </c>
      <c r="L1009">
        <v>1848</v>
      </c>
      <c r="M1009">
        <v>2657</v>
      </c>
      <c r="N1009">
        <v>2856</v>
      </c>
      <c r="O1009">
        <v>3552</v>
      </c>
      <c r="P1009">
        <v>3082</v>
      </c>
      <c r="Q1009">
        <v>2755</v>
      </c>
      <c r="R1009">
        <v>2572</v>
      </c>
    </row>
    <row r="1010" spans="4:19" x14ac:dyDescent="0.25">
      <c r="D1010" t="s">
        <v>52</v>
      </c>
      <c r="E1010">
        <v>2015</v>
      </c>
      <c r="F1010" t="s">
        <v>24</v>
      </c>
      <c r="G1010">
        <v>2895</v>
      </c>
      <c r="H1010">
        <v>2783</v>
      </c>
      <c r="I1010">
        <v>2645</v>
      </c>
      <c r="J1010">
        <v>2345</v>
      </c>
      <c r="K1010">
        <v>2600</v>
      </c>
      <c r="L1010">
        <v>3868</v>
      </c>
      <c r="M1010">
        <v>4215</v>
      </c>
    </row>
    <row r="1011" spans="4:19" x14ac:dyDescent="0.25">
      <c r="D1011" t="s">
        <v>52</v>
      </c>
      <c r="E1011">
        <v>2013</v>
      </c>
      <c r="F1011" t="s">
        <v>25</v>
      </c>
      <c r="S1011">
        <v>34363</v>
      </c>
    </row>
    <row r="1012" spans="4:19" x14ac:dyDescent="0.25">
      <c r="D1012" t="s">
        <v>52</v>
      </c>
      <c r="E1012">
        <v>2014</v>
      </c>
      <c r="F1012" t="s">
        <v>25</v>
      </c>
      <c r="S1012">
        <v>26486</v>
      </c>
    </row>
    <row r="1013" spans="4:19" x14ac:dyDescent="0.25">
      <c r="D1013" t="s">
        <v>52</v>
      </c>
      <c r="E1013">
        <v>2015</v>
      </c>
      <c r="F1013" t="s">
        <v>25</v>
      </c>
      <c r="S1013">
        <v>22207</v>
      </c>
    </row>
    <row r="1014" spans="4:19" x14ac:dyDescent="0.25">
      <c r="D1014" t="s">
        <v>52</v>
      </c>
      <c r="E1014">
        <v>2013</v>
      </c>
      <c r="F1014" t="s">
        <v>26</v>
      </c>
      <c r="G1014">
        <v>5718</v>
      </c>
      <c r="H1014">
        <v>5084</v>
      </c>
      <c r="I1014">
        <v>4908</v>
      </c>
      <c r="J1014">
        <v>4551</v>
      </c>
      <c r="K1014">
        <v>4077</v>
      </c>
      <c r="L1014">
        <v>4432</v>
      </c>
      <c r="M1014">
        <v>5593</v>
      </c>
      <c r="N1014">
        <v>5103</v>
      </c>
      <c r="O1014">
        <v>6839</v>
      </c>
      <c r="P1014">
        <v>5774</v>
      </c>
      <c r="Q1014">
        <v>4884</v>
      </c>
      <c r="R1014">
        <v>4886</v>
      </c>
    </row>
    <row r="1015" spans="4:19" x14ac:dyDescent="0.25">
      <c r="D1015" t="s">
        <v>52</v>
      </c>
      <c r="E1015">
        <v>2014</v>
      </c>
      <c r="F1015" t="s">
        <v>26</v>
      </c>
      <c r="G1015">
        <v>4611</v>
      </c>
      <c r="H1015">
        <v>4214</v>
      </c>
      <c r="I1015">
        <v>3724</v>
      </c>
      <c r="J1015">
        <v>3896</v>
      </c>
      <c r="K1015">
        <v>3300</v>
      </c>
      <c r="L1015">
        <v>3165</v>
      </c>
      <c r="M1015">
        <v>3576</v>
      </c>
      <c r="N1015">
        <v>3615</v>
      </c>
      <c r="O1015">
        <v>4257</v>
      </c>
      <c r="P1015">
        <v>4412</v>
      </c>
      <c r="Q1015">
        <v>3578</v>
      </c>
      <c r="R1015">
        <v>3425</v>
      </c>
    </row>
    <row r="1016" spans="4:19" x14ac:dyDescent="0.25">
      <c r="D1016" t="s">
        <v>52</v>
      </c>
      <c r="E1016">
        <v>2015</v>
      </c>
      <c r="F1016" t="s">
        <v>26</v>
      </c>
      <c r="G1016">
        <v>3179</v>
      </c>
      <c r="H1016">
        <v>2800</v>
      </c>
      <c r="I1016">
        <v>2917</v>
      </c>
      <c r="J1016">
        <v>2521</v>
      </c>
      <c r="K1016">
        <v>2465</v>
      </c>
      <c r="L1016">
        <v>3309</v>
      </c>
      <c r="M1016">
        <v>5016</v>
      </c>
    </row>
    <row r="1017" spans="4:19" x14ac:dyDescent="0.25">
      <c r="D1017" t="s">
        <v>52</v>
      </c>
      <c r="E1017">
        <v>2013</v>
      </c>
      <c r="F1017" t="s">
        <v>27</v>
      </c>
      <c r="S1017">
        <v>56351</v>
      </c>
    </row>
    <row r="1018" spans="4:19" x14ac:dyDescent="0.25">
      <c r="D1018" t="s">
        <v>52</v>
      </c>
      <c r="E1018">
        <v>2014</v>
      </c>
      <c r="F1018" t="s">
        <v>27</v>
      </c>
      <c r="S1018">
        <v>41470</v>
      </c>
    </row>
    <row r="1019" spans="4:19" x14ac:dyDescent="0.25">
      <c r="D1019" t="s">
        <v>52</v>
      </c>
      <c r="E1019">
        <v>2015</v>
      </c>
      <c r="F1019" t="s">
        <v>27</v>
      </c>
      <c r="S1019">
        <v>36479</v>
      </c>
    </row>
    <row r="1020" spans="4:19" x14ac:dyDescent="0.25">
      <c r="D1020" t="s">
        <v>52</v>
      </c>
      <c r="E1020">
        <v>2013</v>
      </c>
      <c r="F1020" t="s">
        <v>28</v>
      </c>
      <c r="G1020">
        <v>9087</v>
      </c>
      <c r="H1020">
        <v>8319</v>
      </c>
      <c r="I1020">
        <v>7777</v>
      </c>
      <c r="J1020">
        <v>7331</v>
      </c>
      <c r="K1020">
        <v>6734</v>
      </c>
      <c r="L1020">
        <v>7452</v>
      </c>
      <c r="M1020">
        <v>9651</v>
      </c>
      <c r="N1020">
        <v>7700</v>
      </c>
      <c r="O1020">
        <v>10132</v>
      </c>
      <c r="P1020">
        <v>9230</v>
      </c>
      <c r="Q1020">
        <v>7369</v>
      </c>
      <c r="R1020">
        <v>7834</v>
      </c>
    </row>
    <row r="1021" spans="4:19" x14ac:dyDescent="0.25">
      <c r="D1021" t="s">
        <v>52</v>
      </c>
      <c r="E1021">
        <v>2014</v>
      </c>
      <c r="F1021" t="s">
        <v>28</v>
      </c>
      <c r="G1021">
        <v>7021</v>
      </c>
      <c r="H1021">
        <v>6642</v>
      </c>
      <c r="I1021">
        <v>5732</v>
      </c>
      <c r="J1021">
        <v>6270</v>
      </c>
      <c r="K1021">
        <v>5041</v>
      </c>
      <c r="L1021">
        <v>4916</v>
      </c>
      <c r="M1021">
        <v>5848</v>
      </c>
      <c r="N1021">
        <v>5822</v>
      </c>
      <c r="O1021">
        <v>7222</v>
      </c>
      <c r="P1021">
        <v>7346</v>
      </c>
      <c r="Q1021">
        <v>5673</v>
      </c>
      <c r="R1021">
        <v>6214</v>
      </c>
    </row>
    <row r="1022" spans="4:19" x14ac:dyDescent="0.25">
      <c r="D1022" t="s">
        <v>52</v>
      </c>
      <c r="E1022">
        <v>2015</v>
      </c>
      <c r="F1022" t="s">
        <v>28</v>
      </c>
      <c r="G1022">
        <v>5458</v>
      </c>
      <c r="H1022">
        <v>4805</v>
      </c>
      <c r="I1022">
        <v>5027</v>
      </c>
      <c r="J1022">
        <v>4388</v>
      </c>
      <c r="K1022">
        <v>4034</v>
      </c>
      <c r="L1022">
        <v>5183</v>
      </c>
      <c r="M1022">
        <v>7584</v>
      </c>
    </row>
    <row r="1023" spans="4:19" x14ac:dyDescent="0.25">
      <c r="D1023" t="s">
        <v>52</v>
      </c>
      <c r="E1023">
        <v>2013</v>
      </c>
      <c r="F1023" t="s">
        <v>29</v>
      </c>
      <c r="S1023">
        <v>1035</v>
      </c>
    </row>
    <row r="1024" spans="4:19" x14ac:dyDescent="0.25">
      <c r="D1024" t="s">
        <v>52</v>
      </c>
      <c r="E1024">
        <v>2014</v>
      </c>
      <c r="F1024" t="s">
        <v>29</v>
      </c>
      <c r="S1024">
        <v>951</v>
      </c>
    </row>
    <row r="1025" spans="4:19" x14ac:dyDescent="0.25">
      <c r="D1025" t="s">
        <v>52</v>
      </c>
      <c r="E1025">
        <v>2015</v>
      </c>
      <c r="F1025" t="s">
        <v>29</v>
      </c>
      <c r="S1025">
        <v>655</v>
      </c>
    </row>
    <row r="1026" spans="4:19" x14ac:dyDescent="0.25">
      <c r="D1026" t="s">
        <v>52</v>
      </c>
      <c r="E1026">
        <v>2013</v>
      </c>
      <c r="F1026" t="s">
        <v>30</v>
      </c>
      <c r="G1026">
        <v>182</v>
      </c>
      <c r="H1026">
        <v>154</v>
      </c>
      <c r="I1026">
        <v>157</v>
      </c>
      <c r="J1026">
        <v>137</v>
      </c>
      <c r="K1026">
        <v>137</v>
      </c>
      <c r="L1026">
        <v>132</v>
      </c>
      <c r="M1026">
        <v>136</v>
      </c>
      <c r="N1026">
        <v>122</v>
      </c>
      <c r="O1026">
        <v>275</v>
      </c>
      <c r="P1026">
        <v>206</v>
      </c>
      <c r="Q1026">
        <v>217</v>
      </c>
      <c r="R1026">
        <v>128</v>
      </c>
    </row>
    <row r="1027" spans="4:19" x14ac:dyDescent="0.25">
      <c r="D1027" t="s">
        <v>52</v>
      </c>
      <c r="E1027">
        <v>2014</v>
      </c>
      <c r="F1027" t="s">
        <v>30</v>
      </c>
      <c r="G1027">
        <v>180</v>
      </c>
      <c r="H1027">
        <v>178</v>
      </c>
      <c r="I1027">
        <v>132</v>
      </c>
      <c r="J1027">
        <v>146</v>
      </c>
      <c r="K1027">
        <v>99</v>
      </c>
      <c r="L1027">
        <v>118</v>
      </c>
      <c r="M1027">
        <v>98</v>
      </c>
      <c r="N1027">
        <v>92</v>
      </c>
      <c r="O1027">
        <v>218</v>
      </c>
      <c r="P1027">
        <v>150</v>
      </c>
      <c r="Q1027">
        <v>142</v>
      </c>
      <c r="R1027">
        <v>109</v>
      </c>
    </row>
    <row r="1028" spans="4:19" x14ac:dyDescent="0.25">
      <c r="D1028" t="s">
        <v>52</v>
      </c>
      <c r="E1028">
        <v>2015</v>
      </c>
      <c r="F1028" t="s">
        <v>30</v>
      </c>
      <c r="G1028">
        <v>132</v>
      </c>
      <c r="H1028">
        <v>84</v>
      </c>
      <c r="I1028">
        <v>115</v>
      </c>
      <c r="J1028">
        <v>76</v>
      </c>
      <c r="K1028">
        <v>68</v>
      </c>
      <c r="L1028">
        <v>85</v>
      </c>
      <c r="M1028">
        <v>95</v>
      </c>
    </row>
    <row r="1029" spans="4:19" x14ac:dyDescent="0.25">
      <c r="D1029" t="s">
        <v>52</v>
      </c>
      <c r="E1029">
        <v>2013</v>
      </c>
      <c r="F1029" t="s">
        <v>31</v>
      </c>
      <c r="S1029">
        <v>0.87593329146605259</v>
      </c>
    </row>
    <row r="1030" spans="4:19" x14ac:dyDescent="0.25">
      <c r="D1030" t="s">
        <v>52</v>
      </c>
      <c r="E1030">
        <v>2014</v>
      </c>
      <c r="F1030" t="s">
        <v>31</v>
      </c>
      <c r="S1030">
        <v>0.96218371837183714</v>
      </c>
    </row>
    <row r="1031" spans="4:19" x14ac:dyDescent="0.25">
      <c r="D1031" t="s">
        <v>52</v>
      </c>
      <c r="E1031">
        <v>2015</v>
      </c>
      <c r="F1031" t="s">
        <v>31</v>
      </c>
      <c r="S1031">
        <v>0.92712285138869377</v>
      </c>
    </row>
    <row r="1032" spans="4:19" x14ac:dyDescent="0.25">
      <c r="D1032" t="s">
        <v>52</v>
      </c>
      <c r="E1032">
        <v>2013</v>
      </c>
      <c r="F1032" t="s">
        <v>32</v>
      </c>
      <c r="G1032">
        <v>0.86847049981210067</v>
      </c>
      <c r="H1032">
        <v>0.86202876020209873</v>
      </c>
      <c r="I1032">
        <v>0.85981308411214952</v>
      </c>
      <c r="J1032">
        <v>0.8679458239277652</v>
      </c>
      <c r="K1032">
        <v>0.87430683918669128</v>
      </c>
      <c r="L1032">
        <v>0.85459940652818989</v>
      </c>
      <c r="M1032">
        <v>0.94707661290322576</v>
      </c>
      <c r="N1032">
        <v>0.98009708737864076</v>
      </c>
      <c r="O1032">
        <v>0.97425897035881437</v>
      </c>
      <c r="P1032">
        <v>0.97373737373737379</v>
      </c>
      <c r="Q1032">
        <v>0.96913827655310625</v>
      </c>
      <c r="R1032">
        <v>0.97715877437325904</v>
      </c>
    </row>
    <row r="1033" spans="4:19" x14ac:dyDescent="0.25">
      <c r="D1033" t="s">
        <v>52</v>
      </c>
      <c r="E1033">
        <v>2014</v>
      </c>
      <c r="F1033" t="s">
        <v>32</v>
      </c>
      <c r="G1033">
        <v>0.96003330557868438</v>
      </c>
      <c r="H1033">
        <v>0.96110139860139865</v>
      </c>
      <c r="I1033">
        <v>0.96849087893864017</v>
      </c>
      <c r="J1033">
        <v>0.95685840707964598</v>
      </c>
      <c r="K1033">
        <v>0.96651270207852191</v>
      </c>
      <c r="L1033">
        <v>0.97402597402597402</v>
      </c>
      <c r="M1033">
        <v>0.9533308242378622</v>
      </c>
      <c r="N1033">
        <v>0.89845938375350143</v>
      </c>
      <c r="O1033">
        <v>0.91216216216216217</v>
      </c>
      <c r="P1033">
        <v>0.92439974042829332</v>
      </c>
      <c r="Q1033">
        <v>0.9263157894736842</v>
      </c>
      <c r="R1033">
        <v>0.92846034214618978</v>
      </c>
    </row>
    <row r="1034" spans="4:19" x14ac:dyDescent="0.25">
      <c r="D1034" t="s">
        <v>52</v>
      </c>
      <c r="E1034">
        <v>2015</v>
      </c>
      <c r="F1034" t="s">
        <v>32</v>
      </c>
      <c r="G1034">
        <v>0.93506044905008634</v>
      </c>
      <c r="H1034">
        <v>0.92382321236076181</v>
      </c>
      <c r="I1034">
        <v>0.91190926275992434</v>
      </c>
      <c r="J1034">
        <v>0.91599147121535185</v>
      </c>
      <c r="K1034">
        <v>0.92461538461538462</v>
      </c>
      <c r="L1034">
        <v>0.9617373319544984</v>
      </c>
      <c r="M1034">
        <v>0.90937129300118624</v>
      </c>
    </row>
    <row r="1035" spans="4:19" x14ac:dyDescent="0.25">
      <c r="D1035" t="s">
        <v>52</v>
      </c>
      <c r="E1035">
        <v>2013</v>
      </c>
      <c r="F1035" t="s">
        <v>33</v>
      </c>
      <c r="S1035">
        <v>0.9503242114518079</v>
      </c>
    </row>
    <row r="1036" spans="4:19" x14ac:dyDescent="0.25">
      <c r="D1036" t="s">
        <v>52</v>
      </c>
      <c r="E1036">
        <v>2014</v>
      </c>
      <c r="F1036" t="s">
        <v>33</v>
      </c>
      <c r="S1036">
        <v>0.9478757586576223</v>
      </c>
    </row>
    <row r="1037" spans="4:19" x14ac:dyDescent="0.25">
      <c r="D1037" t="s">
        <v>52</v>
      </c>
      <c r="E1037">
        <v>2015</v>
      </c>
      <c r="F1037" t="s">
        <v>33</v>
      </c>
      <c r="S1037">
        <v>0.9613502321495796</v>
      </c>
    </row>
    <row r="1038" spans="4:19" x14ac:dyDescent="0.25">
      <c r="D1038" t="s">
        <v>52</v>
      </c>
      <c r="E1038">
        <v>2013</v>
      </c>
      <c r="F1038" t="s">
        <v>34</v>
      </c>
      <c r="G1038">
        <v>0.94030769230769229</v>
      </c>
      <c r="H1038">
        <v>0.93508879363135333</v>
      </c>
      <c r="I1038">
        <v>0.95354150799695359</v>
      </c>
      <c r="J1038">
        <v>0.95920138888888884</v>
      </c>
      <c r="K1038">
        <v>0.96465116279069762</v>
      </c>
      <c r="L1038">
        <v>0.95327102803738317</v>
      </c>
      <c r="M1038">
        <v>0.95694557270511782</v>
      </c>
      <c r="N1038">
        <v>0.9685341519570223</v>
      </c>
      <c r="O1038">
        <v>0.96113074204946991</v>
      </c>
      <c r="P1038">
        <v>0.95313626532083628</v>
      </c>
      <c r="Q1038">
        <v>0.95101781170483457</v>
      </c>
      <c r="R1038">
        <v>0.96365248226950351</v>
      </c>
    </row>
    <row r="1039" spans="4:19" x14ac:dyDescent="0.25">
      <c r="D1039" t="s">
        <v>52</v>
      </c>
      <c r="E1039">
        <v>2014</v>
      </c>
      <c r="F1039" t="s">
        <v>34</v>
      </c>
      <c r="G1039">
        <v>0.93810444874274657</v>
      </c>
      <c r="H1039">
        <v>0.93957909029192122</v>
      </c>
      <c r="I1039">
        <v>0.95069204152249132</v>
      </c>
      <c r="J1039">
        <v>0.93505412156536216</v>
      </c>
      <c r="K1039">
        <v>0.94732061762034514</v>
      </c>
      <c r="L1039">
        <v>0.95475966069745521</v>
      </c>
      <c r="M1039">
        <v>0.98604651162790702</v>
      </c>
      <c r="N1039">
        <v>0.99656357388316152</v>
      </c>
      <c r="O1039">
        <v>0.97322253000923364</v>
      </c>
      <c r="P1039">
        <v>0.99151643690349944</v>
      </c>
      <c r="Q1039">
        <v>0.96731234866828086</v>
      </c>
      <c r="R1039">
        <v>0.98402130492676432</v>
      </c>
    </row>
    <row r="1040" spans="4:19" x14ac:dyDescent="0.25">
      <c r="D1040" t="s">
        <v>52</v>
      </c>
      <c r="E1040">
        <v>2015</v>
      </c>
      <c r="F1040" t="s">
        <v>34</v>
      </c>
      <c r="G1040">
        <v>0.99196428571428574</v>
      </c>
      <c r="H1040">
        <v>0.97017543859649125</v>
      </c>
      <c r="I1040">
        <v>0.95897903372835003</v>
      </c>
      <c r="J1040">
        <v>0.96072186836518048</v>
      </c>
      <c r="K1040">
        <v>0.94282238442822386</v>
      </c>
      <c r="L1040">
        <v>0.95177865612648216</v>
      </c>
      <c r="M1040">
        <v>0.95262160454832601</v>
      </c>
    </row>
    <row r="1041" spans="4:19" x14ac:dyDescent="0.25">
      <c r="D1041" t="s">
        <v>53</v>
      </c>
      <c r="E1041">
        <v>2013</v>
      </c>
      <c r="F1041" t="s">
        <v>17</v>
      </c>
      <c r="S1041">
        <v>0.90992996007069449</v>
      </c>
    </row>
    <row r="1042" spans="4:19" x14ac:dyDescent="0.25">
      <c r="D1042" t="s">
        <v>53</v>
      </c>
      <c r="E1042">
        <v>2014</v>
      </c>
      <c r="F1042" t="s">
        <v>17</v>
      </c>
      <c r="S1042">
        <v>0.94303462860163889</v>
      </c>
    </row>
    <row r="1043" spans="4:19" x14ac:dyDescent="0.25">
      <c r="D1043" t="s">
        <v>53</v>
      </c>
      <c r="E1043">
        <v>2015</v>
      </c>
      <c r="F1043" t="s">
        <v>17</v>
      </c>
      <c r="S1043">
        <v>0.9619977688776723</v>
      </c>
    </row>
    <row r="1044" spans="4:19" x14ac:dyDescent="0.25">
      <c r="D1044" t="s">
        <v>53</v>
      </c>
      <c r="E1044">
        <v>2013</v>
      </c>
      <c r="F1044" t="s">
        <v>18</v>
      </c>
      <c r="G1044">
        <v>0.86771885999772913</v>
      </c>
      <c r="H1044">
        <v>0.87230747571448686</v>
      </c>
      <c r="I1044">
        <v>0.89674143038510368</v>
      </c>
      <c r="J1044">
        <v>0.93818054092026693</v>
      </c>
      <c r="K1044">
        <v>0.91761467889908255</v>
      </c>
      <c r="L1044">
        <v>0.94917127071823204</v>
      </c>
      <c r="M1044">
        <v>0.96053052093320546</v>
      </c>
      <c r="N1044">
        <v>0.9241552839683681</v>
      </c>
      <c r="O1044">
        <v>0.96435643564356432</v>
      </c>
      <c r="P1044">
        <v>0.95649225901231782</v>
      </c>
      <c r="Q1044">
        <v>0.94115270670616757</v>
      </c>
      <c r="R1044">
        <v>0.95480908651522478</v>
      </c>
    </row>
    <row r="1045" spans="4:19" x14ac:dyDescent="0.25">
      <c r="D1045" t="s">
        <v>53</v>
      </c>
      <c r="E1045">
        <v>2014</v>
      </c>
      <c r="F1045" t="s">
        <v>18</v>
      </c>
      <c r="G1045">
        <v>0.92760228959084168</v>
      </c>
      <c r="H1045">
        <v>0.94435670027943142</v>
      </c>
      <c r="I1045">
        <v>0.94021164021164016</v>
      </c>
      <c r="J1045">
        <v>0.94797363623615205</v>
      </c>
      <c r="K1045">
        <v>0.91919191919191923</v>
      </c>
      <c r="L1045">
        <v>0.96476434271946998</v>
      </c>
      <c r="M1045">
        <v>0.96029216467463474</v>
      </c>
      <c r="N1045">
        <v>0.96240378922439318</v>
      </c>
      <c r="O1045">
        <v>0.95608557682464945</v>
      </c>
      <c r="P1045">
        <v>0.96128454738726643</v>
      </c>
      <c r="Q1045">
        <v>0.93511111111111112</v>
      </c>
      <c r="R1045">
        <v>0.95107844318592605</v>
      </c>
    </row>
    <row r="1046" spans="4:19" x14ac:dyDescent="0.25">
      <c r="D1046" t="s">
        <v>53</v>
      </c>
      <c r="E1046">
        <v>2015</v>
      </c>
      <c r="F1046" t="s">
        <v>18</v>
      </c>
      <c r="G1046">
        <v>0.92313150425733204</v>
      </c>
      <c r="H1046">
        <v>0.96929190751445082</v>
      </c>
      <c r="I1046">
        <v>0.97069045412418908</v>
      </c>
      <c r="J1046">
        <v>0.97258625300882584</v>
      </c>
      <c r="K1046">
        <v>0.96226415094339623</v>
      </c>
      <c r="L1046">
        <v>0.96728615071283097</v>
      </c>
      <c r="M1046">
        <v>0.97123430962343094</v>
      </c>
    </row>
    <row r="1047" spans="4:19" x14ac:dyDescent="0.25">
      <c r="D1047" t="s">
        <v>53</v>
      </c>
      <c r="E1047">
        <v>2013</v>
      </c>
      <c r="F1047" t="s">
        <v>19</v>
      </c>
      <c r="S1047">
        <v>0.69158938170612849</v>
      </c>
    </row>
    <row r="1048" spans="4:19" x14ac:dyDescent="0.25">
      <c r="D1048" t="s">
        <v>53</v>
      </c>
      <c r="E1048">
        <v>2014</v>
      </c>
      <c r="F1048" t="s">
        <v>19</v>
      </c>
      <c r="S1048">
        <v>0.91562631341355205</v>
      </c>
    </row>
    <row r="1049" spans="4:19" x14ac:dyDescent="0.25">
      <c r="D1049" t="s">
        <v>53</v>
      </c>
      <c r="E1049">
        <v>2015</v>
      </c>
      <c r="F1049" t="s">
        <v>19</v>
      </c>
      <c r="S1049">
        <v>0.94609366010815787</v>
      </c>
    </row>
    <row r="1050" spans="4:19" x14ac:dyDescent="0.25">
      <c r="D1050" t="s">
        <v>53</v>
      </c>
      <c r="E1050">
        <v>2013</v>
      </c>
      <c r="F1050" t="s">
        <v>20</v>
      </c>
      <c r="G1050">
        <v>0.62340626475680783</v>
      </c>
      <c r="H1050">
        <v>0.65931908868580258</v>
      </c>
      <c r="I1050">
        <v>0.58773034222273091</v>
      </c>
      <c r="J1050">
        <v>0.56915080200261492</v>
      </c>
      <c r="K1050">
        <v>0.54594023198674357</v>
      </c>
      <c r="L1050">
        <v>0.91789734898922648</v>
      </c>
      <c r="M1050">
        <v>0.96831815576641411</v>
      </c>
      <c r="N1050">
        <v>0.76133440823064225</v>
      </c>
      <c r="O1050">
        <v>0.64066171632672242</v>
      </c>
      <c r="P1050">
        <v>0.56612637013838929</v>
      </c>
      <c r="Q1050">
        <v>0.7261646441104771</v>
      </c>
      <c r="R1050">
        <v>0.9351418927365921</v>
      </c>
    </row>
    <row r="1051" spans="4:19" x14ac:dyDescent="0.25">
      <c r="D1051" t="s">
        <v>53</v>
      </c>
      <c r="E1051">
        <v>2014</v>
      </c>
      <c r="F1051" t="s">
        <v>20</v>
      </c>
      <c r="G1051">
        <v>0.94826569016376772</v>
      </c>
      <c r="H1051">
        <v>0.96696276466293507</v>
      </c>
      <c r="I1051">
        <v>0.9552242609582059</v>
      </c>
      <c r="J1051">
        <v>0.95365930599369086</v>
      </c>
      <c r="K1051">
        <v>0.86470053812285974</v>
      </c>
      <c r="L1051">
        <v>0.73215151678430945</v>
      </c>
      <c r="M1051">
        <v>0.97355009017014715</v>
      </c>
      <c r="N1051">
        <v>0.7684522717544181</v>
      </c>
      <c r="O1051">
        <v>0.75449424239913843</v>
      </c>
      <c r="P1051">
        <v>0.99120847787862942</v>
      </c>
      <c r="Q1051">
        <v>0.99360488257927559</v>
      </c>
      <c r="R1051">
        <v>0.99520559778852802</v>
      </c>
    </row>
    <row r="1052" spans="4:19" x14ac:dyDescent="0.25">
      <c r="D1052" t="s">
        <v>53</v>
      </c>
      <c r="E1052">
        <v>2015</v>
      </c>
      <c r="F1052" t="s">
        <v>20</v>
      </c>
      <c r="G1052">
        <v>0.98728895998616484</v>
      </c>
      <c r="H1052">
        <v>0.98296842988670308</v>
      </c>
      <c r="I1052">
        <v>0.88143176733780759</v>
      </c>
      <c r="J1052">
        <v>0.97053401931383609</v>
      </c>
      <c r="K1052">
        <v>0.85355883546041755</v>
      </c>
      <c r="L1052">
        <v>0.94278410128431434</v>
      </c>
      <c r="M1052">
        <v>0.99807549962990383</v>
      </c>
    </row>
    <row r="1053" spans="4:19" x14ac:dyDescent="0.25">
      <c r="D1053" t="s">
        <v>53</v>
      </c>
      <c r="E1053">
        <v>2013</v>
      </c>
      <c r="F1053" t="s">
        <v>21</v>
      </c>
      <c r="S1053">
        <v>0.9594515285706664</v>
      </c>
    </row>
    <row r="1054" spans="4:19" x14ac:dyDescent="0.25">
      <c r="D1054" t="s">
        <v>53</v>
      </c>
      <c r="E1054">
        <v>2014</v>
      </c>
      <c r="F1054" t="s">
        <v>21</v>
      </c>
      <c r="S1054">
        <v>0.97597476520254245</v>
      </c>
    </row>
    <row r="1055" spans="4:19" x14ac:dyDescent="0.25">
      <c r="D1055" t="s">
        <v>53</v>
      </c>
      <c r="E1055">
        <v>2015</v>
      </c>
      <c r="F1055" t="s">
        <v>21</v>
      </c>
      <c r="S1055">
        <v>0.94999693733793411</v>
      </c>
    </row>
    <row r="1056" spans="4:19" x14ac:dyDescent="0.25">
      <c r="D1056" t="s">
        <v>53</v>
      </c>
      <c r="E1056">
        <v>2013</v>
      </c>
      <c r="F1056" t="s">
        <v>22</v>
      </c>
      <c r="G1056">
        <v>0.98157656297191176</v>
      </c>
      <c r="H1056">
        <v>0.96903225806451609</v>
      </c>
      <c r="I1056">
        <v>0.9869912655640215</v>
      </c>
      <c r="J1056">
        <v>0.91076751117734722</v>
      </c>
      <c r="K1056">
        <v>0.88956228956228955</v>
      </c>
      <c r="L1056">
        <v>0.98769703960015376</v>
      </c>
      <c r="M1056">
        <v>0.97434573002754821</v>
      </c>
      <c r="N1056">
        <v>0.9705248023005032</v>
      </c>
      <c r="O1056">
        <v>0.98141891891891897</v>
      </c>
      <c r="P1056">
        <v>0.97230997955770304</v>
      </c>
      <c r="Q1056">
        <v>0.95931222335716715</v>
      </c>
      <c r="R1056">
        <v>0.95625623130608173</v>
      </c>
    </row>
    <row r="1057" spans="4:19" x14ac:dyDescent="0.25">
      <c r="D1057" t="s">
        <v>53</v>
      </c>
      <c r="E1057">
        <v>2014</v>
      </c>
      <c r="F1057" t="s">
        <v>22</v>
      </c>
      <c r="G1057">
        <v>0.98360411387688185</v>
      </c>
      <c r="H1057">
        <v>0.98106712564543885</v>
      </c>
      <c r="I1057">
        <v>0.98002474809969953</v>
      </c>
      <c r="J1057">
        <v>0.97420886075949364</v>
      </c>
      <c r="K1057">
        <v>0.97204100652376513</v>
      </c>
      <c r="L1057">
        <v>0.9704150943396227</v>
      </c>
      <c r="M1057">
        <v>0.97092187250359485</v>
      </c>
      <c r="N1057">
        <v>0.97523041474654382</v>
      </c>
      <c r="O1057">
        <v>0.92500401477436967</v>
      </c>
      <c r="P1057">
        <v>0.97148978246539219</v>
      </c>
      <c r="Q1057">
        <v>0.93451591511936338</v>
      </c>
      <c r="R1057">
        <v>0.99522000245128084</v>
      </c>
    </row>
    <row r="1058" spans="4:19" x14ac:dyDescent="0.25">
      <c r="D1058" t="s">
        <v>53</v>
      </c>
      <c r="E1058">
        <v>2015</v>
      </c>
      <c r="F1058" t="s">
        <v>22</v>
      </c>
      <c r="G1058">
        <v>0.94650313152400833</v>
      </c>
      <c r="H1058">
        <v>0.93735390369331462</v>
      </c>
      <c r="I1058">
        <v>0.87804259634888437</v>
      </c>
      <c r="J1058">
        <v>0.98488318827301879</v>
      </c>
      <c r="K1058">
        <v>0.94683932526835912</v>
      </c>
      <c r="L1058">
        <v>0.9785276073619632</v>
      </c>
      <c r="M1058">
        <v>0.98581140999113215</v>
      </c>
    </row>
    <row r="1059" spans="4:19" x14ac:dyDescent="0.25">
      <c r="D1059" t="s">
        <v>53</v>
      </c>
      <c r="E1059">
        <v>2013</v>
      </c>
      <c r="F1059" t="s">
        <v>23</v>
      </c>
      <c r="S1059">
        <v>76596</v>
      </c>
    </row>
    <row r="1060" spans="4:19" x14ac:dyDescent="0.25">
      <c r="D1060" t="s">
        <v>53</v>
      </c>
      <c r="E1060">
        <v>2014</v>
      </c>
      <c r="F1060" t="s">
        <v>23</v>
      </c>
      <c r="S1060">
        <v>73333</v>
      </c>
    </row>
    <row r="1061" spans="4:19" x14ac:dyDescent="0.25">
      <c r="D1061" t="s">
        <v>53</v>
      </c>
      <c r="E1061">
        <v>2015</v>
      </c>
      <c r="F1061" t="s">
        <v>23</v>
      </c>
      <c r="S1061">
        <v>64453</v>
      </c>
    </row>
    <row r="1062" spans="4:19" x14ac:dyDescent="0.25">
      <c r="D1062" t="s">
        <v>53</v>
      </c>
      <c r="E1062">
        <v>2013</v>
      </c>
      <c r="F1062" t="s">
        <v>24</v>
      </c>
      <c r="G1062">
        <v>11971</v>
      </c>
      <c r="H1062">
        <v>11759</v>
      </c>
      <c r="I1062">
        <v>10661</v>
      </c>
      <c r="J1062">
        <v>10812</v>
      </c>
      <c r="K1062">
        <v>10953</v>
      </c>
      <c r="L1062">
        <v>9801</v>
      </c>
      <c r="M1062">
        <v>10639</v>
      </c>
      <c r="N1062">
        <v>10273</v>
      </c>
      <c r="O1062">
        <v>11856</v>
      </c>
      <c r="P1062">
        <v>11893</v>
      </c>
      <c r="Q1062">
        <v>11167</v>
      </c>
      <c r="R1062">
        <v>11777</v>
      </c>
    </row>
    <row r="1063" spans="4:19" x14ac:dyDescent="0.25">
      <c r="D1063" t="s">
        <v>53</v>
      </c>
      <c r="E1063">
        <v>2014</v>
      </c>
      <c r="F1063" t="s">
        <v>24</v>
      </c>
      <c r="G1063">
        <v>12203</v>
      </c>
      <c r="H1063">
        <v>12210</v>
      </c>
      <c r="I1063">
        <v>10092</v>
      </c>
      <c r="J1063">
        <v>8925</v>
      </c>
      <c r="K1063">
        <v>8639</v>
      </c>
      <c r="L1063">
        <v>9950</v>
      </c>
      <c r="M1063">
        <v>11314</v>
      </c>
      <c r="N1063">
        <v>10049</v>
      </c>
      <c r="O1063">
        <v>14001</v>
      </c>
      <c r="P1063">
        <v>11279</v>
      </c>
      <c r="Q1063">
        <v>10069</v>
      </c>
      <c r="R1063">
        <v>10655</v>
      </c>
    </row>
    <row r="1064" spans="4:19" x14ac:dyDescent="0.25">
      <c r="D1064" t="s">
        <v>53</v>
      </c>
      <c r="E1064">
        <v>2015</v>
      </c>
      <c r="F1064" t="s">
        <v>24</v>
      </c>
      <c r="G1064">
        <v>9866</v>
      </c>
      <c r="H1064">
        <v>9942</v>
      </c>
      <c r="I1064">
        <v>9675</v>
      </c>
      <c r="J1064">
        <v>8659</v>
      </c>
      <c r="K1064">
        <v>7485</v>
      </c>
      <c r="L1064">
        <v>8756</v>
      </c>
      <c r="M1064">
        <v>10070</v>
      </c>
    </row>
    <row r="1065" spans="4:19" x14ac:dyDescent="0.25">
      <c r="D1065" t="s">
        <v>53</v>
      </c>
      <c r="E1065">
        <v>2013</v>
      </c>
      <c r="F1065" t="s">
        <v>25</v>
      </c>
      <c r="S1065">
        <v>186887</v>
      </c>
    </row>
    <row r="1066" spans="4:19" x14ac:dyDescent="0.25">
      <c r="D1066" t="s">
        <v>53</v>
      </c>
      <c r="E1066">
        <v>2014</v>
      </c>
      <c r="F1066" t="s">
        <v>25</v>
      </c>
      <c r="S1066">
        <v>201500</v>
      </c>
    </row>
    <row r="1067" spans="4:19" x14ac:dyDescent="0.25">
      <c r="D1067" t="s">
        <v>53</v>
      </c>
      <c r="E1067">
        <v>2015</v>
      </c>
      <c r="F1067" t="s">
        <v>25</v>
      </c>
      <c r="S1067">
        <v>229162</v>
      </c>
    </row>
    <row r="1068" spans="4:19" x14ac:dyDescent="0.25">
      <c r="D1068" t="s">
        <v>53</v>
      </c>
      <c r="E1068">
        <v>2013</v>
      </c>
      <c r="F1068" t="s">
        <v>26</v>
      </c>
      <c r="G1068">
        <v>31647</v>
      </c>
      <c r="H1068">
        <v>25304</v>
      </c>
      <c r="I1068">
        <v>26857</v>
      </c>
      <c r="J1068">
        <v>24728</v>
      </c>
      <c r="K1068">
        <v>23867</v>
      </c>
      <c r="L1068">
        <v>25129</v>
      </c>
      <c r="M1068">
        <v>29355</v>
      </c>
      <c r="N1068">
        <v>27220</v>
      </c>
      <c r="O1068">
        <v>33880</v>
      </c>
      <c r="P1068">
        <v>35478</v>
      </c>
      <c r="Q1068">
        <v>39409</v>
      </c>
      <c r="R1068">
        <v>37885</v>
      </c>
    </row>
    <row r="1069" spans="4:19" x14ac:dyDescent="0.25">
      <c r="D1069" t="s">
        <v>53</v>
      </c>
      <c r="E1069">
        <v>2014</v>
      </c>
      <c r="F1069" t="s">
        <v>26</v>
      </c>
      <c r="G1069">
        <v>35844</v>
      </c>
      <c r="H1069">
        <v>28606</v>
      </c>
      <c r="I1069">
        <v>27744</v>
      </c>
      <c r="J1069">
        <v>25706</v>
      </c>
      <c r="K1069">
        <v>24655</v>
      </c>
      <c r="L1069">
        <v>26224</v>
      </c>
      <c r="M1069">
        <v>32721</v>
      </c>
      <c r="N1069">
        <v>30915</v>
      </c>
      <c r="O1069">
        <v>36636</v>
      </c>
      <c r="P1069">
        <v>35080</v>
      </c>
      <c r="Q1069">
        <v>36381</v>
      </c>
      <c r="R1069">
        <v>41636</v>
      </c>
    </row>
    <row r="1070" spans="4:19" x14ac:dyDescent="0.25">
      <c r="D1070" t="s">
        <v>53</v>
      </c>
      <c r="E1070">
        <v>2015</v>
      </c>
      <c r="F1070" t="s">
        <v>26</v>
      </c>
      <c r="G1070">
        <v>35396</v>
      </c>
      <c r="H1070">
        <v>31413</v>
      </c>
      <c r="I1070">
        <v>32899</v>
      </c>
      <c r="J1070">
        <v>30992</v>
      </c>
      <c r="K1070">
        <v>26280</v>
      </c>
      <c r="L1070">
        <v>34976</v>
      </c>
      <c r="M1070">
        <v>37206</v>
      </c>
    </row>
    <row r="1071" spans="4:19" x14ac:dyDescent="0.25">
      <c r="D1071" t="s">
        <v>53</v>
      </c>
      <c r="E1071">
        <v>2013</v>
      </c>
      <c r="F1071" t="s">
        <v>27</v>
      </c>
      <c r="S1071">
        <v>334147</v>
      </c>
    </row>
    <row r="1072" spans="4:19" x14ac:dyDescent="0.25">
      <c r="D1072" t="s">
        <v>53</v>
      </c>
      <c r="E1072">
        <v>2014</v>
      </c>
      <c r="F1072" t="s">
        <v>27</v>
      </c>
      <c r="S1072">
        <v>344427</v>
      </c>
    </row>
    <row r="1073" spans="4:19" x14ac:dyDescent="0.25">
      <c r="D1073" t="s">
        <v>53</v>
      </c>
      <c r="E1073">
        <v>2015</v>
      </c>
      <c r="F1073" t="s">
        <v>27</v>
      </c>
      <c r="S1073">
        <v>391143</v>
      </c>
    </row>
    <row r="1074" spans="4:19" x14ac:dyDescent="0.25">
      <c r="D1074" t="s">
        <v>53</v>
      </c>
      <c r="E1074">
        <v>2013</v>
      </c>
      <c r="F1074" t="s">
        <v>28</v>
      </c>
      <c r="G1074">
        <v>55743</v>
      </c>
      <c r="H1074">
        <v>46066</v>
      </c>
      <c r="I1074">
        <v>50792</v>
      </c>
      <c r="J1074">
        <v>44185</v>
      </c>
      <c r="K1074">
        <v>42279</v>
      </c>
      <c r="L1074">
        <v>43906</v>
      </c>
      <c r="M1074">
        <v>51176</v>
      </c>
      <c r="N1074">
        <v>46720</v>
      </c>
      <c r="O1074">
        <v>55882</v>
      </c>
      <c r="P1074">
        <v>60869</v>
      </c>
      <c r="Q1074">
        <v>61740</v>
      </c>
      <c r="R1074">
        <v>65301</v>
      </c>
    </row>
    <row r="1075" spans="4:19" x14ac:dyDescent="0.25">
      <c r="D1075" t="s">
        <v>53</v>
      </c>
      <c r="E1075">
        <v>2014</v>
      </c>
      <c r="F1075" t="s">
        <v>28</v>
      </c>
      <c r="G1075">
        <v>60992</v>
      </c>
      <c r="H1075">
        <v>50671</v>
      </c>
      <c r="I1075">
        <v>48924</v>
      </c>
      <c r="J1075">
        <v>45024</v>
      </c>
      <c r="K1075">
        <v>41845</v>
      </c>
      <c r="L1075">
        <v>43949</v>
      </c>
      <c r="M1075">
        <v>53022</v>
      </c>
      <c r="N1075">
        <v>50573</v>
      </c>
      <c r="O1075">
        <v>62707</v>
      </c>
      <c r="P1075">
        <v>59694</v>
      </c>
      <c r="Q1075">
        <v>59995</v>
      </c>
      <c r="R1075">
        <v>69656</v>
      </c>
    </row>
    <row r="1076" spans="4:19" x14ac:dyDescent="0.25">
      <c r="D1076" t="s">
        <v>53</v>
      </c>
      <c r="E1076">
        <v>2015</v>
      </c>
      <c r="F1076" t="s">
        <v>28</v>
      </c>
      <c r="G1076">
        <v>60507</v>
      </c>
      <c r="H1076">
        <v>56854</v>
      </c>
      <c r="I1076">
        <v>57587</v>
      </c>
      <c r="J1076">
        <v>52938</v>
      </c>
      <c r="K1076">
        <v>43434</v>
      </c>
      <c r="L1076">
        <v>58500</v>
      </c>
      <c r="M1076">
        <v>61323</v>
      </c>
    </row>
    <row r="1077" spans="4:19" x14ac:dyDescent="0.25">
      <c r="D1077" t="s">
        <v>53</v>
      </c>
      <c r="E1077">
        <v>2013</v>
      </c>
      <c r="F1077" t="s">
        <v>29</v>
      </c>
      <c r="S1077">
        <v>45831</v>
      </c>
    </row>
    <row r="1078" spans="4:19" x14ac:dyDescent="0.25">
      <c r="D1078" t="s">
        <v>53</v>
      </c>
      <c r="E1078">
        <v>2014</v>
      </c>
      <c r="F1078" t="s">
        <v>29</v>
      </c>
      <c r="S1078">
        <v>52962</v>
      </c>
    </row>
    <row r="1079" spans="4:19" x14ac:dyDescent="0.25">
      <c r="D1079" t="s">
        <v>53</v>
      </c>
      <c r="E1079">
        <v>2015</v>
      </c>
      <c r="F1079" t="s">
        <v>29</v>
      </c>
      <c r="S1079">
        <v>54681</v>
      </c>
    </row>
    <row r="1080" spans="4:19" x14ac:dyDescent="0.25">
      <c r="D1080" t="s">
        <v>53</v>
      </c>
      <c r="E1080">
        <v>2013</v>
      </c>
      <c r="F1080" t="s">
        <v>30</v>
      </c>
      <c r="G1080">
        <v>8807</v>
      </c>
      <c r="H1080">
        <v>7103</v>
      </c>
      <c r="I1080">
        <v>7089</v>
      </c>
      <c r="J1080">
        <v>5694</v>
      </c>
      <c r="K1080">
        <v>5450</v>
      </c>
      <c r="L1080">
        <v>5430</v>
      </c>
      <c r="M1080">
        <v>6258</v>
      </c>
      <c r="N1080">
        <v>5564</v>
      </c>
      <c r="O1080">
        <v>8585</v>
      </c>
      <c r="P1080">
        <v>8849</v>
      </c>
      <c r="Q1080">
        <v>7426</v>
      </c>
      <c r="R1080">
        <v>8276</v>
      </c>
    </row>
    <row r="1081" spans="4:19" x14ac:dyDescent="0.25">
      <c r="D1081" t="s">
        <v>53</v>
      </c>
      <c r="E1081">
        <v>2014</v>
      </c>
      <c r="F1081" t="s">
        <v>30</v>
      </c>
      <c r="G1081">
        <v>9434</v>
      </c>
      <c r="H1081">
        <v>8231</v>
      </c>
      <c r="I1081">
        <v>7560</v>
      </c>
      <c r="J1081">
        <v>7131</v>
      </c>
      <c r="K1081">
        <v>6435</v>
      </c>
      <c r="L1081">
        <v>6641</v>
      </c>
      <c r="M1081">
        <v>7530</v>
      </c>
      <c r="N1081">
        <v>6756</v>
      </c>
      <c r="O1081">
        <v>9769</v>
      </c>
      <c r="P1081">
        <v>8937</v>
      </c>
      <c r="Q1081">
        <v>7875</v>
      </c>
      <c r="R1081">
        <v>8299</v>
      </c>
    </row>
    <row r="1082" spans="4:19" x14ac:dyDescent="0.25">
      <c r="D1082" t="s">
        <v>53</v>
      </c>
      <c r="E1082">
        <v>2015</v>
      </c>
      <c r="F1082" t="s">
        <v>30</v>
      </c>
      <c r="G1082">
        <v>8456</v>
      </c>
      <c r="H1082">
        <v>8304</v>
      </c>
      <c r="I1082">
        <v>8632</v>
      </c>
      <c r="J1082">
        <v>7478</v>
      </c>
      <c r="K1082">
        <v>6307</v>
      </c>
      <c r="L1082">
        <v>7856</v>
      </c>
      <c r="M1082">
        <v>7648</v>
      </c>
    </row>
    <row r="1083" spans="4:19" x14ac:dyDescent="0.25">
      <c r="D1083" t="s">
        <v>53</v>
      </c>
      <c r="E1083">
        <v>2013</v>
      </c>
      <c r="F1083" t="s">
        <v>31</v>
      </c>
      <c r="S1083">
        <v>0.8810512298292339</v>
      </c>
    </row>
    <row r="1084" spans="4:19" x14ac:dyDescent="0.25">
      <c r="D1084" t="s">
        <v>53</v>
      </c>
      <c r="E1084">
        <v>2014</v>
      </c>
      <c r="F1084" t="s">
        <v>31</v>
      </c>
      <c r="S1084">
        <v>0.91515415979163539</v>
      </c>
    </row>
    <row r="1085" spans="4:19" x14ac:dyDescent="0.25">
      <c r="D1085" t="s">
        <v>53</v>
      </c>
      <c r="E1085">
        <v>2015</v>
      </c>
      <c r="F1085" t="s">
        <v>31</v>
      </c>
      <c r="S1085">
        <v>0.88303104587839198</v>
      </c>
    </row>
    <row r="1086" spans="4:19" x14ac:dyDescent="0.25">
      <c r="D1086" t="s">
        <v>53</v>
      </c>
      <c r="E1086">
        <v>2013</v>
      </c>
      <c r="F1086" t="s">
        <v>32</v>
      </c>
      <c r="G1086">
        <v>0.87035335393868518</v>
      </c>
      <c r="H1086">
        <v>0.85721574963857472</v>
      </c>
      <c r="I1086">
        <v>0.89231779382797116</v>
      </c>
      <c r="J1086">
        <v>0.87550869404365517</v>
      </c>
      <c r="K1086">
        <v>0.87263763352506163</v>
      </c>
      <c r="L1086">
        <v>0.85919804101622288</v>
      </c>
      <c r="M1086">
        <v>0.94256979039383404</v>
      </c>
      <c r="N1086">
        <v>0.90849800447775719</v>
      </c>
      <c r="O1086">
        <v>0.95141700404858298</v>
      </c>
      <c r="P1086">
        <v>0.97544774236946108</v>
      </c>
      <c r="Q1086">
        <v>0.95835945195665806</v>
      </c>
      <c r="R1086">
        <v>0.9658656703744587</v>
      </c>
    </row>
    <row r="1087" spans="4:19" x14ac:dyDescent="0.25">
      <c r="D1087" t="s">
        <v>53</v>
      </c>
      <c r="E1087">
        <v>2014</v>
      </c>
      <c r="F1087" t="s">
        <v>32</v>
      </c>
      <c r="G1087">
        <v>0.9319019913136114</v>
      </c>
      <c r="H1087">
        <v>0.89983619983619989</v>
      </c>
      <c r="I1087">
        <v>0.9330162504954419</v>
      </c>
      <c r="J1087">
        <v>0.94207282913165269</v>
      </c>
      <c r="K1087">
        <v>0.92707489292742218</v>
      </c>
      <c r="L1087">
        <v>0.89396984924623113</v>
      </c>
      <c r="M1087">
        <v>0.88598196924164752</v>
      </c>
      <c r="N1087">
        <v>0.90367200716489204</v>
      </c>
      <c r="O1087">
        <v>0.89665023926862364</v>
      </c>
      <c r="P1087">
        <v>0.92463870910541712</v>
      </c>
      <c r="Q1087">
        <v>0.90823319098222266</v>
      </c>
      <c r="R1087">
        <v>0.92182074143594561</v>
      </c>
    </row>
    <row r="1088" spans="4:19" x14ac:dyDescent="0.25">
      <c r="D1088" t="s">
        <v>53</v>
      </c>
      <c r="E1088">
        <v>2015</v>
      </c>
      <c r="F1088" t="s">
        <v>32</v>
      </c>
      <c r="G1088">
        <v>0.90441921751469689</v>
      </c>
      <c r="H1088">
        <v>0.88282035807684567</v>
      </c>
      <c r="I1088">
        <v>0.89478036175710596</v>
      </c>
      <c r="J1088">
        <v>0.8860145513338723</v>
      </c>
      <c r="K1088">
        <v>0.89873079492317964</v>
      </c>
      <c r="L1088">
        <v>0.90303791685701229</v>
      </c>
      <c r="M1088">
        <v>0.81936444885799409</v>
      </c>
    </row>
    <row r="1089" spans="4:19" x14ac:dyDescent="0.25">
      <c r="D1089" t="s">
        <v>53</v>
      </c>
      <c r="E1089">
        <v>2013</v>
      </c>
      <c r="F1089" t="s">
        <v>33</v>
      </c>
      <c r="S1089">
        <v>0.90856086193558128</v>
      </c>
    </row>
    <row r="1090" spans="4:19" x14ac:dyDescent="0.25">
      <c r="D1090" t="s">
        <v>53</v>
      </c>
      <c r="E1090">
        <v>2014</v>
      </c>
      <c r="F1090" t="s">
        <v>33</v>
      </c>
      <c r="S1090">
        <v>0.89925739106066971</v>
      </c>
    </row>
    <row r="1091" spans="4:19" x14ac:dyDescent="0.25">
      <c r="D1091" t="s">
        <v>53</v>
      </c>
      <c r="E1091">
        <v>2015</v>
      </c>
      <c r="F1091" t="s">
        <v>33</v>
      </c>
      <c r="S1091">
        <v>0.88687998395105072</v>
      </c>
    </row>
    <row r="1092" spans="4:19" x14ac:dyDescent="0.25">
      <c r="D1092" t="s">
        <v>53</v>
      </c>
      <c r="E1092">
        <v>2013</v>
      </c>
      <c r="F1092" t="s">
        <v>34</v>
      </c>
      <c r="G1092">
        <v>0.88676312328111917</v>
      </c>
      <c r="H1092">
        <v>0.86380413385826771</v>
      </c>
      <c r="I1092">
        <v>0.91975554669855186</v>
      </c>
      <c r="J1092">
        <v>0.90742705570291782</v>
      </c>
      <c r="K1092">
        <v>0.92286428853494795</v>
      </c>
      <c r="L1092">
        <v>0.92886966895317624</v>
      </c>
      <c r="M1092">
        <v>0.9401625560538116</v>
      </c>
      <c r="N1092">
        <v>0.86926286509040329</v>
      </c>
      <c r="O1092">
        <v>0.93247362250879251</v>
      </c>
      <c r="P1092">
        <v>0.96514681308188111</v>
      </c>
      <c r="Q1092">
        <v>0.9376341201716738</v>
      </c>
      <c r="R1092">
        <v>0.95019204559534132</v>
      </c>
    </row>
    <row r="1093" spans="4:19" x14ac:dyDescent="0.25">
      <c r="D1093" t="s">
        <v>53</v>
      </c>
      <c r="E1093">
        <v>2014</v>
      </c>
      <c r="F1093" t="s">
        <v>34</v>
      </c>
      <c r="G1093">
        <v>0.90582502266545784</v>
      </c>
      <c r="H1093">
        <v>0.85637110980622433</v>
      </c>
      <c r="I1093">
        <v>0.90837625372729736</v>
      </c>
      <c r="J1093">
        <v>0.92155970262479137</v>
      </c>
      <c r="K1093">
        <v>0.89923224568138194</v>
      </c>
      <c r="L1093">
        <v>0.88535031847133761</v>
      </c>
      <c r="M1093">
        <v>0.93236543909348446</v>
      </c>
      <c r="N1093">
        <v>0.94510268562401267</v>
      </c>
      <c r="O1093">
        <v>0.88611992146201479</v>
      </c>
      <c r="P1093">
        <v>0.95353908084535388</v>
      </c>
      <c r="Q1093">
        <v>0.91967871485943775</v>
      </c>
      <c r="R1093">
        <v>0.9356891642940881</v>
      </c>
    </row>
    <row r="1094" spans="4:19" x14ac:dyDescent="0.25">
      <c r="D1094" t="s">
        <v>53</v>
      </c>
      <c r="E1094">
        <v>2015</v>
      </c>
      <c r="F1094" t="s">
        <v>34</v>
      </c>
      <c r="G1094">
        <v>0.91841072596468276</v>
      </c>
      <c r="H1094">
        <v>0.87736900780379046</v>
      </c>
      <c r="I1094">
        <v>0.91792867611138251</v>
      </c>
      <c r="J1094">
        <v>0.89901248369666475</v>
      </c>
      <c r="K1094">
        <v>0.90206648697214731</v>
      </c>
      <c r="L1094">
        <v>0.9220874678427049</v>
      </c>
      <c r="M1094">
        <v>0.78029929287946065</v>
      </c>
    </row>
    <row r="1095" spans="4:19" x14ac:dyDescent="0.25">
      <c r="D1095" t="s">
        <v>54</v>
      </c>
      <c r="E1095">
        <v>2013</v>
      </c>
      <c r="F1095" t="s">
        <v>17</v>
      </c>
      <c r="S1095">
        <v>0.9949146981627297</v>
      </c>
    </row>
    <row r="1096" spans="4:19" x14ac:dyDescent="0.25">
      <c r="D1096" t="s">
        <v>54</v>
      </c>
      <c r="E1096">
        <v>2014</v>
      </c>
      <c r="F1096" t="s">
        <v>17</v>
      </c>
      <c r="S1096">
        <v>0.99659591509811774</v>
      </c>
    </row>
    <row r="1097" spans="4:19" x14ac:dyDescent="0.25">
      <c r="D1097" t="s">
        <v>54</v>
      </c>
      <c r="E1097">
        <v>2015</v>
      </c>
      <c r="F1097" t="s">
        <v>17</v>
      </c>
      <c r="S1097">
        <v>0.99149313247673898</v>
      </c>
    </row>
    <row r="1098" spans="4:19" x14ac:dyDescent="0.25">
      <c r="D1098" t="s">
        <v>54</v>
      </c>
      <c r="E1098">
        <v>2013</v>
      </c>
      <c r="F1098" t="s">
        <v>18</v>
      </c>
      <c r="G1098">
        <v>0.99185238437574885</v>
      </c>
      <c r="H1098">
        <v>0.99311075781664016</v>
      </c>
      <c r="I1098">
        <v>0.98978255174220597</v>
      </c>
      <c r="J1098">
        <v>0.99817407181984175</v>
      </c>
      <c r="K1098">
        <v>0.99940262843488648</v>
      </c>
      <c r="L1098">
        <v>0.99567411679884643</v>
      </c>
      <c r="M1098">
        <v>0.99844333748443337</v>
      </c>
      <c r="N1098">
        <v>0.99794379712131598</v>
      </c>
      <c r="O1098">
        <v>0.99850618864703367</v>
      </c>
      <c r="P1098">
        <v>0.99346252626663556</v>
      </c>
      <c r="Q1098">
        <v>0.99255993386607877</v>
      </c>
      <c r="R1098">
        <v>0.99422124380847554</v>
      </c>
    </row>
    <row r="1099" spans="4:19" x14ac:dyDescent="0.25">
      <c r="D1099" t="s">
        <v>54</v>
      </c>
      <c r="E1099">
        <v>2014</v>
      </c>
      <c r="F1099" t="s">
        <v>18</v>
      </c>
      <c r="G1099">
        <v>0.99687150837988825</v>
      </c>
      <c r="H1099">
        <v>0.99708879184861721</v>
      </c>
      <c r="I1099">
        <v>0.99726775956284153</v>
      </c>
      <c r="J1099">
        <v>0.99707602339181289</v>
      </c>
      <c r="K1099">
        <v>0.99568822553897185</v>
      </c>
      <c r="L1099">
        <v>0.99620659468923256</v>
      </c>
      <c r="M1099">
        <v>0.99544019642230797</v>
      </c>
      <c r="N1099">
        <v>0.99738391105297575</v>
      </c>
      <c r="O1099">
        <v>0.99412179637902653</v>
      </c>
      <c r="P1099">
        <v>0.99135197463245894</v>
      </c>
      <c r="Q1099">
        <v>0.99236894492368943</v>
      </c>
      <c r="R1099">
        <v>0.9941927990708479</v>
      </c>
    </row>
    <row r="1100" spans="4:19" x14ac:dyDescent="0.25">
      <c r="D1100" t="s">
        <v>54</v>
      </c>
      <c r="E1100">
        <v>2015</v>
      </c>
      <c r="F1100" t="s">
        <v>18</v>
      </c>
      <c r="G1100">
        <v>0.99188906331763471</v>
      </c>
      <c r="H1100">
        <v>0.99126637554585151</v>
      </c>
      <c r="I1100">
        <v>0.99187432286023836</v>
      </c>
      <c r="J1100">
        <v>0.99082268108816784</v>
      </c>
      <c r="K1100">
        <v>0.99045346062052508</v>
      </c>
      <c r="L1100">
        <v>0.99095728094792646</v>
      </c>
      <c r="M1100">
        <v>0.99297999297999295</v>
      </c>
    </row>
    <row r="1101" spans="4:19" x14ac:dyDescent="0.25">
      <c r="D1101" t="s">
        <v>54</v>
      </c>
      <c r="E1101">
        <v>2013</v>
      </c>
      <c r="F1101" t="s">
        <v>19</v>
      </c>
      <c r="S1101">
        <v>0.85121825106565441</v>
      </c>
    </row>
    <row r="1102" spans="4:19" x14ac:dyDescent="0.25">
      <c r="D1102" t="s">
        <v>54</v>
      </c>
      <c r="E1102">
        <v>2014</v>
      </c>
      <c r="F1102" t="s">
        <v>19</v>
      </c>
      <c r="S1102">
        <v>0.9722045206443497</v>
      </c>
    </row>
    <row r="1103" spans="4:19" x14ac:dyDescent="0.25">
      <c r="D1103" t="s">
        <v>54</v>
      </c>
      <c r="E1103">
        <v>2015</v>
      </c>
      <c r="F1103" t="s">
        <v>19</v>
      </c>
      <c r="S1103">
        <v>0.93823602260701178</v>
      </c>
    </row>
    <row r="1104" spans="4:19" x14ac:dyDescent="0.25">
      <c r="D1104" t="s">
        <v>54</v>
      </c>
      <c r="E1104">
        <v>2013</v>
      </c>
      <c r="F1104" t="s">
        <v>20</v>
      </c>
      <c r="G1104">
        <v>0.86389876514890851</v>
      </c>
      <c r="H1104">
        <v>0.85124345216904851</v>
      </c>
      <c r="I1104">
        <v>0.75423575246896801</v>
      </c>
      <c r="J1104">
        <v>0.72477426141842727</v>
      </c>
      <c r="K1104">
        <v>0.76622504699668781</v>
      </c>
      <c r="L1104">
        <v>0.99570737878993265</v>
      </c>
      <c r="M1104">
        <v>0.99624044089374975</v>
      </c>
      <c r="N1104">
        <v>0.99943494118251397</v>
      </c>
      <c r="O1104">
        <v>0.99982567463914651</v>
      </c>
      <c r="P1104">
        <v>0.99863715656345398</v>
      </c>
      <c r="Q1104">
        <v>0.99397431551990356</v>
      </c>
      <c r="R1104">
        <v>0.99442275515895151</v>
      </c>
    </row>
    <row r="1105" spans="4:19" x14ac:dyDescent="0.25">
      <c r="D1105" t="s">
        <v>54</v>
      </c>
      <c r="E1105">
        <v>2014</v>
      </c>
      <c r="F1105" t="s">
        <v>20</v>
      </c>
      <c r="G1105">
        <v>0.99909005680251473</v>
      </c>
      <c r="H1105">
        <v>0.99916745095200177</v>
      </c>
      <c r="I1105">
        <v>0.99911407357408033</v>
      </c>
      <c r="J1105">
        <v>0.94255716521124633</v>
      </c>
      <c r="K1105">
        <v>0.83312462316219105</v>
      </c>
      <c r="L1105">
        <v>0.99271634912143536</v>
      </c>
      <c r="M1105">
        <v>0.99904383642247718</v>
      </c>
      <c r="N1105">
        <v>0.99894024618896227</v>
      </c>
      <c r="O1105">
        <v>0.85419556171983357</v>
      </c>
      <c r="P1105">
        <v>0.96060501675382837</v>
      </c>
      <c r="Q1105">
        <v>0.80667780845807291</v>
      </c>
      <c r="R1105">
        <v>0.94687528153998624</v>
      </c>
    </row>
    <row r="1106" spans="4:19" x14ac:dyDescent="0.25">
      <c r="D1106" t="s">
        <v>54</v>
      </c>
      <c r="E1106">
        <v>2015</v>
      </c>
      <c r="F1106" t="s">
        <v>20</v>
      </c>
      <c r="G1106">
        <v>0.91340266047297303</v>
      </c>
      <c r="H1106">
        <v>0.92151300236406619</v>
      </c>
      <c r="I1106">
        <v>0.86796204247627651</v>
      </c>
      <c r="J1106">
        <v>0.9337599678348858</v>
      </c>
      <c r="K1106">
        <v>0.92017757660167132</v>
      </c>
      <c r="L1106">
        <v>0.99824282027346112</v>
      </c>
      <c r="M1106">
        <v>0.99947419156953821</v>
      </c>
    </row>
    <row r="1107" spans="4:19" x14ac:dyDescent="0.25">
      <c r="D1107" t="s">
        <v>54</v>
      </c>
      <c r="E1107">
        <v>2013</v>
      </c>
      <c r="F1107" t="s">
        <v>21</v>
      </c>
      <c r="S1107">
        <v>0.95447699557887578</v>
      </c>
    </row>
    <row r="1108" spans="4:19" x14ac:dyDescent="0.25">
      <c r="D1108" t="s">
        <v>54</v>
      </c>
      <c r="E1108">
        <v>2014</v>
      </c>
      <c r="F1108" t="s">
        <v>21</v>
      </c>
      <c r="S1108">
        <v>0.9937047529115518</v>
      </c>
    </row>
    <row r="1109" spans="4:19" x14ac:dyDescent="0.25">
      <c r="D1109" t="s">
        <v>54</v>
      </c>
      <c r="E1109">
        <v>2015</v>
      </c>
      <c r="F1109" t="s">
        <v>21</v>
      </c>
      <c r="S1109">
        <v>0.95312032325650997</v>
      </c>
    </row>
    <row r="1110" spans="4:19" x14ac:dyDescent="0.25">
      <c r="D1110" t="s">
        <v>54</v>
      </c>
      <c r="E1110">
        <v>2013</v>
      </c>
      <c r="F1110" t="s">
        <v>22</v>
      </c>
      <c r="G1110">
        <v>0.93977103036336485</v>
      </c>
      <c r="H1110">
        <v>0.9140350877192982</v>
      </c>
      <c r="I1110">
        <v>0.94658342004856055</v>
      </c>
      <c r="J1110">
        <v>0.90810987573577506</v>
      </c>
      <c r="K1110">
        <v>0.97964997964997969</v>
      </c>
      <c r="L1110">
        <v>0.99649982499124956</v>
      </c>
      <c r="M1110">
        <v>0.99867986798679864</v>
      </c>
      <c r="N1110">
        <v>1</v>
      </c>
      <c r="O1110">
        <v>0.99928494815874147</v>
      </c>
      <c r="P1110">
        <v>0.99970828471411899</v>
      </c>
      <c r="Q1110">
        <v>0.9956675856636471</v>
      </c>
      <c r="R1110">
        <v>0.9298804780876494</v>
      </c>
    </row>
    <row r="1111" spans="4:19" x14ac:dyDescent="0.25">
      <c r="D1111" t="s">
        <v>54</v>
      </c>
      <c r="E1111">
        <v>2014</v>
      </c>
      <c r="F1111" t="s">
        <v>22</v>
      </c>
      <c r="G1111">
        <v>0.9971216118973375</v>
      </c>
      <c r="H1111">
        <v>0.99830909705782889</v>
      </c>
      <c r="I1111">
        <v>0.99652668140195766</v>
      </c>
      <c r="J1111">
        <v>0.98745874587458748</v>
      </c>
      <c r="K1111">
        <v>0.99223903764066745</v>
      </c>
      <c r="L1111">
        <v>0.99031633311814071</v>
      </c>
      <c r="M1111">
        <v>0.9925948781240358</v>
      </c>
      <c r="N1111">
        <v>0.9972559780478244</v>
      </c>
      <c r="O1111">
        <v>0.97009408602150538</v>
      </c>
      <c r="P1111">
        <v>0.99203069657615117</v>
      </c>
      <c r="Q1111">
        <v>0.99302093718843465</v>
      </c>
      <c r="R1111">
        <v>0.99191102123356922</v>
      </c>
    </row>
    <row r="1112" spans="4:19" x14ac:dyDescent="0.25">
      <c r="D1112" t="s">
        <v>54</v>
      </c>
      <c r="E1112">
        <v>2015</v>
      </c>
      <c r="F1112" t="s">
        <v>22</v>
      </c>
      <c r="G1112">
        <v>0.82173465889612618</v>
      </c>
      <c r="H1112">
        <v>0.98729521899030426</v>
      </c>
      <c r="I1112">
        <v>0.97871222076215503</v>
      </c>
      <c r="J1112">
        <v>0.98348519362186793</v>
      </c>
      <c r="K1112">
        <v>0.98964655480185648</v>
      </c>
      <c r="L1112">
        <v>0.99878758486905916</v>
      </c>
      <c r="M1112">
        <v>0.99945370117454246</v>
      </c>
    </row>
    <row r="1113" spans="4:19" x14ac:dyDescent="0.25">
      <c r="D1113" t="s">
        <v>54</v>
      </c>
      <c r="E1113">
        <v>2013</v>
      </c>
      <c r="F1113" t="s">
        <v>23</v>
      </c>
      <c r="S1113">
        <v>55769</v>
      </c>
    </row>
    <row r="1114" spans="4:19" x14ac:dyDescent="0.25">
      <c r="D1114" t="s">
        <v>54</v>
      </c>
      <c r="E1114">
        <v>2014</v>
      </c>
      <c r="F1114" t="s">
        <v>23</v>
      </c>
      <c r="S1114">
        <v>51283</v>
      </c>
    </row>
    <row r="1115" spans="4:19" x14ac:dyDescent="0.25">
      <c r="D1115" t="s">
        <v>54</v>
      </c>
      <c r="E1115">
        <v>2015</v>
      </c>
      <c r="F1115" t="s">
        <v>23</v>
      </c>
      <c r="S1115">
        <v>49841</v>
      </c>
    </row>
    <row r="1116" spans="4:19" x14ac:dyDescent="0.25">
      <c r="D1116" t="s">
        <v>54</v>
      </c>
      <c r="E1116">
        <v>2013</v>
      </c>
      <c r="F1116" t="s">
        <v>24</v>
      </c>
      <c r="G1116">
        <v>9401</v>
      </c>
      <c r="H1116">
        <v>9480</v>
      </c>
      <c r="I1116">
        <v>8598</v>
      </c>
      <c r="J1116">
        <v>7530</v>
      </c>
      <c r="K1116">
        <v>7381</v>
      </c>
      <c r="L1116">
        <v>6460</v>
      </c>
      <c r="M1116">
        <v>6919</v>
      </c>
      <c r="N1116">
        <v>7077</v>
      </c>
      <c r="O1116">
        <v>8662</v>
      </c>
      <c r="P1116">
        <v>7861</v>
      </c>
      <c r="Q1116">
        <v>7910</v>
      </c>
      <c r="R1116">
        <v>8032</v>
      </c>
    </row>
    <row r="1117" spans="4:19" x14ac:dyDescent="0.25">
      <c r="D1117" t="s">
        <v>54</v>
      </c>
      <c r="E1117">
        <v>2014</v>
      </c>
      <c r="F1117" t="s">
        <v>24</v>
      </c>
      <c r="G1117">
        <v>8869</v>
      </c>
      <c r="H1117">
        <v>8512</v>
      </c>
      <c r="I1117">
        <v>6830</v>
      </c>
      <c r="J1117">
        <v>6093</v>
      </c>
      <c r="K1117">
        <v>6507</v>
      </c>
      <c r="L1117">
        <v>6766</v>
      </c>
      <c r="M1117">
        <v>7706</v>
      </c>
      <c r="N1117">
        <v>8313</v>
      </c>
      <c r="O1117">
        <v>10578</v>
      </c>
      <c r="P1117">
        <v>8952</v>
      </c>
      <c r="Q1117">
        <v>7382</v>
      </c>
      <c r="R1117">
        <v>7908</v>
      </c>
    </row>
    <row r="1118" spans="4:19" x14ac:dyDescent="0.25">
      <c r="D1118" t="s">
        <v>54</v>
      </c>
      <c r="E1118">
        <v>2015</v>
      </c>
      <c r="F1118" t="s">
        <v>24</v>
      </c>
      <c r="G1118">
        <v>8430</v>
      </c>
      <c r="H1118">
        <v>7613</v>
      </c>
      <c r="I1118">
        <v>7643</v>
      </c>
      <c r="J1118">
        <v>6583</v>
      </c>
      <c r="K1118">
        <v>5606</v>
      </c>
      <c r="L1118">
        <v>6957</v>
      </c>
      <c r="M1118">
        <v>7009</v>
      </c>
    </row>
    <row r="1119" spans="4:19" x14ac:dyDescent="0.25">
      <c r="D1119" t="s">
        <v>54</v>
      </c>
      <c r="E1119">
        <v>2013</v>
      </c>
      <c r="F1119" t="s">
        <v>25</v>
      </c>
      <c r="S1119">
        <v>142309</v>
      </c>
    </row>
    <row r="1120" spans="4:19" x14ac:dyDescent="0.25">
      <c r="D1120" t="s">
        <v>54</v>
      </c>
      <c r="E1120">
        <v>2014</v>
      </c>
      <c r="F1120" t="s">
        <v>25</v>
      </c>
      <c r="S1120">
        <v>134415</v>
      </c>
    </row>
    <row r="1121" spans="4:19" x14ac:dyDescent="0.25">
      <c r="D1121" t="s">
        <v>54</v>
      </c>
      <c r="E1121">
        <v>2015</v>
      </c>
      <c r="F1121" t="s">
        <v>25</v>
      </c>
      <c r="S1121">
        <v>154780</v>
      </c>
    </row>
    <row r="1122" spans="4:19" x14ac:dyDescent="0.25">
      <c r="D1122" t="s">
        <v>54</v>
      </c>
      <c r="E1122">
        <v>2013</v>
      </c>
      <c r="F1122" t="s">
        <v>26</v>
      </c>
      <c r="G1122">
        <v>23510</v>
      </c>
      <c r="H1122">
        <v>18913</v>
      </c>
      <c r="I1122">
        <v>20747</v>
      </c>
      <c r="J1122">
        <v>19589</v>
      </c>
      <c r="K1122">
        <v>18627</v>
      </c>
      <c r="L1122">
        <v>19946</v>
      </c>
      <c r="M1122">
        <v>20977</v>
      </c>
      <c r="N1122">
        <v>19557</v>
      </c>
      <c r="O1122">
        <v>26062</v>
      </c>
      <c r="P1122">
        <v>27292</v>
      </c>
      <c r="Q1122">
        <v>21798</v>
      </c>
      <c r="R1122">
        <v>26709</v>
      </c>
    </row>
    <row r="1123" spans="4:19" x14ac:dyDescent="0.25">
      <c r="D1123" t="s">
        <v>54</v>
      </c>
      <c r="E1123">
        <v>2014</v>
      </c>
      <c r="F1123" t="s">
        <v>26</v>
      </c>
      <c r="G1123">
        <v>26169</v>
      </c>
      <c r="H1123">
        <v>20014</v>
      </c>
      <c r="I1123">
        <v>17920</v>
      </c>
      <c r="J1123">
        <v>16376</v>
      </c>
      <c r="K1123">
        <v>16094</v>
      </c>
      <c r="L1123">
        <v>18407</v>
      </c>
      <c r="M1123">
        <v>19435</v>
      </c>
      <c r="N1123">
        <v>20334</v>
      </c>
      <c r="O1123">
        <v>25360</v>
      </c>
      <c r="P1123">
        <v>24480</v>
      </c>
      <c r="Q1123">
        <v>25716</v>
      </c>
      <c r="R1123">
        <v>26368</v>
      </c>
    </row>
    <row r="1124" spans="4:19" x14ac:dyDescent="0.25">
      <c r="D1124" t="s">
        <v>54</v>
      </c>
      <c r="E1124">
        <v>2015</v>
      </c>
      <c r="F1124" t="s">
        <v>26</v>
      </c>
      <c r="G1124">
        <v>24784</v>
      </c>
      <c r="H1124">
        <v>21698</v>
      </c>
      <c r="I1124">
        <v>21340</v>
      </c>
      <c r="J1124">
        <v>20654</v>
      </c>
      <c r="K1124">
        <v>16433</v>
      </c>
      <c r="L1124">
        <v>24241</v>
      </c>
      <c r="M1124">
        <v>25630</v>
      </c>
    </row>
    <row r="1125" spans="4:19" x14ac:dyDescent="0.25">
      <c r="D1125" t="s">
        <v>54</v>
      </c>
      <c r="E1125">
        <v>2013</v>
      </c>
      <c r="F1125" t="s">
        <v>27</v>
      </c>
      <c r="S1125">
        <v>248255</v>
      </c>
    </row>
    <row r="1126" spans="4:19" x14ac:dyDescent="0.25">
      <c r="D1126" t="s">
        <v>54</v>
      </c>
      <c r="E1126">
        <v>2014</v>
      </c>
      <c r="F1126" t="s">
        <v>27</v>
      </c>
      <c r="S1126">
        <v>233770</v>
      </c>
    </row>
    <row r="1127" spans="4:19" x14ac:dyDescent="0.25">
      <c r="D1127" t="s">
        <v>54</v>
      </c>
      <c r="E1127">
        <v>2015</v>
      </c>
      <c r="F1127" t="s">
        <v>27</v>
      </c>
      <c r="S1127">
        <v>267982</v>
      </c>
    </row>
    <row r="1128" spans="4:19" x14ac:dyDescent="0.25">
      <c r="D1128" t="s">
        <v>54</v>
      </c>
      <c r="E1128">
        <v>2013</v>
      </c>
      <c r="F1128" t="s">
        <v>28</v>
      </c>
      <c r="G1128">
        <v>41053</v>
      </c>
      <c r="H1128">
        <v>33339</v>
      </c>
      <c r="I1128">
        <v>35651</v>
      </c>
      <c r="J1128">
        <v>33797</v>
      </c>
      <c r="K1128">
        <v>31148</v>
      </c>
      <c r="L1128">
        <v>35564</v>
      </c>
      <c r="M1128">
        <v>37703</v>
      </c>
      <c r="N1128">
        <v>33568</v>
      </c>
      <c r="O1128">
        <v>43864</v>
      </c>
      <c r="P1128">
        <v>49218</v>
      </c>
      <c r="Q1128">
        <v>38587</v>
      </c>
      <c r="R1128">
        <v>44010</v>
      </c>
    </row>
    <row r="1129" spans="4:19" x14ac:dyDescent="0.25">
      <c r="D1129" t="s">
        <v>54</v>
      </c>
      <c r="E1129">
        <v>2014</v>
      </c>
      <c r="F1129" t="s">
        <v>28</v>
      </c>
      <c r="G1129">
        <v>45603</v>
      </c>
      <c r="H1129">
        <v>35743</v>
      </c>
      <c r="I1129">
        <v>31610</v>
      </c>
      <c r="J1129">
        <v>28486</v>
      </c>
      <c r="K1129">
        <v>27258</v>
      </c>
      <c r="L1129">
        <v>30700</v>
      </c>
      <c r="M1129">
        <v>34370</v>
      </c>
      <c r="N1129">
        <v>33461</v>
      </c>
      <c r="O1129">
        <v>42812</v>
      </c>
      <c r="P1129">
        <v>42764</v>
      </c>
      <c r="Q1129">
        <v>41387</v>
      </c>
      <c r="R1129">
        <v>45921</v>
      </c>
    </row>
    <row r="1130" spans="4:19" x14ac:dyDescent="0.25">
      <c r="D1130" t="s">
        <v>54</v>
      </c>
      <c r="E1130">
        <v>2015</v>
      </c>
      <c r="F1130" t="s">
        <v>28</v>
      </c>
      <c r="G1130">
        <v>42851</v>
      </c>
      <c r="H1130">
        <v>38490</v>
      </c>
      <c r="I1130">
        <v>38381</v>
      </c>
      <c r="J1130">
        <v>36026</v>
      </c>
      <c r="K1130">
        <v>27308</v>
      </c>
      <c r="L1130">
        <v>41508</v>
      </c>
      <c r="M1130">
        <v>43418</v>
      </c>
    </row>
    <row r="1131" spans="4:19" x14ac:dyDescent="0.25">
      <c r="D1131" t="s">
        <v>54</v>
      </c>
      <c r="E1131">
        <v>2013</v>
      </c>
      <c r="F1131" t="s">
        <v>29</v>
      </c>
      <c r="S1131">
        <v>24384</v>
      </c>
    </row>
    <row r="1132" spans="4:19" x14ac:dyDescent="0.25">
      <c r="D1132" t="s">
        <v>54</v>
      </c>
      <c r="E1132">
        <v>2014</v>
      </c>
      <c r="F1132" t="s">
        <v>29</v>
      </c>
      <c r="S1132">
        <v>24970</v>
      </c>
    </row>
    <row r="1133" spans="4:19" x14ac:dyDescent="0.25">
      <c r="D1133" t="s">
        <v>54</v>
      </c>
      <c r="E1133">
        <v>2015</v>
      </c>
      <c r="F1133" t="s">
        <v>29</v>
      </c>
      <c r="S1133">
        <v>22570</v>
      </c>
    </row>
    <row r="1134" spans="4:19" x14ac:dyDescent="0.25">
      <c r="D1134" t="s">
        <v>54</v>
      </c>
      <c r="E1134">
        <v>2013</v>
      </c>
      <c r="F1134" t="s">
        <v>30</v>
      </c>
      <c r="G1134">
        <v>4173</v>
      </c>
      <c r="H1134">
        <v>3774</v>
      </c>
      <c r="I1134">
        <v>3817</v>
      </c>
      <c r="J1134">
        <v>3286</v>
      </c>
      <c r="K1134">
        <v>3348</v>
      </c>
      <c r="L1134">
        <v>2774</v>
      </c>
      <c r="M1134">
        <v>3212</v>
      </c>
      <c r="N1134">
        <v>2918</v>
      </c>
      <c r="O1134">
        <v>4686</v>
      </c>
      <c r="P1134">
        <v>4283</v>
      </c>
      <c r="Q1134">
        <v>3629</v>
      </c>
      <c r="R1134">
        <v>3634</v>
      </c>
    </row>
    <row r="1135" spans="4:19" x14ac:dyDescent="0.25">
      <c r="D1135" t="s">
        <v>54</v>
      </c>
      <c r="E1135">
        <v>2014</v>
      </c>
      <c r="F1135" t="s">
        <v>30</v>
      </c>
      <c r="G1135">
        <v>4475</v>
      </c>
      <c r="H1135">
        <v>4122</v>
      </c>
      <c r="I1135">
        <v>3660</v>
      </c>
      <c r="J1135">
        <v>3420</v>
      </c>
      <c r="K1135">
        <v>3015</v>
      </c>
      <c r="L1135">
        <v>3427</v>
      </c>
      <c r="M1135">
        <v>2851</v>
      </c>
      <c r="N1135">
        <v>3058</v>
      </c>
      <c r="O1135">
        <v>4253</v>
      </c>
      <c r="P1135">
        <v>3469</v>
      </c>
      <c r="Q1135">
        <v>3014</v>
      </c>
      <c r="R1135">
        <v>3444</v>
      </c>
    </row>
    <row r="1136" spans="4:19" x14ac:dyDescent="0.25">
      <c r="D1136" t="s">
        <v>54</v>
      </c>
      <c r="E1136">
        <v>2015</v>
      </c>
      <c r="F1136" t="s">
        <v>30</v>
      </c>
      <c r="G1136">
        <v>3822</v>
      </c>
      <c r="H1136">
        <v>3435</v>
      </c>
      <c r="I1136">
        <v>3692</v>
      </c>
      <c r="J1136">
        <v>3051</v>
      </c>
      <c r="K1136">
        <v>2514</v>
      </c>
      <c r="L1136">
        <v>3207</v>
      </c>
      <c r="M1136">
        <v>2849</v>
      </c>
    </row>
    <row r="1137" spans="4:19" x14ac:dyDescent="0.25">
      <c r="D1137" t="s">
        <v>54</v>
      </c>
      <c r="E1137">
        <v>2013</v>
      </c>
      <c r="F1137" t="s">
        <v>31</v>
      </c>
      <c r="S1137">
        <v>0.89133748139647473</v>
      </c>
    </row>
    <row r="1138" spans="4:19" x14ac:dyDescent="0.25">
      <c r="D1138" t="s">
        <v>54</v>
      </c>
      <c r="E1138">
        <v>2014</v>
      </c>
      <c r="F1138" t="s">
        <v>31</v>
      </c>
      <c r="S1138">
        <v>0.94520601368874679</v>
      </c>
    </row>
    <row r="1139" spans="4:19" x14ac:dyDescent="0.25">
      <c r="D1139" t="s">
        <v>54</v>
      </c>
      <c r="E1139">
        <v>2015</v>
      </c>
      <c r="F1139" t="s">
        <v>31</v>
      </c>
      <c r="S1139">
        <v>0.92132982885576131</v>
      </c>
    </row>
    <row r="1140" spans="4:19" x14ac:dyDescent="0.25">
      <c r="D1140" t="s">
        <v>54</v>
      </c>
      <c r="E1140">
        <v>2013</v>
      </c>
      <c r="F1140" t="s">
        <v>32</v>
      </c>
      <c r="G1140">
        <v>0.85267524731411548</v>
      </c>
      <c r="H1140">
        <v>0.84535864978902953</v>
      </c>
      <c r="I1140">
        <v>0.88718306582926265</v>
      </c>
      <c r="J1140">
        <v>0.899867197875166</v>
      </c>
      <c r="K1140">
        <v>0.92738111367023435</v>
      </c>
      <c r="L1140">
        <v>0.89551083591331271</v>
      </c>
      <c r="M1140">
        <v>0.96039890157537211</v>
      </c>
      <c r="N1140">
        <v>0.93175074183976259</v>
      </c>
      <c r="O1140">
        <v>0.95139690602632188</v>
      </c>
      <c r="P1140">
        <v>0.96641648645210532</v>
      </c>
      <c r="Q1140">
        <v>0.92616940581542351</v>
      </c>
      <c r="R1140">
        <v>0.94870517928286857</v>
      </c>
    </row>
    <row r="1141" spans="4:19" x14ac:dyDescent="0.25">
      <c r="D1141" t="s">
        <v>54</v>
      </c>
      <c r="E1141">
        <v>2014</v>
      </c>
      <c r="F1141" t="s">
        <v>32</v>
      </c>
      <c r="G1141">
        <v>0.95343330702446727</v>
      </c>
      <c r="H1141">
        <v>0.90707236842105265</v>
      </c>
      <c r="I1141">
        <v>0.96398243045387999</v>
      </c>
      <c r="J1141">
        <v>0.95946167733464627</v>
      </c>
      <c r="K1141">
        <v>0.93806669740279702</v>
      </c>
      <c r="L1141">
        <v>0.96438072716523793</v>
      </c>
      <c r="M1141">
        <v>0.93913833376589673</v>
      </c>
      <c r="N1141">
        <v>0.92084686635390356</v>
      </c>
      <c r="O1141">
        <v>0.94082057099640759</v>
      </c>
      <c r="P1141">
        <v>0.93599195710455763</v>
      </c>
      <c r="Q1141">
        <v>0.94513681929016524</v>
      </c>
      <c r="R1141">
        <v>0.9471421345472939</v>
      </c>
    </row>
    <row r="1142" spans="4:19" x14ac:dyDescent="0.25">
      <c r="D1142" t="s">
        <v>54</v>
      </c>
      <c r="E1142">
        <v>2015</v>
      </c>
      <c r="F1142" t="s">
        <v>32</v>
      </c>
      <c r="G1142">
        <v>0.94234875444839861</v>
      </c>
      <c r="H1142">
        <v>0.92985682385393409</v>
      </c>
      <c r="I1142">
        <v>0.90370273452832661</v>
      </c>
      <c r="J1142">
        <v>0.92116056509190336</v>
      </c>
      <c r="K1142">
        <v>0.92686407420620764</v>
      </c>
      <c r="L1142">
        <v>0.90771884432945238</v>
      </c>
      <c r="M1142">
        <v>0.91525181908974174</v>
      </c>
    </row>
    <row r="1143" spans="4:19" x14ac:dyDescent="0.25">
      <c r="D1143" t="s">
        <v>54</v>
      </c>
      <c r="E1143">
        <v>2013</v>
      </c>
      <c r="F1143" t="s">
        <v>33</v>
      </c>
      <c r="S1143">
        <v>0.92009061305394313</v>
      </c>
    </row>
    <row r="1144" spans="4:19" x14ac:dyDescent="0.25">
      <c r="D1144" t="s">
        <v>54</v>
      </c>
      <c r="E1144">
        <v>2014</v>
      </c>
      <c r="F1144" t="s">
        <v>33</v>
      </c>
      <c r="S1144">
        <v>0.9241316547853784</v>
      </c>
    </row>
    <row r="1145" spans="4:19" x14ac:dyDescent="0.25">
      <c r="D1145" t="s">
        <v>54</v>
      </c>
      <c r="E1145">
        <v>2015</v>
      </c>
      <c r="F1145" t="s">
        <v>33</v>
      </c>
      <c r="S1145">
        <v>0.94924856667910573</v>
      </c>
    </row>
    <row r="1146" spans="4:19" x14ac:dyDescent="0.25">
      <c r="D1146" t="s">
        <v>54</v>
      </c>
      <c r="E1146">
        <v>2013</v>
      </c>
      <c r="F1146" t="s">
        <v>34</v>
      </c>
      <c r="G1146">
        <v>0.85264614320304388</v>
      </c>
      <c r="H1146">
        <v>0.84868310686126491</v>
      </c>
      <c r="I1146">
        <v>0.92646536412078151</v>
      </c>
      <c r="J1146">
        <v>0.9527737677871726</v>
      </c>
      <c r="K1146">
        <v>0.97032011871952517</v>
      </c>
      <c r="L1146">
        <v>0.968017578125</v>
      </c>
      <c r="M1146">
        <v>0.96401869158878506</v>
      </c>
      <c r="N1146">
        <v>0.88557213930348255</v>
      </c>
      <c r="O1146">
        <v>0.92423969767860359</v>
      </c>
      <c r="P1146">
        <v>0.94802126402835207</v>
      </c>
      <c r="Q1146">
        <v>0.88310648518815049</v>
      </c>
      <c r="R1146">
        <v>0.92113323124042878</v>
      </c>
    </row>
    <row r="1147" spans="4:19" x14ac:dyDescent="0.25">
      <c r="D1147" t="s">
        <v>54</v>
      </c>
      <c r="E1147">
        <v>2014</v>
      </c>
      <c r="F1147" t="s">
        <v>34</v>
      </c>
      <c r="G1147">
        <v>0.93008295242932115</v>
      </c>
      <c r="H1147">
        <v>0.86176162181055571</v>
      </c>
      <c r="I1147">
        <v>0.94490481522956327</v>
      </c>
      <c r="J1147">
        <v>0.94055354993983153</v>
      </c>
      <c r="K1147">
        <v>0.90731370745170192</v>
      </c>
      <c r="L1147">
        <v>0.94535147392290253</v>
      </c>
      <c r="M1147">
        <v>0.95957554320363825</v>
      </c>
      <c r="N1147">
        <v>0.98073270013568525</v>
      </c>
      <c r="O1147">
        <v>0.97029034436191763</v>
      </c>
      <c r="P1147">
        <v>0.98484848484848486</v>
      </c>
      <c r="Q1147">
        <v>0.9857938718662953</v>
      </c>
      <c r="R1147">
        <v>0.987143937484245</v>
      </c>
    </row>
    <row r="1148" spans="4:19" x14ac:dyDescent="0.25">
      <c r="D1148" t="s">
        <v>54</v>
      </c>
      <c r="E1148">
        <v>2015</v>
      </c>
      <c r="F1148" t="s">
        <v>34</v>
      </c>
      <c r="G1148">
        <v>0.97347926752262681</v>
      </c>
      <c r="H1148">
        <v>0.95524017467248912</v>
      </c>
      <c r="I1148">
        <v>0.92785054756280871</v>
      </c>
      <c r="J1148">
        <v>0.95076444674786209</v>
      </c>
      <c r="K1148">
        <v>0.9618786215309546</v>
      </c>
      <c r="L1148">
        <v>0.93549905838041436</v>
      </c>
      <c r="M1148">
        <v>0.94150621496466003</v>
      </c>
    </row>
    <row r="1149" spans="4:19" x14ac:dyDescent="0.25">
      <c r="D1149" t="s">
        <v>55</v>
      </c>
      <c r="E1149">
        <v>2013</v>
      </c>
      <c r="F1149" t="s">
        <v>17</v>
      </c>
      <c r="S1149">
        <v>0.99169859514687098</v>
      </c>
    </row>
    <row r="1150" spans="4:19" x14ac:dyDescent="0.25">
      <c r="D1150" t="s">
        <v>55</v>
      </c>
      <c r="E1150">
        <v>2014</v>
      </c>
      <c r="F1150" t="s">
        <v>17</v>
      </c>
      <c r="S1150">
        <v>0.99596254617300917</v>
      </c>
    </row>
    <row r="1151" spans="4:19" x14ac:dyDescent="0.25">
      <c r="D1151" t="s">
        <v>55</v>
      </c>
      <c r="E1151">
        <v>2015</v>
      </c>
      <c r="F1151" t="s">
        <v>17</v>
      </c>
      <c r="S1151">
        <v>0.99323337552331803</v>
      </c>
    </row>
    <row r="1152" spans="4:19" x14ac:dyDescent="0.25">
      <c r="D1152" t="s">
        <v>55</v>
      </c>
      <c r="E1152">
        <v>2013</v>
      </c>
      <c r="F1152" t="s">
        <v>18</v>
      </c>
      <c r="G1152">
        <v>0.98033159947984394</v>
      </c>
      <c r="H1152">
        <v>0.99595227950575205</v>
      </c>
      <c r="I1152">
        <v>0.99370949294700728</v>
      </c>
      <c r="J1152">
        <v>0.98981624972326765</v>
      </c>
      <c r="K1152">
        <v>0.99498997995991989</v>
      </c>
      <c r="L1152">
        <v>0.99715989775631919</v>
      </c>
      <c r="M1152">
        <v>0.99656035021888678</v>
      </c>
      <c r="N1152">
        <v>0.97424641498390396</v>
      </c>
      <c r="O1152">
        <v>0.99291746118223922</v>
      </c>
      <c r="P1152">
        <v>0.99584859584859586</v>
      </c>
      <c r="Q1152">
        <v>0.99179879715691632</v>
      </c>
      <c r="R1152">
        <v>0.99546778892845578</v>
      </c>
    </row>
    <row r="1153" spans="4:19" x14ac:dyDescent="0.25">
      <c r="D1153" t="s">
        <v>55</v>
      </c>
      <c r="E1153">
        <v>2014</v>
      </c>
      <c r="F1153" t="s">
        <v>18</v>
      </c>
      <c r="G1153">
        <v>0.99350336862367661</v>
      </c>
      <c r="H1153">
        <v>0.99523922875505832</v>
      </c>
      <c r="I1153">
        <v>0.9972580202906498</v>
      </c>
      <c r="J1153">
        <v>0.99781727471156845</v>
      </c>
      <c r="K1153">
        <v>0.99417122040072858</v>
      </c>
      <c r="L1153">
        <v>0.9959244164505372</v>
      </c>
      <c r="M1153">
        <v>0.99885801294251997</v>
      </c>
      <c r="N1153">
        <v>0.98673633440514474</v>
      </c>
      <c r="O1153">
        <v>0.99053452115812912</v>
      </c>
      <c r="P1153">
        <v>0.99194532584818162</v>
      </c>
      <c r="Q1153">
        <v>0.9958579881656805</v>
      </c>
      <c r="R1153">
        <v>0.99071702944942386</v>
      </c>
    </row>
    <row r="1154" spans="4:19" x14ac:dyDescent="0.25">
      <c r="D1154" t="s">
        <v>55</v>
      </c>
      <c r="E1154">
        <v>2015</v>
      </c>
      <c r="F1154" t="s">
        <v>18</v>
      </c>
      <c r="G1154">
        <v>0.99580771380659583</v>
      </c>
      <c r="H1154">
        <v>0.99638429752066116</v>
      </c>
      <c r="I1154">
        <v>0.99435699435699432</v>
      </c>
      <c r="J1154">
        <v>0.9896013864818024</v>
      </c>
      <c r="K1154">
        <v>0.99089108910891088</v>
      </c>
      <c r="L1154">
        <v>0.99083619702176406</v>
      </c>
      <c r="M1154">
        <v>0.99174528301886788</v>
      </c>
    </row>
    <row r="1155" spans="4:19" x14ac:dyDescent="0.25">
      <c r="D1155" t="s">
        <v>55</v>
      </c>
      <c r="E1155">
        <v>2013</v>
      </c>
      <c r="F1155" t="s">
        <v>19</v>
      </c>
      <c r="S1155">
        <v>0.87693822298794</v>
      </c>
    </row>
    <row r="1156" spans="4:19" x14ac:dyDescent="0.25">
      <c r="D1156" t="s">
        <v>55</v>
      </c>
      <c r="E1156">
        <v>2014</v>
      </c>
      <c r="F1156" t="s">
        <v>19</v>
      </c>
      <c r="S1156">
        <v>0.99346692472173159</v>
      </c>
    </row>
    <row r="1157" spans="4:19" x14ac:dyDescent="0.25">
      <c r="D1157" t="s">
        <v>55</v>
      </c>
      <c r="E1157">
        <v>2015</v>
      </c>
      <c r="F1157" t="s">
        <v>19</v>
      </c>
      <c r="S1157">
        <v>0.96731029446508732</v>
      </c>
    </row>
    <row r="1158" spans="4:19" x14ac:dyDescent="0.25">
      <c r="D1158" t="s">
        <v>55</v>
      </c>
      <c r="E1158">
        <v>2013</v>
      </c>
      <c r="F1158" t="s">
        <v>20</v>
      </c>
      <c r="G1158">
        <v>0.86156916290305641</v>
      </c>
      <c r="H1158">
        <v>0.83929948232184159</v>
      </c>
      <c r="I1158">
        <v>0.86261699855518559</v>
      </c>
      <c r="J1158">
        <v>0.83035535033125873</v>
      </c>
      <c r="K1158">
        <v>0.7749430523917995</v>
      </c>
      <c r="L1158">
        <v>0.98989556489895569</v>
      </c>
      <c r="M1158">
        <v>0.99191138963783432</v>
      </c>
      <c r="N1158">
        <v>0.99608170070862856</v>
      </c>
      <c r="O1158">
        <v>0.9907081514852879</v>
      </c>
      <c r="P1158">
        <v>0.9979042504420722</v>
      </c>
      <c r="Q1158">
        <v>0.98407810247673966</v>
      </c>
      <c r="R1158">
        <v>0.95535290706868381</v>
      </c>
    </row>
    <row r="1159" spans="4:19" x14ac:dyDescent="0.25">
      <c r="D1159" t="s">
        <v>55</v>
      </c>
      <c r="E1159">
        <v>2014</v>
      </c>
      <c r="F1159" t="s">
        <v>20</v>
      </c>
      <c r="G1159">
        <v>0.99599878444084278</v>
      </c>
      <c r="H1159">
        <v>0.99518793776399506</v>
      </c>
      <c r="I1159">
        <v>0.99060106753307031</v>
      </c>
      <c r="J1159">
        <v>0.99739936680235186</v>
      </c>
      <c r="K1159">
        <v>0.98587626815197926</v>
      </c>
      <c r="L1159">
        <v>0.99528470386511392</v>
      </c>
      <c r="M1159">
        <v>0.99262852822580649</v>
      </c>
      <c r="N1159">
        <v>0.98670212765957444</v>
      </c>
      <c r="O1159">
        <v>0.99227320986197942</v>
      </c>
      <c r="P1159">
        <v>0.99186071582578694</v>
      </c>
      <c r="Q1159">
        <v>0.98754733936709671</v>
      </c>
      <c r="R1159">
        <v>0.99679438253701724</v>
      </c>
    </row>
    <row r="1160" spans="4:19" x14ac:dyDescent="0.25">
      <c r="D1160" t="s">
        <v>55</v>
      </c>
      <c r="E1160">
        <v>2015</v>
      </c>
      <c r="F1160" t="s">
        <v>20</v>
      </c>
      <c r="G1160">
        <v>0.99432282306812614</v>
      </c>
      <c r="H1160">
        <v>0.99575058149937379</v>
      </c>
      <c r="I1160">
        <v>0.965466827989514</v>
      </c>
      <c r="J1160">
        <v>0.90635911543751979</v>
      </c>
      <c r="K1160">
        <v>0.94256689462851073</v>
      </c>
      <c r="L1160">
        <v>0.955719557195572</v>
      </c>
      <c r="M1160">
        <v>0.99636961824266834</v>
      </c>
    </row>
    <row r="1161" spans="4:19" x14ac:dyDescent="0.25">
      <c r="D1161" t="s">
        <v>55</v>
      </c>
      <c r="E1161">
        <v>2013</v>
      </c>
      <c r="F1161" t="s">
        <v>21</v>
      </c>
      <c r="S1161">
        <v>0.97455078841217457</v>
      </c>
    </row>
    <row r="1162" spans="4:19" x14ac:dyDescent="0.25">
      <c r="D1162" t="s">
        <v>55</v>
      </c>
      <c r="E1162">
        <v>2014</v>
      </c>
      <c r="F1162" t="s">
        <v>21</v>
      </c>
      <c r="S1162">
        <v>0.99447037701974861</v>
      </c>
    </row>
    <row r="1163" spans="4:19" x14ac:dyDescent="0.25">
      <c r="D1163" t="s">
        <v>55</v>
      </c>
      <c r="E1163">
        <v>2015</v>
      </c>
      <c r="F1163" t="s">
        <v>21</v>
      </c>
      <c r="S1163">
        <v>0.96600023943493352</v>
      </c>
    </row>
    <row r="1164" spans="4:19" x14ac:dyDescent="0.25">
      <c r="D1164" t="s">
        <v>55</v>
      </c>
      <c r="E1164">
        <v>2013</v>
      </c>
      <c r="F1164" t="s">
        <v>22</v>
      </c>
      <c r="G1164">
        <v>0.98776619845944724</v>
      </c>
      <c r="H1164">
        <v>0.94135802469135799</v>
      </c>
      <c r="I1164">
        <v>0.96896217264791462</v>
      </c>
      <c r="J1164">
        <v>0.97706879361914256</v>
      </c>
      <c r="K1164">
        <v>0.96710942441492731</v>
      </c>
      <c r="L1164">
        <v>0.98733509234828498</v>
      </c>
      <c r="M1164">
        <v>0.98969072164948457</v>
      </c>
      <c r="N1164">
        <v>0.99573863636363635</v>
      </c>
      <c r="O1164">
        <v>0.98996655518394649</v>
      </c>
      <c r="P1164">
        <v>0.99004267425320058</v>
      </c>
      <c r="Q1164">
        <v>0.97391304347826091</v>
      </c>
      <c r="R1164">
        <v>0.98271889400921664</v>
      </c>
    </row>
    <row r="1165" spans="4:19" x14ac:dyDescent="0.25">
      <c r="D1165" t="s">
        <v>55</v>
      </c>
      <c r="E1165">
        <v>2014</v>
      </c>
      <c r="F1165" t="s">
        <v>22</v>
      </c>
      <c r="G1165">
        <v>0.99835661462612979</v>
      </c>
      <c r="H1165">
        <v>0.98717948717948723</v>
      </c>
      <c r="I1165">
        <v>0.99038461538461542</v>
      </c>
      <c r="J1165">
        <v>0.99600798403193613</v>
      </c>
      <c r="K1165">
        <v>0.99620801733477793</v>
      </c>
      <c r="L1165">
        <v>0.99439775910364148</v>
      </c>
      <c r="M1165">
        <v>0.99715909090909094</v>
      </c>
      <c r="N1165">
        <v>0.99512591389114546</v>
      </c>
      <c r="O1165">
        <v>0.9974811083123426</v>
      </c>
      <c r="P1165">
        <v>0.99688311688311693</v>
      </c>
      <c r="Q1165">
        <v>0.99053414469235967</v>
      </c>
      <c r="R1165">
        <v>0.99252491694352163</v>
      </c>
    </row>
    <row r="1166" spans="4:19" x14ac:dyDescent="0.25">
      <c r="D1166" t="s">
        <v>55</v>
      </c>
      <c r="E1166">
        <v>2015</v>
      </c>
      <c r="F1166" t="s">
        <v>22</v>
      </c>
      <c r="G1166">
        <v>0.96715867158671587</v>
      </c>
      <c r="H1166">
        <v>0.99249178789300796</v>
      </c>
      <c r="I1166">
        <v>0.95081266039349877</v>
      </c>
      <c r="J1166">
        <v>0.93656093489148584</v>
      </c>
      <c r="K1166">
        <v>0.93620253164556966</v>
      </c>
      <c r="L1166">
        <v>0.97409955483609878</v>
      </c>
      <c r="M1166">
        <v>0.99776536312849162</v>
      </c>
    </row>
    <row r="1167" spans="4:19" x14ac:dyDescent="0.25">
      <c r="D1167" t="s">
        <v>55</v>
      </c>
      <c r="E1167">
        <v>2013</v>
      </c>
      <c r="F1167" t="s">
        <v>23</v>
      </c>
      <c r="S1167">
        <v>31486</v>
      </c>
    </row>
    <row r="1168" spans="4:19" x14ac:dyDescent="0.25">
      <c r="D1168" t="s">
        <v>55</v>
      </c>
      <c r="E1168">
        <v>2014</v>
      </c>
      <c r="F1168" t="s">
        <v>23</v>
      </c>
      <c r="S1168">
        <v>28559</v>
      </c>
    </row>
    <row r="1169" spans="4:19" x14ac:dyDescent="0.25">
      <c r="D1169" t="s">
        <v>55</v>
      </c>
      <c r="E1169">
        <v>2015</v>
      </c>
      <c r="F1169" t="s">
        <v>23</v>
      </c>
      <c r="S1169">
        <v>23549</v>
      </c>
    </row>
    <row r="1170" spans="4:19" x14ac:dyDescent="0.25">
      <c r="D1170" t="s">
        <v>55</v>
      </c>
      <c r="E1170">
        <v>2013</v>
      </c>
      <c r="F1170" t="s">
        <v>24</v>
      </c>
      <c r="G1170">
        <v>6284</v>
      </c>
      <c r="H1170">
        <v>7059</v>
      </c>
      <c r="I1170">
        <v>4602</v>
      </c>
      <c r="J1170">
        <v>3174</v>
      </c>
      <c r="K1170">
        <v>3533</v>
      </c>
      <c r="L1170">
        <v>3276</v>
      </c>
      <c r="M1170">
        <v>3558</v>
      </c>
      <c r="N1170">
        <v>3562</v>
      </c>
      <c r="O1170">
        <v>3301</v>
      </c>
      <c r="P1170">
        <v>3219</v>
      </c>
      <c r="Q1170">
        <v>3165</v>
      </c>
      <c r="R1170">
        <v>3557</v>
      </c>
    </row>
    <row r="1171" spans="4:19" x14ac:dyDescent="0.25">
      <c r="D1171" t="s">
        <v>55</v>
      </c>
      <c r="E1171">
        <v>2014</v>
      </c>
      <c r="F1171" t="s">
        <v>24</v>
      </c>
      <c r="G1171">
        <v>4945</v>
      </c>
      <c r="H1171">
        <v>5004</v>
      </c>
      <c r="I1171">
        <v>4235</v>
      </c>
      <c r="J1171">
        <v>3763</v>
      </c>
      <c r="K1171">
        <v>3797</v>
      </c>
      <c r="L1171">
        <v>3293</v>
      </c>
      <c r="M1171">
        <v>3522</v>
      </c>
      <c r="N1171">
        <v>3241</v>
      </c>
      <c r="O1171">
        <v>4141</v>
      </c>
      <c r="P1171">
        <v>3806</v>
      </c>
      <c r="Q1171">
        <v>3630</v>
      </c>
      <c r="R1171">
        <v>3750</v>
      </c>
    </row>
    <row r="1172" spans="4:19" x14ac:dyDescent="0.25">
      <c r="D1172" t="s">
        <v>55</v>
      </c>
      <c r="E1172">
        <v>2015</v>
      </c>
      <c r="F1172" t="s">
        <v>24</v>
      </c>
      <c r="G1172">
        <v>3810</v>
      </c>
      <c r="H1172">
        <v>3936</v>
      </c>
      <c r="I1172">
        <v>3552</v>
      </c>
      <c r="J1172">
        <v>3219</v>
      </c>
      <c r="K1172">
        <v>2817</v>
      </c>
      <c r="L1172">
        <v>3005</v>
      </c>
      <c r="M1172">
        <v>3210</v>
      </c>
    </row>
    <row r="1173" spans="4:19" x14ac:dyDescent="0.25">
      <c r="D1173" t="s">
        <v>55</v>
      </c>
      <c r="E1173">
        <v>2013</v>
      </c>
      <c r="F1173" t="s">
        <v>25</v>
      </c>
      <c r="S1173">
        <v>74460</v>
      </c>
    </row>
    <row r="1174" spans="4:19" x14ac:dyDescent="0.25">
      <c r="D1174" t="s">
        <v>55</v>
      </c>
      <c r="E1174">
        <v>2014</v>
      </c>
      <c r="F1174" t="s">
        <v>25</v>
      </c>
      <c r="S1174">
        <v>78102</v>
      </c>
    </row>
    <row r="1175" spans="4:19" x14ac:dyDescent="0.25">
      <c r="D1175" t="s">
        <v>55</v>
      </c>
      <c r="E1175">
        <v>2015</v>
      </c>
      <c r="F1175" t="s">
        <v>25</v>
      </c>
      <c r="S1175">
        <v>87656</v>
      </c>
    </row>
    <row r="1176" spans="4:19" x14ac:dyDescent="0.25">
      <c r="D1176" t="s">
        <v>55</v>
      </c>
      <c r="E1176">
        <v>2013</v>
      </c>
      <c r="F1176" t="s">
        <v>26</v>
      </c>
      <c r="G1176">
        <v>14031</v>
      </c>
      <c r="H1176">
        <v>11750</v>
      </c>
      <c r="I1176">
        <v>10731</v>
      </c>
      <c r="J1176">
        <v>9727</v>
      </c>
      <c r="K1176">
        <v>8354</v>
      </c>
      <c r="L1176">
        <v>9988</v>
      </c>
      <c r="M1176">
        <v>9879</v>
      </c>
      <c r="N1176">
        <v>9890</v>
      </c>
      <c r="O1176">
        <v>11008</v>
      </c>
      <c r="P1176">
        <v>29893</v>
      </c>
      <c r="Q1176">
        <v>14124</v>
      </c>
      <c r="R1176">
        <v>14777</v>
      </c>
    </row>
    <row r="1177" spans="4:19" x14ac:dyDescent="0.25">
      <c r="D1177" t="s">
        <v>55</v>
      </c>
      <c r="E1177">
        <v>2014</v>
      </c>
      <c r="F1177" t="s">
        <v>26</v>
      </c>
      <c r="G1177">
        <v>14146</v>
      </c>
      <c r="H1177">
        <v>12404</v>
      </c>
      <c r="I1177">
        <v>11478</v>
      </c>
      <c r="J1177">
        <v>11271</v>
      </c>
      <c r="K1177">
        <v>9602</v>
      </c>
      <c r="L1177">
        <v>8825</v>
      </c>
      <c r="M1177">
        <v>10376</v>
      </c>
      <c r="N1177">
        <v>9830</v>
      </c>
      <c r="O1177">
        <v>12273</v>
      </c>
      <c r="P1177">
        <v>14068</v>
      </c>
      <c r="Q1177">
        <v>12183</v>
      </c>
      <c r="R1177">
        <v>17326</v>
      </c>
    </row>
    <row r="1178" spans="4:19" x14ac:dyDescent="0.25">
      <c r="D1178" t="s">
        <v>55</v>
      </c>
      <c r="E1178">
        <v>2015</v>
      </c>
      <c r="F1178" t="s">
        <v>26</v>
      </c>
      <c r="G1178">
        <v>15790</v>
      </c>
      <c r="H1178">
        <v>13541</v>
      </c>
      <c r="I1178">
        <v>12197</v>
      </c>
      <c r="J1178">
        <v>11655</v>
      </c>
      <c r="K1178">
        <v>10621</v>
      </c>
      <c r="L1178">
        <v>12275</v>
      </c>
      <c r="M1178">
        <v>11577</v>
      </c>
    </row>
    <row r="1179" spans="4:19" x14ac:dyDescent="0.25">
      <c r="D1179" t="s">
        <v>55</v>
      </c>
      <c r="E1179">
        <v>2013</v>
      </c>
      <c r="F1179" t="s">
        <v>27</v>
      </c>
      <c r="S1179">
        <v>151924</v>
      </c>
    </row>
    <row r="1180" spans="4:19" x14ac:dyDescent="0.25">
      <c r="D1180" t="s">
        <v>55</v>
      </c>
      <c r="E1180">
        <v>2014</v>
      </c>
      <c r="F1180" t="s">
        <v>27</v>
      </c>
      <c r="S1180">
        <v>156619</v>
      </c>
    </row>
    <row r="1181" spans="4:19" x14ac:dyDescent="0.25">
      <c r="D1181" t="s">
        <v>55</v>
      </c>
      <c r="E1181">
        <v>2015</v>
      </c>
      <c r="F1181" t="s">
        <v>27</v>
      </c>
      <c r="S1181">
        <v>173477</v>
      </c>
    </row>
    <row r="1182" spans="4:19" x14ac:dyDescent="0.25">
      <c r="D1182" t="s">
        <v>55</v>
      </c>
      <c r="E1182">
        <v>2013</v>
      </c>
      <c r="F1182" t="s">
        <v>28</v>
      </c>
      <c r="G1182">
        <v>27024</v>
      </c>
      <c r="H1182">
        <v>25225</v>
      </c>
      <c r="I1182">
        <v>22298</v>
      </c>
      <c r="J1182">
        <v>20182</v>
      </c>
      <c r="K1182">
        <v>17517</v>
      </c>
      <c r="L1182">
        <v>20636</v>
      </c>
      <c r="M1182">
        <v>19042</v>
      </c>
      <c r="N1182">
        <v>18143</v>
      </c>
      <c r="O1182">
        <v>21639</v>
      </c>
      <c r="P1182">
        <v>57310</v>
      </c>
      <c r="Q1182">
        <v>27043</v>
      </c>
      <c r="R1182">
        <v>27823</v>
      </c>
    </row>
    <row r="1183" spans="4:19" x14ac:dyDescent="0.25">
      <c r="D1183" t="s">
        <v>55</v>
      </c>
      <c r="E1183">
        <v>2014</v>
      </c>
      <c r="F1183" t="s">
        <v>28</v>
      </c>
      <c r="G1183">
        <v>28040</v>
      </c>
      <c r="H1183">
        <v>25489</v>
      </c>
      <c r="I1183">
        <v>23201</v>
      </c>
      <c r="J1183">
        <v>21443</v>
      </c>
      <c r="K1183">
        <v>18847</v>
      </c>
      <c r="L1183">
        <v>18463</v>
      </c>
      <c r="M1183">
        <v>21136</v>
      </c>
      <c r="N1183">
        <v>18229</v>
      </c>
      <c r="O1183">
        <v>24713</v>
      </c>
      <c r="P1183">
        <v>27805</v>
      </c>
      <c r="Q1183">
        <v>23607</v>
      </c>
      <c r="R1183">
        <v>32545</v>
      </c>
    </row>
    <row r="1184" spans="4:19" x14ac:dyDescent="0.25">
      <c r="D1184" t="s">
        <v>55</v>
      </c>
      <c r="E1184">
        <v>2015</v>
      </c>
      <c r="F1184" t="s">
        <v>28</v>
      </c>
      <c r="G1184">
        <v>29599</v>
      </c>
      <c r="H1184">
        <v>28444</v>
      </c>
      <c r="I1184">
        <v>25357</v>
      </c>
      <c r="J1184">
        <v>22969</v>
      </c>
      <c r="K1184">
        <v>19901</v>
      </c>
      <c r="L1184">
        <v>24001</v>
      </c>
      <c r="M1184">
        <v>23206</v>
      </c>
    </row>
    <row r="1185" spans="4:19" x14ac:dyDescent="0.25">
      <c r="D1185" t="s">
        <v>55</v>
      </c>
      <c r="E1185">
        <v>2013</v>
      </c>
      <c r="F1185" t="s">
        <v>29</v>
      </c>
      <c r="S1185">
        <v>31320</v>
      </c>
    </row>
    <row r="1186" spans="4:19" x14ac:dyDescent="0.25">
      <c r="D1186" t="s">
        <v>55</v>
      </c>
      <c r="E1186">
        <v>2014</v>
      </c>
      <c r="F1186" t="s">
        <v>29</v>
      </c>
      <c r="S1186">
        <v>23282</v>
      </c>
    </row>
    <row r="1187" spans="4:19" x14ac:dyDescent="0.25">
      <c r="D1187" t="s">
        <v>55</v>
      </c>
      <c r="E1187">
        <v>2015</v>
      </c>
      <c r="F1187" t="s">
        <v>29</v>
      </c>
      <c r="S1187">
        <v>20542</v>
      </c>
    </row>
    <row r="1188" spans="4:19" x14ac:dyDescent="0.25">
      <c r="D1188" t="s">
        <v>55</v>
      </c>
      <c r="E1188">
        <v>2013</v>
      </c>
      <c r="F1188" t="s">
        <v>30</v>
      </c>
      <c r="G1188">
        <v>6152</v>
      </c>
      <c r="H1188">
        <v>4694</v>
      </c>
      <c r="I1188">
        <v>5246</v>
      </c>
      <c r="J1188">
        <v>4517</v>
      </c>
      <c r="K1188">
        <v>3992</v>
      </c>
      <c r="L1188">
        <v>3521</v>
      </c>
      <c r="M1188">
        <v>3198</v>
      </c>
      <c r="N1188">
        <v>3417</v>
      </c>
      <c r="O1188">
        <v>3671</v>
      </c>
      <c r="P1188">
        <v>4095</v>
      </c>
      <c r="Q1188">
        <v>3658</v>
      </c>
      <c r="R1188">
        <v>3089</v>
      </c>
    </row>
    <row r="1189" spans="4:19" x14ac:dyDescent="0.25">
      <c r="D1189" t="s">
        <v>55</v>
      </c>
      <c r="E1189">
        <v>2014</v>
      </c>
      <c r="F1189" t="s">
        <v>30</v>
      </c>
      <c r="G1189">
        <v>4156</v>
      </c>
      <c r="H1189">
        <v>4201</v>
      </c>
      <c r="I1189">
        <v>3647</v>
      </c>
      <c r="J1189">
        <v>3207</v>
      </c>
      <c r="K1189">
        <v>2745</v>
      </c>
      <c r="L1189">
        <v>2699</v>
      </c>
      <c r="M1189">
        <v>2627</v>
      </c>
      <c r="N1189">
        <v>2488</v>
      </c>
      <c r="O1189">
        <v>3592</v>
      </c>
      <c r="P1189">
        <v>4097</v>
      </c>
      <c r="Q1189">
        <v>3380</v>
      </c>
      <c r="R1189">
        <v>3124</v>
      </c>
    </row>
    <row r="1190" spans="4:19" x14ac:dyDescent="0.25">
      <c r="D1190" t="s">
        <v>55</v>
      </c>
      <c r="E1190">
        <v>2015</v>
      </c>
      <c r="F1190" t="s">
        <v>30</v>
      </c>
      <c r="G1190">
        <v>3578</v>
      </c>
      <c r="H1190">
        <v>3872</v>
      </c>
      <c r="I1190">
        <v>3367</v>
      </c>
      <c r="J1190">
        <v>2885</v>
      </c>
      <c r="K1190">
        <v>2525</v>
      </c>
      <c r="L1190">
        <v>2619</v>
      </c>
      <c r="M1190">
        <v>1696</v>
      </c>
    </row>
    <row r="1191" spans="4:19" x14ac:dyDescent="0.25">
      <c r="D1191" t="s">
        <v>55</v>
      </c>
      <c r="E1191">
        <v>2013</v>
      </c>
      <c r="F1191" t="s">
        <v>31</v>
      </c>
      <c r="S1191">
        <v>0.60995363018484405</v>
      </c>
    </row>
    <row r="1192" spans="4:19" x14ac:dyDescent="0.25">
      <c r="D1192" t="s">
        <v>55</v>
      </c>
      <c r="E1192">
        <v>2014</v>
      </c>
      <c r="F1192" t="s">
        <v>31</v>
      </c>
      <c r="S1192">
        <v>0.77268111628558422</v>
      </c>
    </row>
    <row r="1193" spans="4:19" x14ac:dyDescent="0.25">
      <c r="D1193" t="s">
        <v>55</v>
      </c>
      <c r="E1193">
        <v>2015</v>
      </c>
      <c r="F1193" t="s">
        <v>31</v>
      </c>
      <c r="S1193">
        <v>0.85426132744490213</v>
      </c>
    </row>
    <row r="1194" spans="4:19" x14ac:dyDescent="0.25">
      <c r="D1194" t="s">
        <v>55</v>
      </c>
      <c r="E1194">
        <v>2013</v>
      </c>
      <c r="F1194" t="s">
        <v>32</v>
      </c>
      <c r="G1194">
        <v>0.53341820496499048</v>
      </c>
      <c r="H1194">
        <v>0.53322000283326254</v>
      </c>
      <c r="I1194">
        <v>0.61495002172968272</v>
      </c>
      <c r="J1194">
        <v>0.75771896660365468</v>
      </c>
      <c r="K1194">
        <v>0.66430795358052641</v>
      </c>
      <c r="L1194">
        <v>0.6077533577533577</v>
      </c>
      <c r="M1194">
        <v>0.70713884204609334</v>
      </c>
      <c r="N1194">
        <v>0.69876473891072433</v>
      </c>
      <c r="O1194">
        <v>0.75159042714328994</v>
      </c>
      <c r="P1194">
        <v>0.94377135756446107</v>
      </c>
      <c r="Q1194">
        <v>0.92290679304897316</v>
      </c>
      <c r="R1194">
        <v>0.91790834973292101</v>
      </c>
    </row>
    <row r="1195" spans="4:19" x14ac:dyDescent="0.25">
      <c r="D1195" t="s">
        <v>55</v>
      </c>
      <c r="E1195">
        <v>2014</v>
      </c>
      <c r="F1195" t="s">
        <v>32</v>
      </c>
      <c r="G1195">
        <v>0.8109201213346815</v>
      </c>
      <c r="H1195">
        <v>0.74300559552358114</v>
      </c>
      <c r="I1195">
        <v>0.82266824085005907</v>
      </c>
      <c r="J1195">
        <v>0.80095668349720972</v>
      </c>
      <c r="K1195">
        <v>0.62865420068475109</v>
      </c>
      <c r="L1195">
        <v>0.76738536289098092</v>
      </c>
      <c r="M1195">
        <v>0.83106189664963093</v>
      </c>
      <c r="N1195">
        <v>0.90249922863313792</v>
      </c>
      <c r="O1195">
        <v>0.86838927795218546</v>
      </c>
      <c r="P1195">
        <v>0.91671045717288491</v>
      </c>
      <c r="Q1195">
        <v>0.85482093663911851</v>
      </c>
      <c r="R1195">
        <v>0.84160000000000001</v>
      </c>
    </row>
    <row r="1196" spans="4:19" x14ac:dyDescent="0.25">
      <c r="D1196" t="s">
        <v>55</v>
      </c>
      <c r="E1196">
        <v>2015</v>
      </c>
      <c r="F1196" t="s">
        <v>32</v>
      </c>
      <c r="G1196">
        <v>0.85905511811023627</v>
      </c>
      <c r="H1196">
        <v>0.84247967479674801</v>
      </c>
      <c r="I1196">
        <v>0.8586711711711712</v>
      </c>
      <c r="J1196">
        <v>0.88661074867971423</v>
      </c>
      <c r="K1196">
        <v>0.87397941072062479</v>
      </c>
      <c r="L1196">
        <v>0.83194675540765395</v>
      </c>
      <c r="M1196">
        <v>0.82928348909657323</v>
      </c>
    </row>
    <row r="1197" spans="4:19" x14ac:dyDescent="0.25">
      <c r="D1197" t="s">
        <v>55</v>
      </c>
      <c r="E1197">
        <v>2013</v>
      </c>
      <c r="F1197" t="s">
        <v>33</v>
      </c>
      <c r="S1197">
        <v>0.42470550780006366</v>
      </c>
    </row>
    <row r="1198" spans="4:19" x14ac:dyDescent="0.25">
      <c r="D1198" t="s">
        <v>55</v>
      </c>
      <c r="E1198">
        <v>2014</v>
      </c>
      <c r="F1198" t="s">
        <v>33</v>
      </c>
      <c r="S1198">
        <v>0.63203214695752008</v>
      </c>
    </row>
    <row r="1199" spans="4:19" x14ac:dyDescent="0.25">
      <c r="D1199" t="s">
        <v>55</v>
      </c>
      <c r="E1199">
        <v>2015</v>
      </c>
      <c r="F1199" t="s">
        <v>33</v>
      </c>
      <c r="S1199">
        <v>0.82752097384438228</v>
      </c>
    </row>
    <row r="1200" spans="4:19" x14ac:dyDescent="0.25">
      <c r="D1200" t="s">
        <v>55</v>
      </c>
      <c r="E1200">
        <v>2013</v>
      </c>
      <c r="F1200" t="s">
        <v>34</v>
      </c>
      <c r="G1200">
        <v>0.33900425318989241</v>
      </c>
      <c r="H1200">
        <v>0.25499001996007986</v>
      </c>
      <c r="I1200">
        <v>0.453091684434968</v>
      </c>
      <c r="J1200">
        <v>0.68238482384823851</v>
      </c>
      <c r="K1200">
        <v>0.52582846003898631</v>
      </c>
      <c r="L1200">
        <v>0.45855811672388425</v>
      </c>
      <c r="M1200">
        <v>0.51602104256336678</v>
      </c>
      <c r="N1200">
        <v>0.47912621359223301</v>
      </c>
      <c r="O1200">
        <v>0.59862946647087611</v>
      </c>
      <c r="P1200">
        <v>0.90268817204301077</v>
      </c>
      <c r="Q1200">
        <v>0.86444444444444446</v>
      </c>
      <c r="R1200">
        <v>0.85010266940451751</v>
      </c>
    </row>
    <row r="1201" spans="4:19" x14ac:dyDescent="0.25">
      <c r="D1201" t="s">
        <v>55</v>
      </c>
      <c r="E1201">
        <v>2014</v>
      </c>
      <c r="F1201" t="s">
        <v>34</v>
      </c>
      <c r="G1201">
        <v>0.68283582089552242</v>
      </c>
      <c r="H1201">
        <v>0.60012437810945274</v>
      </c>
      <c r="I1201">
        <v>0.70374753451676531</v>
      </c>
      <c r="J1201">
        <v>0.68005126014523709</v>
      </c>
      <c r="K1201">
        <v>0.45412311265969801</v>
      </c>
      <c r="L1201">
        <v>0.6111675126903553</v>
      </c>
      <c r="M1201">
        <v>0.71921182266009853</v>
      </c>
      <c r="N1201">
        <v>0.96379310344827585</v>
      </c>
      <c r="O1201">
        <v>0.82128777923784491</v>
      </c>
      <c r="P1201">
        <v>0.9491315136476427</v>
      </c>
      <c r="Q1201">
        <v>0.79961215255332907</v>
      </c>
      <c r="R1201">
        <v>0.78338278931750738</v>
      </c>
    </row>
    <row r="1202" spans="4:19" x14ac:dyDescent="0.25">
      <c r="D1202" t="s">
        <v>55</v>
      </c>
      <c r="E1202">
        <v>2015</v>
      </c>
      <c r="F1202" t="s">
        <v>34</v>
      </c>
      <c r="G1202">
        <v>0.83982202447163512</v>
      </c>
      <c r="H1202">
        <v>0.79442344045368618</v>
      </c>
      <c r="I1202">
        <v>0.84611371935315594</v>
      </c>
      <c r="J1202">
        <v>0.87484197218710491</v>
      </c>
      <c r="K1202">
        <v>0.8545454545454545</v>
      </c>
      <c r="L1202">
        <v>0.81626319056486651</v>
      </c>
      <c r="M1202">
        <v>0.77352572145545795</v>
      </c>
    </row>
    <row r="1203" spans="4:19" x14ac:dyDescent="0.25">
      <c r="D1203" t="s">
        <v>56</v>
      </c>
      <c r="E1203">
        <v>2013</v>
      </c>
      <c r="F1203" t="s">
        <v>17</v>
      </c>
      <c r="S1203">
        <v>0.98573407202216068</v>
      </c>
    </row>
    <row r="1204" spans="4:19" x14ac:dyDescent="0.25">
      <c r="D1204" t="s">
        <v>56</v>
      </c>
      <c r="E1204">
        <v>2014</v>
      </c>
      <c r="F1204" t="s">
        <v>17</v>
      </c>
      <c r="S1204">
        <v>0.99863805006340112</v>
      </c>
    </row>
    <row r="1205" spans="4:19" x14ac:dyDescent="0.25">
      <c r="D1205" t="s">
        <v>56</v>
      </c>
      <c r="E1205">
        <v>2015</v>
      </c>
      <c r="F1205" t="s">
        <v>17</v>
      </c>
      <c r="S1205">
        <v>0.99792707057382457</v>
      </c>
    </row>
    <row r="1206" spans="4:19" x14ac:dyDescent="0.25">
      <c r="D1206" t="s">
        <v>56</v>
      </c>
      <c r="E1206">
        <v>2013</v>
      </c>
      <c r="F1206" t="s">
        <v>18</v>
      </c>
      <c r="G1206">
        <v>0.92161520190023749</v>
      </c>
      <c r="H1206">
        <v>0.99953895804518211</v>
      </c>
      <c r="I1206">
        <v>0.9987834549878345</v>
      </c>
      <c r="J1206">
        <v>0.99890770070999457</v>
      </c>
      <c r="K1206">
        <v>1</v>
      </c>
      <c r="L1206">
        <v>1</v>
      </c>
      <c r="M1206">
        <v>0.99869678540399653</v>
      </c>
      <c r="N1206">
        <v>0.99952290076335881</v>
      </c>
      <c r="O1206">
        <v>0.99906162026900214</v>
      </c>
      <c r="P1206">
        <v>0.99788527623579171</v>
      </c>
      <c r="Q1206">
        <v>0.99938480467548452</v>
      </c>
      <c r="R1206">
        <v>0.9973082099596231</v>
      </c>
    </row>
    <row r="1207" spans="4:19" x14ac:dyDescent="0.25">
      <c r="D1207" t="s">
        <v>56</v>
      </c>
      <c r="E1207">
        <v>2014</v>
      </c>
      <c r="F1207" t="s">
        <v>18</v>
      </c>
      <c r="G1207">
        <v>0.99795918367346936</v>
      </c>
      <c r="H1207">
        <v>0.99842229818564288</v>
      </c>
      <c r="I1207">
        <v>0.99907521578298397</v>
      </c>
      <c r="J1207">
        <v>0.99933444259567383</v>
      </c>
      <c r="K1207">
        <v>0.99962672639044414</v>
      </c>
      <c r="L1207">
        <v>0.99728892331525953</v>
      </c>
      <c r="M1207">
        <v>0.99882352941176467</v>
      </c>
      <c r="N1207">
        <v>0.99900299102691925</v>
      </c>
      <c r="O1207">
        <v>0.99845081332300545</v>
      </c>
      <c r="P1207">
        <v>0.99922279792746116</v>
      </c>
      <c r="Q1207">
        <v>0.99966159052453474</v>
      </c>
      <c r="R1207">
        <v>0.99889258028792915</v>
      </c>
    </row>
    <row r="1208" spans="4:19" x14ac:dyDescent="0.25">
      <c r="D1208" t="s">
        <v>56</v>
      </c>
      <c r="E1208">
        <v>2015</v>
      </c>
      <c r="F1208" t="s">
        <v>18</v>
      </c>
      <c r="G1208">
        <v>0.99809056192034917</v>
      </c>
      <c r="H1208">
        <v>0.99693520140105074</v>
      </c>
      <c r="I1208">
        <v>1</v>
      </c>
      <c r="J1208">
        <v>0.99872122762148341</v>
      </c>
      <c r="K1208">
        <v>0.9955357142857143</v>
      </c>
      <c r="L1208">
        <v>0.99501246882793015</v>
      </c>
      <c r="M1208">
        <v>1</v>
      </c>
    </row>
    <row r="1209" spans="4:19" x14ac:dyDescent="0.25">
      <c r="D1209" t="s">
        <v>56</v>
      </c>
      <c r="E1209">
        <v>2013</v>
      </c>
      <c r="F1209" t="s">
        <v>19</v>
      </c>
      <c r="S1209">
        <v>0.796631156309072</v>
      </c>
    </row>
    <row r="1210" spans="4:19" x14ac:dyDescent="0.25">
      <c r="D1210" t="s">
        <v>56</v>
      </c>
      <c r="E1210">
        <v>2014</v>
      </c>
      <c r="F1210" t="s">
        <v>19</v>
      </c>
      <c r="S1210">
        <v>0.88969370214095955</v>
      </c>
    </row>
    <row r="1211" spans="4:19" x14ac:dyDescent="0.25">
      <c r="D1211" t="s">
        <v>56</v>
      </c>
      <c r="E1211">
        <v>2015</v>
      </c>
      <c r="F1211" t="s">
        <v>19</v>
      </c>
      <c r="S1211">
        <v>0.78600510073626306</v>
      </c>
    </row>
    <row r="1212" spans="4:19" x14ac:dyDescent="0.25">
      <c r="D1212" t="s">
        <v>56</v>
      </c>
      <c r="E1212">
        <v>2013</v>
      </c>
      <c r="F1212" t="s">
        <v>20</v>
      </c>
      <c r="G1212">
        <v>0.56770152339830326</v>
      </c>
      <c r="H1212">
        <v>0.82654697018275092</v>
      </c>
      <c r="I1212">
        <v>0.82571316920672133</v>
      </c>
      <c r="J1212">
        <v>0.80654743486601899</v>
      </c>
      <c r="K1212">
        <v>0.81837193496104987</v>
      </c>
      <c r="L1212">
        <v>0.99710081901862724</v>
      </c>
      <c r="M1212">
        <v>0.99439008480104374</v>
      </c>
      <c r="N1212">
        <v>0.99351018090370735</v>
      </c>
      <c r="O1212">
        <v>0.99809790209790206</v>
      </c>
      <c r="P1212">
        <v>0.99060844794587621</v>
      </c>
      <c r="Q1212">
        <v>0.90146306157266198</v>
      </c>
      <c r="R1212">
        <v>0.98294243070362475</v>
      </c>
    </row>
    <row r="1213" spans="4:19" x14ac:dyDescent="0.25">
      <c r="D1213" t="s">
        <v>56</v>
      </c>
      <c r="E1213">
        <v>2014</v>
      </c>
      <c r="F1213" t="s">
        <v>20</v>
      </c>
      <c r="G1213">
        <v>0.95862199867134856</v>
      </c>
      <c r="H1213">
        <v>0.99500449595364171</v>
      </c>
      <c r="I1213">
        <v>0.89158206429780029</v>
      </c>
      <c r="J1213">
        <v>0.98057227980882622</v>
      </c>
      <c r="K1213">
        <v>0.70379225061830175</v>
      </c>
      <c r="L1213">
        <v>0.68176934097421205</v>
      </c>
      <c r="M1213">
        <v>0.92632155573815389</v>
      </c>
      <c r="N1213">
        <v>0.94410613310134839</v>
      </c>
      <c r="O1213">
        <v>0.95468643221363614</v>
      </c>
      <c r="P1213">
        <v>0.78428571428571425</v>
      </c>
      <c r="Q1213">
        <v>0.79170283730068081</v>
      </c>
      <c r="R1213">
        <v>0.94114377470355737</v>
      </c>
    </row>
    <row r="1214" spans="4:19" x14ac:dyDescent="0.25">
      <c r="D1214" t="s">
        <v>56</v>
      </c>
      <c r="E1214">
        <v>2015</v>
      </c>
      <c r="F1214" t="s">
        <v>20</v>
      </c>
      <c r="G1214">
        <v>0.86696074670758216</v>
      </c>
      <c r="H1214">
        <v>0.83700420605128667</v>
      </c>
      <c r="I1214">
        <v>0.71149189793257595</v>
      </c>
      <c r="J1214">
        <v>0.74991873882658866</v>
      </c>
      <c r="K1214">
        <v>0.77303860523038603</v>
      </c>
      <c r="L1214">
        <v>0.76014583966317983</v>
      </c>
      <c r="M1214">
        <v>0.87612074911135873</v>
      </c>
    </row>
    <row r="1215" spans="4:19" x14ac:dyDescent="0.25">
      <c r="D1215" t="s">
        <v>56</v>
      </c>
      <c r="E1215">
        <v>2013</v>
      </c>
      <c r="F1215" t="s">
        <v>21</v>
      </c>
      <c r="S1215">
        <v>0.94969278033794158</v>
      </c>
    </row>
    <row r="1216" spans="4:19" x14ac:dyDescent="0.25">
      <c r="D1216" t="s">
        <v>56</v>
      </c>
      <c r="E1216">
        <v>2014</v>
      </c>
      <c r="F1216" t="s">
        <v>21</v>
      </c>
      <c r="S1216">
        <v>0.97560841317035574</v>
      </c>
    </row>
    <row r="1217" spans="4:19" x14ac:dyDescent="0.25">
      <c r="D1217" t="s">
        <v>56</v>
      </c>
      <c r="E1217">
        <v>2015</v>
      </c>
      <c r="F1217" t="s">
        <v>21</v>
      </c>
      <c r="S1217">
        <v>0.90884906188742653</v>
      </c>
    </row>
    <row r="1218" spans="4:19" x14ac:dyDescent="0.25">
      <c r="D1218" t="s">
        <v>56</v>
      </c>
      <c r="E1218">
        <v>2013</v>
      </c>
      <c r="F1218" t="s">
        <v>22</v>
      </c>
      <c r="G1218">
        <v>0.96587487453997989</v>
      </c>
      <c r="H1218">
        <v>0.99294245385450597</v>
      </c>
      <c r="I1218">
        <v>0.99361896080218781</v>
      </c>
      <c r="J1218">
        <v>0.83586906408483175</v>
      </c>
      <c r="K1218">
        <v>0.87262273330384788</v>
      </c>
      <c r="L1218">
        <v>0.99948638931689782</v>
      </c>
      <c r="M1218">
        <v>0.99459945994599464</v>
      </c>
      <c r="N1218">
        <v>0.94107035478051715</v>
      </c>
      <c r="O1218">
        <v>0.9974899598393574</v>
      </c>
      <c r="P1218">
        <v>0.9062259800153728</v>
      </c>
      <c r="Q1218">
        <v>0.89619520264681551</v>
      </c>
      <c r="R1218">
        <v>0.98621807863802191</v>
      </c>
    </row>
    <row r="1219" spans="4:19" x14ac:dyDescent="0.25">
      <c r="D1219" t="s">
        <v>56</v>
      </c>
      <c r="E1219">
        <v>2014</v>
      </c>
      <c r="F1219" t="s">
        <v>22</v>
      </c>
      <c r="G1219">
        <v>0.98285536159600995</v>
      </c>
      <c r="H1219">
        <v>0.99400645458736747</v>
      </c>
      <c r="I1219">
        <v>0.94629842731108549</v>
      </c>
      <c r="J1219">
        <v>0.95423909187655198</v>
      </c>
      <c r="K1219">
        <v>0.96181172291296624</v>
      </c>
      <c r="L1219">
        <v>0.99630086313193589</v>
      </c>
      <c r="M1219">
        <v>0.9958863126402393</v>
      </c>
      <c r="N1219">
        <v>0.99678111587982832</v>
      </c>
      <c r="O1219">
        <v>0.99072642967542501</v>
      </c>
      <c r="P1219">
        <v>0.93056731583403896</v>
      </c>
      <c r="Q1219">
        <v>0.89855072463768115</v>
      </c>
      <c r="R1219">
        <v>0.95488721804511278</v>
      </c>
    </row>
    <row r="1220" spans="4:19" x14ac:dyDescent="0.25">
      <c r="D1220" t="s">
        <v>56</v>
      </c>
      <c r="E1220">
        <v>2015</v>
      </c>
      <c r="F1220" t="s">
        <v>22</v>
      </c>
      <c r="G1220">
        <v>0.83898050974512739</v>
      </c>
      <c r="H1220">
        <v>0.92795289227571875</v>
      </c>
      <c r="I1220">
        <v>0.93339253996447602</v>
      </c>
      <c r="J1220">
        <v>0.99406919275123562</v>
      </c>
      <c r="K1220">
        <v>0.95170691090757698</v>
      </c>
      <c r="L1220">
        <v>0.84584693507435615</v>
      </c>
      <c r="M1220">
        <v>0.88325991189427311</v>
      </c>
    </row>
    <row r="1221" spans="4:19" x14ac:dyDescent="0.25">
      <c r="D1221" t="s">
        <v>56</v>
      </c>
      <c r="E1221">
        <v>2013</v>
      </c>
      <c r="F1221" t="s">
        <v>23</v>
      </c>
      <c r="S1221">
        <v>53200</v>
      </c>
    </row>
    <row r="1222" spans="4:19" x14ac:dyDescent="0.25">
      <c r="D1222" t="s">
        <v>56</v>
      </c>
      <c r="E1222">
        <v>2014</v>
      </c>
      <c r="F1222" t="s">
        <v>23</v>
      </c>
      <c r="S1222">
        <v>51189</v>
      </c>
    </row>
    <row r="1223" spans="4:19" x14ac:dyDescent="0.25">
      <c r="D1223" t="s">
        <v>56</v>
      </c>
      <c r="E1223">
        <v>2015</v>
      </c>
      <c r="F1223" t="s">
        <v>23</v>
      </c>
      <c r="S1223">
        <v>56954</v>
      </c>
    </row>
    <row r="1224" spans="4:19" x14ac:dyDescent="0.25">
      <c r="D1224" t="s">
        <v>56</v>
      </c>
      <c r="E1224">
        <v>2013</v>
      </c>
      <c r="F1224" t="s">
        <v>24</v>
      </c>
      <c r="G1224">
        <v>10705</v>
      </c>
      <c r="H1224">
        <v>11267</v>
      </c>
      <c r="I1224">
        <v>8506</v>
      </c>
      <c r="J1224">
        <v>5924</v>
      </c>
      <c r="K1224">
        <v>5895</v>
      </c>
      <c r="L1224">
        <v>5410</v>
      </c>
      <c r="M1224">
        <v>5493</v>
      </c>
      <c r="N1224">
        <v>5549</v>
      </c>
      <c r="O1224">
        <v>6674</v>
      </c>
      <c r="P1224">
        <v>5573</v>
      </c>
      <c r="Q1224">
        <v>5461</v>
      </c>
      <c r="R1224">
        <v>5872</v>
      </c>
    </row>
    <row r="1225" spans="4:19" x14ac:dyDescent="0.25">
      <c r="D1225" t="s">
        <v>56</v>
      </c>
      <c r="E1225">
        <v>2014</v>
      </c>
      <c r="F1225" t="s">
        <v>24</v>
      </c>
      <c r="G1225">
        <v>7687</v>
      </c>
      <c r="H1225">
        <v>9157</v>
      </c>
      <c r="I1225">
        <v>7239</v>
      </c>
      <c r="J1225">
        <v>6068</v>
      </c>
      <c r="K1225">
        <v>7221</v>
      </c>
      <c r="L1225">
        <v>6930</v>
      </c>
      <c r="M1225">
        <v>6887</v>
      </c>
      <c r="N1225">
        <v>5837</v>
      </c>
      <c r="O1225">
        <v>7650</v>
      </c>
      <c r="P1225">
        <v>7207</v>
      </c>
      <c r="Q1225">
        <v>7094</v>
      </c>
      <c r="R1225">
        <v>6842</v>
      </c>
    </row>
    <row r="1226" spans="4:19" x14ac:dyDescent="0.25">
      <c r="D1226" t="s">
        <v>56</v>
      </c>
      <c r="E1226">
        <v>2015</v>
      </c>
      <c r="F1226" t="s">
        <v>24</v>
      </c>
      <c r="G1226">
        <v>8257</v>
      </c>
      <c r="H1226">
        <v>12183</v>
      </c>
      <c r="I1226">
        <v>10025</v>
      </c>
      <c r="J1226">
        <v>7168</v>
      </c>
      <c r="K1226">
        <v>5650</v>
      </c>
      <c r="L1226">
        <v>6779</v>
      </c>
      <c r="M1226">
        <v>6892</v>
      </c>
    </row>
    <row r="1227" spans="4:19" x14ac:dyDescent="0.25">
      <c r="D1227" t="s">
        <v>56</v>
      </c>
      <c r="E1227">
        <v>2013</v>
      </c>
      <c r="F1227" t="s">
        <v>25</v>
      </c>
      <c r="S1227">
        <v>99894</v>
      </c>
    </row>
    <row r="1228" spans="4:19" x14ac:dyDescent="0.25">
      <c r="D1228" t="s">
        <v>56</v>
      </c>
      <c r="E1228">
        <v>2014</v>
      </c>
      <c r="F1228" t="s">
        <v>25</v>
      </c>
      <c r="S1228">
        <v>100360</v>
      </c>
    </row>
    <row r="1229" spans="4:19" x14ac:dyDescent="0.25">
      <c r="D1229" t="s">
        <v>56</v>
      </c>
      <c r="E1229">
        <v>2015</v>
      </c>
      <c r="F1229" t="s">
        <v>25</v>
      </c>
      <c r="S1229">
        <v>119425</v>
      </c>
    </row>
    <row r="1230" spans="4:19" x14ac:dyDescent="0.25">
      <c r="D1230" t="s">
        <v>56</v>
      </c>
      <c r="E1230">
        <v>2013</v>
      </c>
      <c r="F1230" t="s">
        <v>26</v>
      </c>
      <c r="G1230">
        <v>21834</v>
      </c>
      <c r="H1230">
        <v>14221</v>
      </c>
      <c r="I1230">
        <v>14034</v>
      </c>
      <c r="J1230">
        <v>12413</v>
      </c>
      <c r="K1230">
        <v>12126</v>
      </c>
      <c r="L1230">
        <v>11136</v>
      </c>
      <c r="M1230">
        <v>14130</v>
      </c>
      <c r="N1230">
        <v>11741</v>
      </c>
      <c r="O1230">
        <v>13762</v>
      </c>
      <c r="P1230">
        <v>17122</v>
      </c>
      <c r="Q1230">
        <v>17483</v>
      </c>
      <c r="R1230">
        <v>17372</v>
      </c>
    </row>
    <row r="1231" spans="4:19" x14ac:dyDescent="0.25">
      <c r="D1231" t="s">
        <v>56</v>
      </c>
      <c r="E1231">
        <v>2014</v>
      </c>
      <c r="F1231" t="s">
        <v>26</v>
      </c>
      <c r="G1231">
        <v>17599</v>
      </c>
      <c r="H1231">
        <v>15434</v>
      </c>
      <c r="I1231">
        <v>13648</v>
      </c>
      <c r="J1231">
        <v>13892</v>
      </c>
      <c r="K1231">
        <v>13700</v>
      </c>
      <c r="L1231">
        <v>12245</v>
      </c>
      <c r="M1231">
        <v>13842</v>
      </c>
      <c r="N1231">
        <v>12315</v>
      </c>
      <c r="O1231">
        <v>16272</v>
      </c>
      <c r="P1231">
        <v>17805</v>
      </c>
      <c r="Q1231">
        <v>16946</v>
      </c>
      <c r="R1231">
        <v>16394</v>
      </c>
    </row>
    <row r="1232" spans="4:19" x14ac:dyDescent="0.25">
      <c r="D1232" t="s">
        <v>56</v>
      </c>
      <c r="E1232">
        <v>2015</v>
      </c>
      <c r="F1232" t="s">
        <v>26</v>
      </c>
      <c r="G1232">
        <v>18212</v>
      </c>
      <c r="H1232">
        <v>21185</v>
      </c>
      <c r="I1232">
        <v>18123</v>
      </c>
      <c r="J1232">
        <v>16359</v>
      </c>
      <c r="K1232">
        <v>12673</v>
      </c>
      <c r="L1232">
        <v>16234</v>
      </c>
      <c r="M1232">
        <v>16639</v>
      </c>
    </row>
    <row r="1233" spans="4:19" x14ac:dyDescent="0.25">
      <c r="D1233" t="s">
        <v>56</v>
      </c>
      <c r="E1233">
        <v>2013</v>
      </c>
      <c r="F1233" t="s">
        <v>27</v>
      </c>
      <c r="S1233">
        <v>197822</v>
      </c>
    </row>
    <row r="1234" spans="4:19" x14ac:dyDescent="0.25">
      <c r="D1234" t="s">
        <v>56</v>
      </c>
      <c r="E1234">
        <v>2014</v>
      </c>
      <c r="F1234" t="s">
        <v>27</v>
      </c>
      <c r="S1234">
        <v>181777</v>
      </c>
    </row>
    <row r="1235" spans="4:19" x14ac:dyDescent="0.25">
      <c r="D1235" t="s">
        <v>56</v>
      </c>
      <c r="E1235">
        <v>2015</v>
      </c>
      <c r="F1235" t="s">
        <v>27</v>
      </c>
      <c r="S1235">
        <v>201733</v>
      </c>
    </row>
    <row r="1236" spans="4:19" x14ac:dyDescent="0.25">
      <c r="D1236" t="s">
        <v>56</v>
      </c>
      <c r="E1236">
        <v>2013</v>
      </c>
      <c r="F1236" t="s">
        <v>28</v>
      </c>
      <c r="G1236">
        <v>41719</v>
      </c>
      <c r="H1236">
        <v>30198</v>
      </c>
      <c r="I1236">
        <v>29356</v>
      </c>
      <c r="J1236">
        <v>25820</v>
      </c>
      <c r="K1236">
        <v>23661</v>
      </c>
      <c r="L1236">
        <v>21598</v>
      </c>
      <c r="M1236">
        <v>25470</v>
      </c>
      <c r="N1236">
        <v>21193</v>
      </c>
      <c r="O1236">
        <v>26642</v>
      </c>
      <c r="P1236">
        <v>35000</v>
      </c>
      <c r="Q1236">
        <v>29657</v>
      </c>
      <c r="R1236">
        <v>30109</v>
      </c>
    </row>
    <row r="1237" spans="4:19" x14ac:dyDescent="0.25">
      <c r="D1237" t="s">
        <v>56</v>
      </c>
      <c r="E1237">
        <v>2014</v>
      </c>
      <c r="F1237" t="s">
        <v>28</v>
      </c>
      <c r="G1237">
        <v>32151</v>
      </c>
      <c r="H1237">
        <v>28932</v>
      </c>
      <c r="I1237">
        <v>25325</v>
      </c>
      <c r="J1237">
        <v>26121</v>
      </c>
      <c r="K1237">
        <v>22782</v>
      </c>
      <c r="L1237">
        <v>21903</v>
      </c>
      <c r="M1237">
        <v>24563</v>
      </c>
      <c r="N1237">
        <v>20770</v>
      </c>
      <c r="O1237">
        <v>29913</v>
      </c>
      <c r="P1237">
        <v>32653</v>
      </c>
      <c r="Q1237">
        <v>30645</v>
      </c>
      <c r="R1237">
        <v>29233</v>
      </c>
    </row>
    <row r="1238" spans="4:19" x14ac:dyDescent="0.25">
      <c r="D1238" t="s">
        <v>56</v>
      </c>
      <c r="E1238">
        <v>2015</v>
      </c>
      <c r="F1238" t="s">
        <v>28</v>
      </c>
      <c r="G1238">
        <v>29368</v>
      </c>
      <c r="H1238">
        <v>32601</v>
      </c>
      <c r="I1238">
        <v>33717</v>
      </c>
      <c r="J1238">
        <v>28679</v>
      </c>
      <c r="K1238">
        <v>21494</v>
      </c>
      <c r="L1238">
        <v>28076</v>
      </c>
      <c r="M1238">
        <v>27798</v>
      </c>
    </row>
    <row r="1239" spans="4:19" x14ac:dyDescent="0.25">
      <c r="D1239" t="s">
        <v>56</v>
      </c>
      <c r="E1239">
        <v>2013</v>
      </c>
      <c r="F1239" t="s">
        <v>29</v>
      </c>
      <c r="S1239">
        <v>14440</v>
      </c>
    </row>
    <row r="1240" spans="4:19" x14ac:dyDescent="0.25">
      <c r="D1240" t="s">
        <v>56</v>
      </c>
      <c r="E1240">
        <v>2014</v>
      </c>
      <c r="F1240" t="s">
        <v>29</v>
      </c>
      <c r="S1240">
        <v>21293</v>
      </c>
    </row>
    <row r="1241" spans="4:19" x14ac:dyDescent="0.25">
      <c r="D1241" t="s">
        <v>56</v>
      </c>
      <c r="E1241">
        <v>2015</v>
      </c>
      <c r="F1241" t="s">
        <v>29</v>
      </c>
      <c r="S1241">
        <v>10613</v>
      </c>
    </row>
    <row r="1242" spans="4:19" x14ac:dyDescent="0.25">
      <c r="D1242" t="s">
        <v>56</v>
      </c>
      <c r="E1242">
        <v>2013</v>
      </c>
      <c r="F1242" t="s">
        <v>30</v>
      </c>
      <c r="G1242">
        <v>2526</v>
      </c>
      <c r="H1242">
        <v>2169</v>
      </c>
      <c r="I1242">
        <v>1644</v>
      </c>
      <c r="J1242">
        <v>1831</v>
      </c>
      <c r="K1242">
        <v>1771</v>
      </c>
      <c r="L1242">
        <v>2197</v>
      </c>
      <c r="M1242">
        <v>2302</v>
      </c>
      <c r="N1242">
        <v>2096</v>
      </c>
      <c r="O1242">
        <v>3197</v>
      </c>
      <c r="P1242">
        <v>3783</v>
      </c>
      <c r="Q1242">
        <v>3251</v>
      </c>
      <c r="R1242">
        <v>2972</v>
      </c>
    </row>
    <row r="1243" spans="4:19" x14ac:dyDescent="0.25">
      <c r="D1243" t="s">
        <v>56</v>
      </c>
      <c r="E1243">
        <v>2014</v>
      </c>
      <c r="F1243" t="s">
        <v>30</v>
      </c>
      <c r="G1243">
        <v>3430</v>
      </c>
      <c r="H1243">
        <v>3803</v>
      </c>
      <c r="I1243">
        <v>3244</v>
      </c>
      <c r="J1243">
        <v>3005</v>
      </c>
      <c r="K1243">
        <v>2679</v>
      </c>
      <c r="L1243">
        <v>2582</v>
      </c>
      <c r="M1243">
        <v>2550</v>
      </c>
      <c r="N1243">
        <v>2006</v>
      </c>
      <c r="O1243">
        <v>3873</v>
      </c>
      <c r="P1243">
        <v>3860</v>
      </c>
      <c r="Q1243">
        <v>2955</v>
      </c>
      <c r="R1243">
        <v>2709</v>
      </c>
    </row>
    <row r="1244" spans="4:19" x14ac:dyDescent="0.25">
      <c r="D1244" t="s">
        <v>56</v>
      </c>
      <c r="E1244">
        <v>2015</v>
      </c>
      <c r="F1244" t="s">
        <v>30</v>
      </c>
      <c r="G1244">
        <v>3666</v>
      </c>
      <c r="H1244">
        <v>2284</v>
      </c>
      <c r="I1244">
        <v>963</v>
      </c>
      <c r="J1244">
        <v>782</v>
      </c>
      <c r="K1244">
        <v>672</v>
      </c>
      <c r="L1244">
        <v>802</v>
      </c>
      <c r="M1244">
        <v>1444</v>
      </c>
    </row>
    <row r="1245" spans="4:19" x14ac:dyDescent="0.25">
      <c r="D1245" t="s">
        <v>56</v>
      </c>
      <c r="E1245">
        <v>2013</v>
      </c>
      <c r="F1245" t="s">
        <v>31</v>
      </c>
      <c r="S1245">
        <v>0.59870300751879701</v>
      </c>
    </row>
    <row r="1246" spans="4:19" x14ac:dyDescent="0.25">
      <c r="D1246" t="s">
        <v>56</v>
      </c>
      <c r="E1246">
        <v>2014</v>
      </c>
      <c r="F1246" t="s">
        <v>31</v>
      </c>
      <c r="S1246">
        <v>0.76416808298657912</v>
      </c>
    </row>
    <row r="1247" spans="4:19" x14ac:dyDescent="0.25">
      <c r="D1247" t="s">
        <v>56</v>
      </c>
      <c r="E1247">
        <v>2015</v>
      </c>
      <c r="F1247" t="s">
        <v>31</v>
      </c>
      <c r="S1247">
        <v>0.86034343505284971</v>
      </c>
    </row>
    <row r="1248" spans="4:19" x14ac:dyDescent="0.25">
      <c r="D1248" t="s">
        <v>56</v>
      </c>
      <c r="E1248">
        <v>2013</v>
      </c>
      <c r="F1248" t="s">
        <v>32</v>
      </c>
      <c r="G1248">
        <v>0.54460532461466604</v>
      </c>
      <c r="H1248">
        <v>0.50386083251974789</v>
      </c>
      <c r="I1248">
        <v>0.57441805784152367</v>
      </c>
      <c r="J1248">
        <v>0.72045914922349763</v>
      </c>
      <c r="K1248">
        <v>0.67277353689567432</v>
      </c>
      <c r="L1248">
        <v>0.60369685767097969</v>
      </c>
      <c r="M1248">
        <v>0.72055343164026942</v>
      </c>
      <c r="N1248">
        <v>0.71111912056226345</v>
      </c>
      <c r="O1248">
        <v>0.73449205873539103</v>
      </c>
      <c r="P1248">
        <v>0.93199354028350978</v>
      </c>
      <c r="Q1248">
        <v>0.92144295916498808</v>
      </c>
      <c r="R1248">
        <v>0.92217302452316074</v>
      </c>
    </row>
    <row r="1249" spans="4:19" x14ac:dyDescent="0.25">
      <c r="D1249" t="s">
        <v>56</v>
      </c>
      <c r="E1249">
        <v>2014</v>
      </c>
      <c r="F1249" t="s">
        <v>32</v>
      </c>
      <c r="G1249">
        <v>0.81475217900351238</v>
      </c>
      <c r="H1249">
        <v>0.74467620399694223</v>
      </c>
      <c r="I1249">
        <v>0.82746235667909929</v>
      </c>
      <c r="J1249">
        <v>0.79663810151615033</v>
      </c>
      <c r="K1249">
        <v>0.60670267276000556</v>
      </c>
      <c r="L1249">
        <v>0.73795093795093791</v>
      </c>
      <c r="M1249">
        <v>0.82996950776825906</v>
      </c>
      <c r="N1249">
        <v>0.91605276683227688</v>
      </c>
      <c r="O1249">
        <v>0.86601307189542487</v>
      </c>
      <c r="P1249">
        <v>0.93256556125988621</v>
      </c>
      <c r="Q1249">
        <v>0.85325627290668171</v>
      </c>
      <c r="R1249">
        <v>0.84185910552470034</v>
      </c>
    </row>
    <row r="1250" spans="4:19" x14ac:dyDescent="0.25">
      <c r="D1250" t="s">
        <v>56</v>
      </c>
      <c r="E1250">
        <v>2015</v>
      </c>
      <c r="F1250" t="s">
        <v>32</v>
      </c>
      <c r="G1250">
        <v>0.87949618505510474</v>
      </c>
      <c r="H1250">
        <v>0.83238939505868836</v>
      </c>
      <c r="I1250">
        <v>0.86354114713216956</v>
      </c>
      <c r="J1250">
        <v>0.8973214285714286</v>
      </c>
      <c r="K1250">
        <v>0.88778761061946898</v>
      </c>
      <c r="L1250">
        <v>0.8518955598170822</v>
      </c>
      <c r="M1250">
        <v>0.82951247823563556</v>
      </c>
    </row>
    <row r="1251" spans="4:19" x14ac:dyDescent="0.25">
      <c r="D1251" t="s">
        <v>56</v>
      </c>
      <c r="E1251">
        <v>2013</v>
      </c>
      <c r="F1251" t="s">
        <v>33</v>
      </c>
      <c r="S1251">
        <v>0.44109284213128941</v>
      </c>
    </row>
    <row r="1252" spans="4:19" x14ac:dyDescent="0.25">
      <c r="D1252" t="s">
        <v>56</v>
      </c>
      <c r="E1252">
        <v>2014</v>
      </c>
      <c r="F1252" t="s">
        <v>33</v>
      </c>
      <c r="S1252">
        <v>0.62677313292625647</v>
      </c>
    </row>
    <row r="1253" spans="4:19" x14ac:dyDescent="0.25">
      <c r="D1253" t="s">
        <v>56</v>
      </c>
      <c r="E1253">
        <v>2015</v>
      </c>
      <c r="F1253" t="s">
        <v>33</v>
      </c>
      <c r="S1253">
        <v>0.82526159829613854</v>
      </c>
    </row>
    <row r="1254" spans="4:19" x14ac:dyDescent="0.25">
      <c r="D1254" t="s">
        <v>56</v>
      </c>
      <c r="E1254">
        <v>2013</v>
      </c>
      <c r="F1254" t="s">
        <v>34</v>
      </c>
      <c r="G1254">
        <v>0.36977396956714431</v>
      </c>
      <c r="H1254">
        <v>0.25820470552974673</v>
      </c>
      <c r="I1254">
        <v>0.46299151888974555</v>
      </c>
      <c r="J1254">
        <v>0.67139211794726394</v>
      </c>
      <c r="K1254">
        <v>0.55846994535519123</v>
      </c>
      <c r="L1254">
        <v>0.45358966656653649</v>
      </c>
      <c r="M1254">
        <v>0.53644859813084111</v>
      </c>
      <c r="N1254">
        <v>0.50139968895800935</v>
      </c>
      <c r="O1254">
        <v>0.58158205430932708</v>
      </c>
      <c r="P1254">
        <v>0.88686567164179109</v>
      </c>
      <c r="Q1254">
        <v>0.86112010359339597</v>
      </c>
      <c r="R1254">
        <v>0.85687441277795173</v>
      </c>
    </row>
    <row r="1255" spans="4:19" x14ac:dyDescent="0.25">
      <c r="D1255" t="s">
        <v>56</v>
      </c>
      <c r="E1255">
        <v>2014</v>
      </c>
      <c r="F1255" t="s">
        <v>34</v>
      </c>
      <c r="G1255">
        <v>0.69682776240153288</v>
      </c>
      <c r="H1255">
        <v>0.59317904993909865</v>
      </c>
      <c r="I1255">
        <v>0.71386025200458192</v>
      </c>
      <c r="J1255">
        <v>0.68236808236808233</v>
      </c>
      <c r="K1255">
        <v>0.43728947889835545</v>
      </c>
      <c r="L1255">
        <v>0.593372145096283</v>
      </c>
      <c r="M1255">
        <v>0.72693133047210301</v>
      </c>
      <c r="N1255">
        <v>0.97037374658158615</v>
      </c>
      <c r="O1255">
        <v>0.79545454545454541</v>
      </c>
      <c r="P1255">
        <v>0.96033728919425354</v>
      </c>
      <c r="Q1255">
        <v>0.78296865759905376</v>
      </c>
      <c r="R1255">
        <v>0.76979638009049778</v>
      </c>
    </row>
    <row r="1256" spans="4:19" x14ac:dyDescent="0.25">
      <c r="D1256" t="s">
        <v>56</v>
      </c>
      <c r="E1256">
        <v>2015</v>
      </c>
      <c r="F1256" t="s">
        <v>34</v>
      </c>
      <c r="G1256">
        <v>0.8441221043515913</v>
      </c>
      <c r="H1256">
        <v>0.77331399564902104</v>
      </c>
      <c r="I1256">
        <v>0.84753901560624245</v>
      </c>
      <c r="J1256">
        <v>0.88218465539661894</v>
      </c>
      <c r="K1256">
        <v>0.87602056244330206</v>
      </c>
      <c r="L1256">
        <v>0.81045261315328831</v>
      </c>
      <c r="M1256">
        <v>0.77749295052550627</v>
      </c>
    </row>
    <row r="1257" spans="4:19" x14ac:dyDescent="0.25">
      <c r="D1257" t="s">
        <v>57</v>
      </c>
      <c r="E1257">
        <v>2013</v>
      </c>
      <c r="F1257" t="s">
        <v>17</v>
      </c>
      <c r="S1257">
        <v>0.92211937440153213</v>
      </c>
    </row>
    <row r="1258" spans="4:19" x14ac:dyDescent="0.25">
      <c r="D1258" t="s">
        <v>57</v>
      </c>
      <c r="E1258">
        <v>2014</v>
      </c>
      <c r="F1258" t="s">
        <v>17</v>
      </c>
      <c r="S1258">
        <v>0.97600837054393796</v>
      </c>
    </row>
    <row r="1259" spans="4:19" x14ac:dyDescent="0.25">
      <c r="D1259" t="s">
        <v>57</v>
      </c>
      <c r="E1259">
        <v>2015</v>
      </c>
      <c r="F1259" t="s">
        <v>17</v>
      </c>
      <c r="S1259">
        <v>0.97317320656630946</v>
      </c>
    </row>
    <row r="1260" spans="4:19" x14ac:dyDescent="0.25">
      <c r="D1260" t="s">
        <v>57</v>
      </c>
      <c r="E1260">
        <v>2013</v>
      </c>
      <c r="F1260" t="s">
        <v>18</v>
      </c>
      <c r="G1260">
        <v>0.88707949432183419</v>
      </c>
      <c r="H1260">
        <v>0.87241569928137097</v>
      </c>
      <c r="I1260">
        <v>0.89459709074116833</v>
      </c>
      <c r="J1260">
        <v>0.92768668160905976</v>
      </c>
      <c r="K1260">
        <v>0.95515120451050739</v>
      </c>
      <c r="L1260">
        <v>0.9447004608294931</v>
      </c>
      <c r="M1260">
        <v>0.9846689895470383</v>
      </c>
      <c r="N1260">
        <v>0.99301825993555315</v>
      </c>
      <c r="O1260">
        <v>0.98896860986547086</v>
      </c>
      <c r="P1260">
        <v>0.99091691366287404</v>
      </c>
      <c r="Q1260">
        <v>0.98826410858250846</v>
      </c>
      <c r="R1260">
        <v>0.97415993194385364</v>
      </c>
    </row>
    <row r="1261" spans="4:19" x14ac:dyDescent="0.25">
      <c r="D1261" t="s">
        <v>57</v>
      </c>
      <c r="E1261">
        <v>2014</v>
      </c>
      <c r="F1261" t="s">
        <v>18</v>
      </c>
      <c r="G1261">
        <v>0.92800000000000005</v>
      </c>
      <c r="H1261">
        <v>0.96314297286350747</v>
      </c>
      <c r="I1261">
        <v>0.96629662966296626</v>
      </c>
      <c r="J1261">
        <v>0.99839417621239701</v>
      </c>
      <c r="K1261">
        <v>0.98951621710167081</v>
      </c>
      <c r="L1261">
        <v>0.99740054249547916</v>
      </c>
      <c r="M1261">
        <v>0.99807809022860616</v>
      </c>
      <c r="N1261">
        <v>0.99883815499012429</v>
      </c>
      <c r="O1261">
        <v>0.99331885752463667</v>
      </c>
      <c r="P1261">
        <v>0.97758429047795481</v>
      </c>
      <c r="Q1261">
        <v>0.97055752766757153</v>
      </c>
      <c r="R1261">
        <v>0.97712822324267046</v>
      </c>
    </row>
    <row r="1262" spans="4:19" x14ac:dyDescent="0.25">
      <c r="D1262" t="s">
        <v>57</v>
      </c>
      <c r="E1262">
        <v>2015</v>
      </c>
      <c r="F1262" t="s">
        <v>18</v>
      </c>
      <c r="G1262">
        <v>0.97133504379368307</v>
      </c>
      <c r="H1262">
        <v>0.97480842911877397</v>
      </c>
      <c r="I1262">
        <v>0.97248448880496363</v>
      </c>
      <c r="J1262">
        <v>0.9769679300291545</v>
      </c>
      <c r="K1262">
        <v>0.97373869456249318</v>
      </c>
      <c r="L1262">
        <v>0.97209395703673962</v>
      </c>
      <c r="M1262">
        <v>0.97088082901554407</v>
      </c>
    </row>
    <row r="1263" spans="4:19" x14ac:dyDescent="0.25">
      <c r="D1263" t="s">
        <v>57</v>
      </c>
      <c r="E1263">
        <v>2013</v>
      </c>
      <c r="F1263" t="s">
        <v>19</v>
      </c>
      <c r="S1263">
        <v>0.60427085998743868</v>
      </c>
    </row>
    <row r="1264" spans="4:19" x14ac:dyDescent="0.25">
      <c r="D1264" t="s">
        <v>57</v>
      </c>
      <c r="E1264">
        <v>2014</v>
      </c>
      <c r="F1264" t="s">
        <v>19</v>
      </c>
      <c r="S1264">
        <v>0.89262022634385385</v>
      </c>
    </row>
    <row r="1265" spans="4:19" x14ac:dyDescent="0.25">
      <c r="D1265" t="s">
        <v>57</v>
      </c>
      <c r="E1265">
        <v>2015</v>
      </c>
      <c r="F1265" t="s">
        <v>19</v>
      </c>
      <c r="S1265">
        <v>0.76063528692623339</v>
      </c>
    </row>
    <row r="1266" spans="4:19" x14ac:dyDescent="0.25">
      <c r="D1266" t="s">
        <v>57</v>
      </c>
      <c r="E1266">
        <v>2013</v>
      </c>
      <c r="F1266" t="s">
        <v>20</v>
      </c>
      <c r="G1266">
        <v>0.57321505731642219</v>
      </c>
      <c r="H1266">
        <v>0.57418712457560717</v>
      </c>
      <c r="I1266">
        <v>0.53233969018083072</v>
      </c>
      <c r="J1266">
        <v>0.50501224254644961</v>
      </c>
      <c r="K1266">
        <v>0.41045542904748683</v>
      </c>
      <c r="L1266">
        <v>0.72136493065123541</v>
      </c>
      <c r="M1266">
        <v>0.96534354878148176</v>
      </c>
      <c r="N1266">
        <v>0.82705918037206794</v>
      </c>
      <c r="O1266">
        <v>0.83476768641213883</v>
      </c>
      <c r="P1266">
        <v>0.95831464274271072</v>
      </c>
      <c r="Q1266">
        <v>0.70418371350109288</v>
      </c>
      <c r="R1266">
        <v>0.90353818062082802</v>
      </c>
    </row>
    <row r="1267" spans="4:19" x14ac:dyDescent="0.25">
      <c r="D1267" t="s">
        <v>57</v>
      </c>
      <c r="E1267">
        <v>2014</v>
      </c>
      <c r="F1267" t="s">
        <v>20</v>
      </c>
      <c r="G1267">
        <v>0.94912038229988993</v>
      </c>
      <c r="H1267">
        <v>0.98566020419869216</v>
      </c>
      <c r="I1267">
        <v>0.73613975681083577</v>
      </c>
      <c r="J1267">
        <v>0.70153353861015522</v>
      </c>
      <c r="K1267">
        <v>0.83532808083238108</v>
      </c>
      <c r="L1267">
        <v>0.99746036200364807</v>
      </c>
      <c r="M1267">
        <v>0.99902440346336774</v>
      </c>
      <c r="N1267">
        <v>0.99965310770251725</v>
      </c>
      <c r="O1267">
        <v>0.98639829292336878</v>
      </c>
      <c r="P1267">
        <v>0.98088512971728614</v>
      </c>
      <c r="Q1267">
        <v>0.89993789248499068</v>
      </c>
      <c r="R1267">
        <v>0.97784986567996346</v>
      </c>
    </row>
    <row r="1268" spans="4:19" x14ac:dyDescent="0.25">
      <c r="D1268" t="s">
        <v>57</v>
      </c>
      <c r="E1268">
        <v>2015</v>
      </c>
      <c r="F1268" t="s">
        <v>20</v>
      </c>
      <c r="G1268">
        <v>0.79495405428930255</v>
      </c>
      <c r="H1268">
        <v>0.69948604412113546</v>
      </c>
      <c r="I1268">
        <v>0.63364469750536512</v>
      </c>
      <c r="J1268">
        <v>0.70355494918216244</v>
      </c>
      <c r="K1268">
        <v>0.56572008367676718</v>
      </c>
      <c r="L1268">
        <v>0.87525417366187341</v>
      </c>
      <c r="M1268">
        <v>0.98449524026677304</v>
      </c>
    </row>
    <row r="1269" spans="4:19" x14ac:dyDescent="0.25">
      <c r="D1269" t="s">
        <v>57</v>
      </c>
      <c r="E1269">
        <v>2013</v>
      </c>
      <c r="F1269" t="s">
        <v>21</v>
      </c>
      <c r="S1269">
        <v>0.97889891439395482</v>
      </c>
    </row>
    <row r="1270" spans="4:19" x14ac:dyDescent="0.25">
      <c r="D1270" t="s">
        <v>57</v>
      </c>
      <c r="E1270">
        <v>2014</v>
      </c>
      <c r="F1270" t="s">
        <v>21</v>
      </c>
      <c r="S1270">
        <v>0.99586981380028328</v>
      </c>
    </row>
    <row r="1271" spans="4:19" x14ac:dyDescent="0.25">
      <c r="D1271" t="s">
        <v>57</v>
      </c>
      <c r="E1271">
        <v>2015</v>
      </c>
      <c r="F1271" t="s">
        <v>21</v>
      </c>
      <c r="S1271">
        <v>0.916954580592235</v>
      </c>
    </row>
    <row r="1272" spans="4:19" x14ac:dyDescent="0.25">
      <c r="D1272" t="s">
        <v>57</v>
      </c>
      <c r="E1272">
        <v>2013</v>
      </c>
      <c r="F1272" t="s">
        <v>22</v>
      </c>
      <c r="G1272">
        <v>0.95687405576157125</v>
      </c>
      <c r="H1272">
        <v>0.9935433070866142</v>
      </c>
      <c r="I1272">
        <v>0.97818074598260352</v>
      </c>
      <c r="J1272">
        <v>0.9605591612581128</v>
      </c>
      <c r="K1272">
        <v>0.98556834765688339</v>
      </c>
      <c r="L1272">
        <v>0.98747036911615305</v>
      </c>
      <c r="M1272">
        <v>0.99371946964410329</v>
      </c>
      <c r="N1272">
        <v>0.99504950495049505</v>
      </c>
      <c r="O1272">
        <v>0.99634846113719355</v>
      </c>
      <c r="P1272">
        <v>0.99612231331708401</v>
      </c>
      <c r="Q1272">
        <v>0.98717034925160374</v>
      </c>
      <c r="R1272">
        <v>0.99271636675235642</v>
      </c>
    </row>
    <row r="1273" spans="4:19" x14ac:dyDescent="0.25">
      <c r="D1273" t="s">
        <v>57</v>
      </c>
      <c r="E1273">
        <v>2014</v>
      </c>
      <c r="F1273" t="s">
        <v>22</v>
      </c>
      <c r="G1273">
        <v>0.99864459289379415</v>
      </c>
      <c r="H1273">
        <v>0.99637875536480691</v>
      </c>
      <c r="I1273">
        <v>0.99725446150006236</v>
      </c>
      <c r="J1273">
        <v>0.99467699007984511</v>
      </c>
      <c r="K1273">
        <v>0.98970704671417264</v>
      </c>
      <c r="L1273">
        <v>0.99386738213875048</v>
      </c>
      <c r="M1273">
        <v>0.99901359053046912</v>
      </c>
      <c r="N1273">
        <v>0.99536883890175321</v>
      </c>
      <c r="O1273">
        <v>0.94213404552969604</v>
      </c>
      <c r="P1273">
        <v>0.89983022071307306</v>
      </c>
      <c r="Q1273">
        <v>0.95215965008201198</v>
      </c>
      <c r="R1273">
        <v>0.89093457943925236</v>
      </c>
    </row>
    <row r="1274" spans="4:19" x14ac:dyDescent="0.25">
      <c r="D1274" t="s">
        <v>57</v>
      </c>
      <c r="E1274">
        <v>2015</v>
      </c>
      <c r="F1274" t="s">
        <v>22</v>
      </c>
      <c r="G1274">
        <v>0.94051819739893139</v>
      </c>
      <c r="H1274">
        <v>0.86721777318522342</v>
      </c>
      <c r="I1274">
        <v>0.88495486459378137</v>
      </c>
      <c r="J1274">
        <v>0.90550264550264548</v>
      </c>
      <c r="K1274">
        <v>0.96338065543319629</v>
      </c>
      <c r="L1274">
        <v>0.91190625653902491</v>
      </c>
      <c r="M1274">
        <v>0.94701986754966883</v>
      </c>
    </row>
    <row r="1275" spans="4:19" x14ac:dyDescent="0.25">
      <c r="D1275" t="s">
        <v>57</v>
      </c>
      <c r="E1275">
        <v>2013</v>
      </c>
      <c r="F1275" t="s">
        <v>23</v>
      </c>
      <c r="S1275">
        <v>142296</v>
      </c>
    </row>
    <row r="1276" spans="4:19" x14ac:dyDescent="0.25">
      <c r="D1276" t="s">
        <v>57</v>
      </c>
      <c r="E1276">
        <v>2014</v>
      </c>
      <c r="F1276" t="s">
        <v>23</v>
      </c>
      <c r="S1276">
        <v>121546</v>
      </c>
    </row>
    <row r="1277" spans="4:19" x14ac:dyDescent="0.25">
      <c r="D1277" t="s">
        <v>57</v>
      </c>
      <c r="E1277">
        <v>2015</v>
      </c>
      <c r="F1277" t="s">
        <v>23</v>
      </c>
      <c r="S1277">
        <v>122193</v>
      </c>
    </row>
    <row r="1278" spans="4:19" x14ac:dyDescent="0.25">
      <c r="D1278" t="s">
        <v>57</v>
      </c>
      <c r="E1278">
        <v>2013</v>
      </c>
      <c r="F1278" t="s">
        <v>24</v>
      </c>
      <c r="G1278">
        <v>23734</v>
      </c>
      <c r="H1278">
        <v>24414</v>
      </c>
      <c r="I1278">
        <v>22493</v>
      </c>
      <c r="J1278">
        <v>19301</v>
      </c>
      <c r="K1278">
        <v>19193</v>
      </c>
      <c r="L1278">
        <v>15926</v>
      </c>
      <c r="M1278">
        <v>17235</v>
      </c>
      <c r="N1278">
        <v>17348</v>
      </c>
      <c r="O1278">
        <v>20083</v>
      </c>
      <c r="P1278">
        <v>18494</v>
      </c>
      <c r="Q1278">
        <v>18594</v>
      </c>
      <c r="R1278">
        <v>17196</v>
      </c>
    </row>
    <row r="1279" spans="4:19" x14ac:dyDescent="0.25">
      <c r="D1279" t="s">
        <v>57</v>
      </c>
      <c r="E1279">
        <v>2014</v>
      </c>
      <c r="F1279" t="s">
        <v>24</v>
      </c>
      <c r="G1279">
        <v>19184</v>
      </c>
      <c r="H1279">
        <v>19632</v>
      </c>
      <c r="I1279">
        <v>16894</v>
      </c>
      <c r="J1279">
        <v>16057</v>
      </c>
      <c r="K1279">
        <v>15009</v>
      </c>
      <c r="L1279">
        <v>16983</v>
      </c>
      <c r="M1279">
        <v>17787</v>
      </c>
      <c r="N1279">
        <v>17639</v>
      </c>
      <c r="O1279">
        <v>23063</v>
      </c>
      <c r="P1279">
        <v>20657</v>
      </c>
      <c r="Q1279">
        <v>17569</v>
      </c>
      <c r="R1279">
        <v>17796</v>
      </c>
    </row>
    <row r="1280" spans="4:19" x14ac:dyDescent="0.25">
      <c r="D1280" t="s">
        <v>57</v>
      </c>
      <c r="E1280">
        <v>2015</v>
      </c>
      <c r="F1280" t="s">
        <v>24</v>
      </c>
      <c r="G1280">
        <v>17919</v>
      </c>
      <c r="H1280">
        <v>19012</v>
      </c>
      <c r="I1280">
        <v>19121</v>
      </c>
      <c r="J1280">
        <v>17416</v>
      </c>
      <c r="K1280">
        <v>15179</v>
      </c>
      <c r="L1280">
        <v>16677</v>
      </c>
      <c r="M1280">
        <v>16869</v>
      </c>
    </row>
    <row r="1281" spans="4:19" x14ac:dyDescent="0.25">
      <c r="D1281" t="s">
        <v>57</v>
      </c>
      <c r="E1281">
        <v>2013</v>
      </c>
      <c r="F1281" t="s">
        <v>25</v>
      </c>
      <c r="S1281">
        <v>423207</v>
      </c>
    </row>
    <row r="1282" spans="4:19" x14ac:dyDescent="0.25">
      <c r="D1282" t="s">
        <v>57</v>
      </c>
      <c r="E1282">
        <v>2014</v>
      </c>
      <c r="F1282" t="s">
        <v>25</v>
      </c>
      <c r="S1282">
        <v>420722</v>
      </c>
    </row>
    <row r="1283" spans="4:19" x14ac:dyDescent="0.25">
      <c r="D1283" t="s">
        <v>57</v>
      </c>
      <c r="E1283">
        <v>2015</v>
      </c>
      <c r="F1283" t="s">
        <v>25</v>
      </c>
      <c r="S1283">
        <v>437971</v>
      </c>
    </row>
    <row r="1284" spans="4:19" x14ac:dyDescent="0.25">
      <c r="D1284" t="s">
        <v>57</v>
      </c>
      <c r="E1284">
        <v>2013</v>
      </c>
      <c r="F1284" t="s">
        <v>26</v>
      </c>
      <c r="G1284">
        <v>79622</v>
      </c>
      <c r="H1284">
        <v>57688</v>
      </c>
      <c r="I1284">
        <v>56854</v>
      </c>
      <c r="J1284">
        <v>53755</v>
      </c>
      <c r="K1284">
        <v>53079</v>
      </c>
      <c r="L1284">
        <v>61597</v>
      </c>
      <c r="M1284">
        <v>60612</v>
      </c>
      <c r="N1284">
        <v>63218</v>
      </c>
      <c r="O1284">
        <v>75607</v>
      </c>
      <c r="P1284">
        <v>80331</v>
      </c>
      <c r="Q1284">
        <v>63076</v>
      </c>
      <c r="R1284">
        <v>70918</v>
      </c>
    </row>
    <row r="1285" spans="4:19" x14ac:dyDescent="0.25">
      <c r="D1285" t="s">
        <v>57</v>
      </c>
      <c r="E1285">
        <v>2014</v>
      </c>
      <c r="F1285" t="s">
        <v>26</v>
      </c>
      <c r="G1285">
        <v>73388</v>
      </c>
      <c r="H1285">
        <v>62620</v>
      </c>
      <c r="I1285">
        <v>57721</v>
      </c>
      <c r="J1285">
        <v>56204</v>
      </c>
      <c r="K1285">
        <v>52648</v>
      </c>
      <c r="L1285">
        <v>56683</v>
      </c>
      <c r="M1285">
        <v>61458</v>
      </c>
      <c r="N1285">
        <v>63177</v>
      </c>
      <c r="O1285">
        <v>73308</v>
      </c>
      <c r="P1285">
        <v>71830</v>
      </c>
      <c r="Q1285">
        <v>62706</v>
      </c>
      <c r="R1285">
        <v>79326</v>
      </c>
    </row>
    <row r="1286" spans="4:19" x14ac:dyDescent="0.25">
      <c r="D1286" t="s">
        <v>57</v>
      </c>
      <c r="E1286">
        <v>2015</v>
      </c>
      <c r="F1286" t="s">
        <v>26</v>
      </c>
      <c r="G1286">
        <v>73380</v>
      </c>
      <c r="H1286">
        <v>55843</v>
      </c>
      <c r="I1286">
        <v>63248</v>
      </c>
      <c r="J1286">
        <v>55073</v>
      </c>
      <c r="K1286">
        <v>55393</v>
      </c>
      <c r="L1286">
        <v>67592</v>
      </c>
      <c r="M1286">
        <v>67442</v>
      </c>
    </row>
    <row r="1287" spans="4:19" x14ac:dyDescent="0.25">
      <c r="D1287" t="s">
        <v>57</v>
      </c>
      <c r="E1287">
        <v>2013</v>
      </c>
      <c r="F1287" t="s">
        <v>27</v>
      </c>
      <c r="S1287">
        <v>714316</v>
      </c>
    </row>
    <row r="1288" spans="4:19" x14ac:dyDescent="0.25">
      <c r="D1288" t="s">
        <v>57</v>
      </c>
      <c r="E1288">
        <v>2014</v>
      </c>
      <c r="F1288" t="s">
        <v>27</v>
      </c>
      <c r="S1288">
        <v>681794</v>
      </c>
    </row>
    <row r="1289" spans="4:19" x14ac:dyDescent="0.25">
      <c r="D1289" t="s">
        <v>57</v>
      </c>
      <c r="E1289">
        <v>2015</v>
      </c>
      <c r="F1289" t="s">
        <v>27</v>
      </c>
      <c r="S1289">
        <v>735607</v>
      </c>
    </row>
    <row r="1290" spans="4:19" x14ac:dyDescent="0.25">
      <c r="D1290" t="s">
        <v>57</v>
      </c>
      <c r="E1290">
        <v>2013</v>
      </c>
      <c r="F1290" t="s">
        <v>28</v>
      </c>
      <c r="G1290">
        <v>130626</v>
      </c>
      <c r="H1290">
        <v>102249</v>
      </c>
      <c r="I1290">
        <v>99420</v>
      </c>
      <c r="J1290">
        <v>93860</v>
      </c>
      <c r="K1290">
        <v>85922</v>
      </c>
      <c r="L1290">
        <v>99294</v>
      </c>
      <c r="M1290">
        <v>102945</v>
      </c>
      <c r="N1290">
        <v>101876</v>
      </c>
      <c r="O1290">
        <v>126508</v>
      </c>
      <c r="P1290">
        <v>135871</v>
      </c>
      <c r="Q1290">
        <v>102948</v>
      </c>
      <c r="R1290">
        <v>114087</v>
      </c>
    </row>
    <row r="1291" spans="4:19" x14ac:dyDescent="0.25">
      <c r="D1291" t="s">
        <v>57</v>
      </c>
      <c r="E1291">
        <v>2014</v>
      </c>
      <c r="F1291" t="s">
        <v>28</v>
      </c>
      <c r="G1291">
        <v>117737</v>
      </c>
      <c r="H1291">
        <v>102813</v>
      </c>
      <c r="I1291">
        <v>94264</v>
      </c>
      <c r="J1291">
        <v>90685</v>
      </c>
      <c r="K1291">
        <v>84590</v>
      </c>
      <c r="L1291">
        <v>91272</v>
      </c>
      <c r="M1291">
        <v>100433</v>
      </c>
      <c r="N1291">
        <v>98621</v>
      </c>
      <c r="O1291">
        <v>121370</v>
      </c>
      <c r="P1291">
        <v>119169</v>
      </c>
      <c r="Q1291">
        <v>102366</v>
      </c>
      <c r="R1291">
        <v>127669</v>
      </c>
    </row>
    <row r="1292" spans="4:19" x14ac:dyDescent="0.25">
      <c r="D1292" t="s">
        <v>57</v>
      </c>
      <c r="E1292">
        <v>2015</v>
      </c>
      <c r="F1292" t="s">
        <v>28</v>
      </c>
      <c r="G1292">
        <v>118358</v>
      </c>
      <c r="H1292">
        <v>94055</v>
      </c>
      <c r="I1292">
        <v>108690</v>
      </c>
      <c r="J1292">
        <v>96446</v>
      </c>
      <c r="K1292">
        <v>89782</v>
      </c>
      <c r="L1292">
        <v>114888</v>
      </c>
      <c r="M1292">
        <v>113388</v>
      </c>
    </row>
    <row r="1293" spans="4:19" x14ac:dyDescent="0.25">
      <c r="D1293" t="s">
        <v>57</v>
      </c>
      <c r="E1293">
        <v>2013</v>
      </c>
      <c r="F1293" t="s">
        <v>29</v>
      </c>
      <c r="S1293">
        <v>59527</v>
      </c>
    </row>
    <row r="1294" spans="4:19" x14ac:dyDescent="0.25">
      <c r="D1294" t="s">
        <v>57</v>
      </c>
      <c r="E1294">
        <v>2014</v>
      </c>
      <c r="F1294" t="s">
        <v>29</v>
      </c>
      <c r="S1294">
        <v>67857</v>
      </c>
    </row>
    <row r="1295" spans="4:19" x14ac:dyDescent="0.25">
      <c r="D1295" t="s">
        <v>57</v>
      </c>
      <c r="E1295">
        <v>2015</v>
      </c>
      <c r="F1295" t="s">
        <v>29</v>
      </c>
      <c r="S1295">
        <v>71943</v>
      </c>
    </row>
    <row r="1296" spans="4:19" x14ac:dyDescent="0.25">
      <c r="D1296" t="s">
        <v>57</v>
      </c>
      <c r="E1296">
        <v>2013</v>
      </c>
      <c r="F1296" t="s">
        <v>30</v>
      </c>
      <c r="G1296">
        <v>9334</v>
      </c>
      <c r="H1296">
        <v>9045</v>
      </c>
      <c r="I1296">
        <v>8662</v>
      </c>
      <c r="J1296">
        <v>8477</v>
      </c>
      <c r="K1296">
        <v>7804</v>
      </c>
      <c r="L1296">
        <v>7595</v>
      </c>
      <c r="M1296">
        <v>8610</v>
      </c>
      <c r="N1296">
        <v>7448</v>
      </c>
      <c r="O1296">
        <v>11150</v>
      </c>
      <c r="P1296">
        <v>10459</v>
      </c>
      <c r="Q1296">
        <v>9799</v>
      </c>
      <c r="R1296">
        <v>9404</v>
      </c>
    </row>
    <row r="1297" spans="4:19" x14ac:dyDescent="0.25">
      <c r="D1297" t="s">
        <v>57</v>
      </c>
      <c r="E1297">
        <v>2014</v>
      </c>
      <c r="F1297" t="s">
        <v>30</v>
      </c>
      <c r="G1297">
        <v>10750</v>
      </c>
      <c r="H1297">
        <v>9876</v>
      </c>
      <c r="I1297">
        <v>9999</v>
      </c>
      <c r="J1297">
        <v>9341</v>
      </c>
      <c r="K1297">
        <v>9157</v>
      </c>
      <c r="L1297">
        <v>8848</v>
      </c>
      <c r="M1297">
        <v>9886</v>
      </c>
      <c r="N1297">
        <v>8607</v>
      </c>
      <c r="O1297">
        <v>11974</v>
      </c>
      <c r="P1297">
        <v>10796</v>
      </c>
      <c r="Q1297">
        <v>9578</v>
      </c>
      <c r="R1297">
        <v>11324</v>
      </c>
    </row>
    <row r="1298" spans="4:19" x14ac:dyDescent="0.25">
      <c r="D1298" t="s">
        <v>57</v>
      </c>
      <c r="E1298">
        <v>2015</v>
      </c>
      <c r="F1298" t="s">
        <v>30</v>
      </c>
      <c r="G1298">
        <v>11303</v>
      </c>
      <c r="H1298">
        <v>10440</v>
      </c>
      <c r="I1298">
        <v>11121</v>
      </c>
      <c r="J1298">
        <v>10290</v>
      </c>
      <c r="K1298">
        <v>9177</v>
      </c>
      <c r="L1298">
        <v>9962</v>
      </c>
      <c r="M1298">
        <v>9650</v>
      </c>
    </row>
    <row r="1299" spans="4:19" x14ac:dyDescent="0.25">
      <c r="D1299" t="s">
        <v>57</v>
      </c>
      <c r="E1299">
        <v>2013</v>
      </c>
      <c r="F1299" t="s">
        <v>31</v>
      </c>
      <c r="S1299">
        <v>0.80572890313150058</v>
      </c>
    </row>
    <row r="1300" spans="4:19" x14ac:dyDescent="0.25">
      <c r="D1300" t="s">
        <v>57</v>
      </c>
      <c r="E1300">
        <v>2014</v>
      </c>
      <c r="F1300" t="s">
        <v>31</v>
      </c>
      <c r="S1300">
        <v>0.95373767956164746</v>
      </c>
    </row>
    <row r="1301" spans="4:19" x14ac:dyDescent="0.25">
      <c r="D1301" t="s">
        <v>57</v>
      </c>
      <c r="E1301">
        <v>2015</v>
      </c>
      <c r="F1301" t="s">
        <v>31</v>
      </c>
      <c r="S1301">
        <v>0.89812837069226548</v>
      </c>
    </row>
    <row r="1302" spans="4:19" x14ac:dyDescent="0.25">
      <c r="D1302" t="s">
        <v>57</v>
      </c>
      <c r="E1302">
        <v>2013</v>
      </c>
      <c r="F1302" t="s">
        <v>32</v>
      </c>
      <c r="G1302">
        <v>0.81402207803151594</v>
      </c>
      <c r="H1302">
        <v>0.77652166789546984</v>
      </c>
      <c r="I1302">
        <v>0.74752145111812562</v>
      </c>
      <c r="J1302">
        <v>0.80809284493031452</v>
      </c>
      <c r="K1302">
        <v>0.79289324232793201</v>
      </c>
      <c r="L1302">
        <v>0.83687052618359914</v>
      </c>
      <c r="M1302">
        <v>0.89451697127937335</v>
      </c>
      <c r="N1302">
        <v>0.94016601337329953</v>
      </c>
      <c r="O1302">
        <v>0.91062092316884924</v>
      </c>
      <c r="P1302">
        <v>0.95701308532497031</v>
      </c>
      <c r="Q1302">
        <v>0.82601914596106274</v>
      </c>
      <c r="R1302">
        <v>0.91829495231449176</v>
      </c>
    </row>
    <row r="1303" spans="4:19" x14ac:dyDescent="0.25">
      <c r="D1303" t="s">
        <v>57</v>
      </c>
      <c r="E1303">
        <v>2014</v>
      </c>
      <c r="F1303" t="s">
        <v>32</v>
      </c>
      <c r="G1303">
        <v>0.97018348623853212</v>
      </c>
      <c r="H1303">
        <v>0.98624694376528121</v>
      </c>
      <c r="I1303">
        <v>0.98425476500532738</v>
      </c>
      <c r="J1303">
        <v>0.9557202466214112</v>
      </c>
      <c r="K1303">
        <v>0.97748017855953095</v>
      </c>
      <c r="L1303">
        <v>0.89730907377966207</v>
      </c>
      <c r="M1303">
        <v>0.90318772136953951</v>
      </c>
      <c r="N1303">
        <v>0.91892964453767223</v>
      </c>
      <c r="O1303">
        <v>0.93149200017343803</v>
      </c>
      <c r="P1303">
        <v>0.91620273999128621</v>
      </c>
      <c r="Q1303">
        <v>0.92708748363594973</v>
      </c>
      <c r="R1303">
        <v>0.92279163857046531</v>
      </c>
    </row>
    <row r="1304" spans="4:19" x14ac:dyDescent="0.25">
      <c r="D1304" t="s">
        <v>57</v>
      </c>
      <c r="E1304">
        <v>2015</v>
      </c>
      <c r="F1304" t="s">
        <v>32</v>
      </c>
      <c r="G1304">
        <v>0.91768513867961377</v>
      </c>
      <c r="H1304">
        <v>0.9085840521775721</v>
      </c>
      <c r="I1304">
        <v>0.89216045185921233</v>
      </c>
      <c r="J1304">
        <v>0.84904685346807529</v>
      </c>
      <c r="K1304">
        <v>0.89274655774425193</v>
      </c>
      <c r="L1304">
        <v>0.93266174971517657</v>
      </c>
      <c r="M1304">
        <v>0.89371035627482365</v>
      </c>
    </row>
    <row r="1305" spans="4:19" x14ac:dyDescent="0.25">
      <c r="D1305" t="s">
        <v>57</v>
      </c>
      <c r="E1305">
        <v>2013</v>
      </c>
      <c r="F1305" t="s">
        <v>33</v>
      </c>
      <c r="S1305">
        <v>0.79942653105388439</v>
      </c>
    </row>
    <row r="1306" spans="4:19" x14ac:dyDescent="0.25">
      <c r="D1306" t="s">
        <v>57</v>
      </c>
      <c r="E1306">
        <v>2014</v>
      </c>
      <c r="F1306" t="s">
        <v>33</v>
      </c>
      <c r="S1306">
        <v>0.9625013517897697</v>
      </c>
    </row>
    <row r="1307" spans="4:19" x14ac:dyDescent="0.25">
      <c r="D1307" t="s">
        <v>57</v>
      </c>
      <c r="E1307">
        <v>2015</v>
      </c>
      <c r="F1307" t="s">
        <v>33</v>
      </c>
      <c r="S1307">
        <v>0.90244624186230027</v>
      </c>
    </row>
    <row r="1308" spans="4:19" x14ac:dyDescent="0.25">
      <c r="D1308" t="s">
        <v>57</v>
      </c>
      <c r="E1308">
        <v>2013</v>
      </c>
      <c r="F1308" t="s">
        <v>34</v>
      </c>
      <c r="G1308">
        <v>0.81039775324929786</v>
      </c>
      <c r="H1308">
        <v>0.76078876078876079</v>
      </c>
      <c r="I1308">
        <v>0.72465023317788146</v>
      </c>
      <c r="J1308">
        <v>0.81352572742408624</v>
      </c>
      <c r="K1308">
        <v>0.79589735466497702</v>
      </c>
      <c r="L1308">
        <v>0.87159068285884933</v>
      </c>
      <c r="M1308">
        <v>0.86427200438716756</v>
      </c>
      <c r="N1308">
        <v>0.90514484145115603</v>
      </c>
      <c r="O1308">
        <v>0.86151828421539889</v>
      </c>
      <c r="P1308">
        <v>0.93241520020402957</v>
      </c>
      <c r="Q1308">
        <v>0.73684210526315785</v>
      </c>
      <c r="R1308">
        <v>0.86915626746135222</v>
      </c>
    </row>
    <row r="1309" spans="4:19" x14ac:dyDescent="0.25">
      <c r="D1309" t="s">
        <v>57</v>
      </c>
      <c r="E1309">
        <v>2014</v>
      </c>
      <c r="F1309" t="s">
        <v>34</v>
      </c>
      <c r="G1309">
        <v>0.95494998818618571</v>
      </c>
      <c r="H1309">
        <v>0.97900303289524848</v>
      </c>
      <c r="I1309">
        <v>0.97621176891432659</v>
      </c>
      <c r="J1309">
        <v>0.9347466960352423</v>
      </c>
      <c r="K1309">
        <v>0.96665351223362272</v>
      </c>
      <c r="L1309">
        <v>0.95835288596902868</v>
      </c>
      <c r="M1309">
        <v>0.96589429835980212</v>
      </c>
      <c r="N1309">
        <v>0.9772756617172369</v>
      </c>
      <c r="O1309">
        <v>0.95294117647058818</v>
      </c>
      <c r="P1309">
        <v>0.93205317577548008</v>
      </c>
      <c r="Q1309">
        <v>0.93605983833996864</v>
      </c>
      <c r="R1309">
        <v>0.93652467313369891</v>
      </c>
    </row>
    <row r="1310" spans="4:19" x14ac:dyDescent="0.25">
      <c r="D1310" t="s">
        <v>57</v>
      </c>
      <c r="E1310">
        <v>2015</v>
      </c>
      <c r="F1310" t="s">
        <v>34</v>
      </c>
      <c r="G1310">
        <v>0.92708333333333337</v>
      </c>
      <c r="H1310">
        <v>0.91360863029445571</v>
      </c>
      <c r="I1310">
        <v>0.89858341604258773</v>
      </c>
      <c r="J1310">
        <v>0.82744643891140701</v>
      </c>
      <c r="K1310">
        <v>0.89043706085506724</v>
      </c>
      <c r="L1310">
        <v>0.96149592842062936</v>
      </c>
      <c r="M1310">
        <v>0.89795707800247626</v>
      </c>
    </row>
    <row r="1311" spans="4:19" x14ac:dyDescent="0.25">
      <c r="D1311" t="s">
        <v>58</v>
      </c>
      <c r="E1311">
        <v>2013</v>
      </c>
      <c r="F1311" t="s">
        <v>17</v>
      </c>
      <c r="S1311">
        <v>0.82923255056626988</v>
      </c>
    </row>
    <row r="1312" spans="4:19" x14ac:dyDescent="0.25">
      <c r="D1312" t="s">
        <v>58</v>
      </c>
      <c r="E1312">
        <v>2014</v>
      </c>
      <c r="F1312" t="s">
        <v>17</v>
      </c>
      <c r="S1312">
        <v>0.85043511727853915</v>
      </c>
    </row>
    <row r="1313" spans="4:19" x14ac:dyDescent="0.25">
      <c r="D1313" t="s">
        <v>58</v>
      </c>
      <c r="E1313">
        <v>2015</v>
      </c>
      <c r="F1313" t="s">
        <v>17</v>
      </c>
      <c r="S1313">
        <v>0.63362570009510721</v>
      </c>
    </row>
    <row r="1314" spans="4:19" x14ac:dyDescent="0.25">
      <c r="D1314" t="s">
        <v>58</v>
      </c>
      <c r="E1314">
        <v>2013</v>
      </c>
      <c r="F1314" t="s">
        <v>18</v>
      </c>
      <c r="G1314">
        <v>0.82199005984379758</v>
      </c>
      <c r="H1314">
        <v>0.70394588500563693</v>
      </c>
      <c r="I1314">
        <v>0.85277329025309634</v>
      </c>
      <c r="J1314">
        <v>0.87708116545265347</v>
      </c>
      <c r="K1314">
        <v>0.86490008688097308</v>
      </c>
      <c r="L1314">
        <v>0.93992619926199261</v>
      </c>
      <c r="M1314">
        <v>0.76133084365982007</v>
      </c>
      <c r="N1314">
        <v>0.50840657241115783</v>
      </c>
      <c r="O1314">
        <v>0.7948107593430136</v>
      </c>
      <c r="P1314">
        <v>0.89725879559680555</v>
      </c>
      <c r="Q1314">
        <v>0.86572199730094468</v>
      </c>
      <c r="R1314">
        <v>0.85693801014780502</v>
      </c>
    </row>
    <row r="1315" spans="4:19" x14ac:dyDescent="0.25">
      <c r="D1315" t="s">
        <v>58</v>
      </c>
      <c r="E1315">
        <v>2014</v>
      </c>
      <c r="F1315" t="s">
        <v>18</v>
      </c>
      <c r="G1315">
        <v>0.82744654798907413</v>
      </c>
      <c r="H1315">
        <v>0.84555720314816929</v>
      </c>
      <c r="I1315">
        <v>0.86861637310291351</v>
      </c>
      <c r="J1315">
        <v>0.89905913978494623</v>
      </c>
      <c r="K1315">
        <v>0.80241574709215624</v>
      </c>
      <c r="L1315">
        <v>0.8229773462783172</v>
      </c>
      <c r="M1315">
        <v>1</v>
      </c>
      <c r="N1315">
        <v>0.96910569105691058</v>
      </c>
      <c r="O1315">
        <v>0.91079393398751118</v>
      </c>
      <c r="P1315">
        <v>0.92101341281669147</v>
      </c>
      <c r="Q1315">
        <v>0.90866141732283467</v>
      </c>
      <c r="R1315">
        <v>0.94577352472089316</v>
      </c>
    </row>
    <row r="1316" spans="4:19" x14ac:dyDescent="0.25">
      <c r="D1316" t="s">
        <v>58</v>
      </c>
      <c r="E1316">
        <v>2015</v>
      </c>
      <c r="F1316" t="s">
        <v>18</v>
      </c>
      <c r="G1316">
        <v>0.94483450351053155</v>
      </c>
      <c r="H1316">
        <v>0.96234309623430958</v>
      </c>
      <c r="I1316">
        <v>0.97496087636932705</v>
      </c>
      <c r="J1316">
        <v>0.52850162866449513</v>
      </c>
      <c r="K1316">
        <v>0.51135442011354415</v>
      </c>
      <c r="L1316">
        <v>0.53138871274571975</v>
      </c>
      <c r="M1316">
        <v>0.53996737357259383</v>
      </c>
    </row>
    <row r="1317" spans="4:19" x14ac:dyDescent="0.25">
      <c r="D1317" t="s">
        <v>58</v>
      </c>
      <c r="E1317">
        <v>2013</v>
      </c>
      <c r="F1317" t="s">
        <v>19</v>
      </c>
      <c r="S1317">
        <v>0.65768253471940996</v>
      </c>
    </row>
    <row r="1318" spans="4:19" x14ac:dyDescent="0.25">
      <c r="D1318" t="s">
        <v>58</v>
      </c>
      <c r="E1318">
        <v>2014</v>
      </c>
      <c r="F1318" t="s">
        <v>19</v>
      </c>
      <c r="S1318">
        <v>0.81520715381766229</v>
      </c>
    </row>
    <row r="1319" spans="4:19" x14ac:dyDescent="0.25">
      <c r="D1319" t="s">
        <v>58</v>
      </c>
      <c r="E1319">
        <v>2015</v>
      </c>
      <c r="F1319" t="s">
        <v>19</v>
      </c>
      <c r="S1319">
        <v>0.93457873079861065</v>
      </c>
    </row>
    <row r="1320" spans="4:19" x14ac:dyDescent="0.25">
      <c r="D1320" t="s">
        <v>58</v>
      </c>
      <c r="E1320">
        <v>2013</v>
      </c>
      <c r="F1320" t="s">
        <v>20</v>
      </c>
      <c r="G1320">
        <v>0.58822842006855713</v>
      </c>
      <c r="H1320">
        <v>0.97975718293508751</v>
      </c>
      <c r="I1320">
        <v>0.65021527556656933</v>
      </c>
      <c r="J1320">
        <v>0.61516168155113482</v>
      </c>
      <c r="K1320">
        <v>0.58096080590709687</v>
      </c>
      <c r="L1320">
        <v>0.55485082752613235</v>
      </c>
      <c r="M1320">
        <v>0.60259483504262945</v>
      </c>
      <c r="N1320">
        <v>0.5603339664153143</v>
      </c>
      <c r="O1320">
        <v>0.5408617013297331</v>
      </c>
      <c r="P1320">
        <v>0.71050775029731306</v>
      </c>
      <c r="Q1320">
        <v>0.60608153609724935</v>
      </c>
      <c r="R1320">
        <v>0.59024614484516691</v>
      </c>
    </row>
    <row r="1321" spans="4:19" x14ac:dyDescent="0.25">
      <c r="D1321" t="s">
        <v>58</v>
      </c>
      <c r="E1321">
        <v>2014</v>
      </c>
      <c r="F1321" t="s">
        <v>20</v>
      </c>
      <c r="G1321">
        <v>0.71496518993957892</v>
      </c>
      <c r="H1321">
        <v>0.97508116657879407</v>
      </c>
      <c r="I1321">
        <v>0.90811638591117916</v>
      </c>
      <c r="J1321">
        <v>0.87189946707020194</v>
      </c>
      <c r="K1321">
        <v>0.71892816419612315</v>
      </c>
      <c r="L1321">
        <v>0.67490886297279906</v>
      </c>
      <c r="M1321">
        <v>0.85056433408577881</v>
      </c>
      <c r="N1321">
        <v>0.88103585130308237</v>
      </c>
      <c r="O1321">
        <v>0.82149276001220795</v>
      </c>
      <c r="P1321">
        <v>0.98927710703100447</v>
      </c>
      <c r="Q1321">
        <v>0.99231017580933933</v>
      </c>
      <c r="R1321">
        <v>0.99626588034282249</v>
      </c>
    </row>
    <row r="1322" spans="4:19" x14ac:dyDescent="0.25">
      <c r="D1322" t="s">
        <v>58</v>
      </c>
      <c r="E1322">
        <v>2015</v>
      </c>
      <c r="F1322" t="s">
        <v>20</v>
      </c>
      <c r="G1322">
        <v>0.99241194207892902</v>
      </c>
      <c r="H1322">
        <v>0.98955698900287004</v>
      </c>
      <c r="I1322">
        <v>0.98951117661508226</v>
      </c>
      <c r="J1322">
        <v>0.98776978417266192</v>
      </c>
      <c r="K1322">
        <v>0.93737748155540512</v>
      </c>
      <c r="L1322">
        <v>0.8013266214261876</v>
      </c>
      <c r="M1322">
        <v>0.8293797576927201</v>
      </c>
    </row>
    <row r="1323" spans="4:19" x14ac:dyDescent="0.25">
      <c r="D1323" t="s">
        <v>58</v>
      </c>
      <c r="E1323">
        <v>2013</v>
      </c>
      <c r="F1323" t="s">
        <v>21</v>
      </c>
      <c r="S1323">
        <v>0.97886312333264924</v>
      </c>
    </row>
    <row r="1324" spans="4:19" x14ac:dyDescent="0.25">
      <c r="D1324" t="s">
        <v>58</v>
      </c>
      <c r="E1324">
        <v>2014</v>
      </c>
      <c r="F1324" t="s">
        <v>21</v>
      </c>
      <c r="S1324">
        <v>0.9600664118572837</v>
      </c>
    </row>
    <row r="1325" spans="4:19" x14ac:dyDescent="0.25">
      <c r="D1325" t="s">
        <v>58</v>
      </c>
      <c r="E1325">
        <v>2015</v>
      </c>
      <c r="F1325" t="s">
        <v>21</v>
      </c>
      <c r="S1325">
        <v>0.99696728572072002</v>
      </c>
    </row>
    <row r="1326" spans="4:19" x14ac:dyDescent="0.25">
      <c r="D1326" t="s">
        <v>58</v>
      </c>
      <c r="E1326">
        <v>2013</v>
      </c>
      <c r="F1326" t="s">
        <v>22</v>
      </c>
      <c r="G1326">
        <v>0.97203355972832606</v>
      </c>
      <c r="H1326">
        <v>0.97400861428783603</v>
      </c>
      <c r="I1326">
        <v>0.9855801031882524</v>
      </c>
      <c r="J1326">
        <v>0.979233023315072</v>
      </c>
      <c r="K1326">
        <v>0.97618311166099603</v>
      </c>
      <c r="L1326">
        <v>0.97545757071547423</v>
      </c>
      <c r="M1326">
        <v>0.9903499742665981</v>
      </c>
      <c r="N1326">
        <v>0.95949112822229665</v>
      </c>
      <c r="O1326">
        <v>0.98584972406961935</v>
      </c>
      <c r="P1326">
        <v>0.98189354275741714</v>
      </c>
      <c r="Q1326">
        <v>0.96159638554216864</v>
      </c>
      <c r="R1326">
        <v>0.98664122137404575</v>
      </c>
    </row>
    <row r="1327" spans="4:19" x14ac:dyDescent="0.25">
      <c r="D1327" t="s">
        <v>58</v>
      </c>
      <c r="E1327">
        <v>2014</v>
      </c>
      <c r="F1327" t="s">
        <v>22</v>
      </c>
      <c r="G1327">
        <v>0.91994697124209668</v>
      </c>
      <c r="H1327">
        <v>0.99306851506264993</v>
      </c>
      <c r="I1327">
        <v>0.97414614233229013</v>
      </c>
      <c r="J1327">
        <v>0.95852641334569044</v>
      </c>
      <c r="K1327">
        <v>0.96792557622882536</v>
      </c>
      <c r="L1327">
        <v>0.96179382644146771</v>
      </c>
      <c r="M1327">
        <v>0.95826186392224133</v>
      </c>
      <c r="N1327">
        <v>0.9541103175809148</v>
      </c>
      <c r="O1327">
        <v>0.97215833434208931</v>
      </c>
      <c r="P1327">
        <v>0.97279614325068875</v>
      </c>
      <c r="Q1327">
        <v>0.94278714512177553</v>
      </c>
      <c r="R1327">
        <v>0.9087934128575953</v>
      </c>
    </row>
    <row r="1328" spans="4:19" x14ac:dyDescent="0.25">
      <c r="D1328" t="s">
        <v>58</v>
      </c>
      <c r="E1328">
        <v>2015</v>
      </c>
      <c r="F1328" t="s">
        <v>22</v>
      </c>
      <c r="G1328">
        <v>0.99269639065817405</v>
      </c>
      <c r="H1328">
        <v>0.99751608896917687</v>
      </c>
      <c r="I1328">
        <v>0.99948416382956773</v>
      </c>
      <c r="J1328">
        <v>0.99883978483282354</v>
      </c>
      <c r="K1328">
        <v>0.9971696899523993</v>
      </c>
      <c r="L1328">
        <v>0.99630996309963105</v>
      </c>
      <c r="M1328">
        <v>0.99779943414020744</v>
      </c>
    </row>
    <row r="1329" spans="4:19" x14ac:dyDescent="0.25">
      <c r="D1329" t="s">
        <v>58</v>
      </c>
      <c r="E1329">
        <v>2013</v>
      </c>
      <c r="F1329" t="s">
        <v>23</v>
      </c>
      <c r="S1329">
        <v>136306</v>
      </c>
    </row>
    <row r="1330" spans="4:19" x14ac:dyDescent="0.25">
      <c r="D1330" t="s">
        <v>58</v>
      </c>
      <c r="E1330">
        <v>2014</v>
      </c>
      <c r="F1330" t="s">
        <v>23</v>
      </c>
      <c r="S1330">
        <v>136539</v>
      </c>
    </row>
    <row r="1331" spans="4:19" x14ac:dyDescent="0.25">
      <c r="D1331" t="s">
        <v>58</v>
      </c>
      <c r="E1331">
        <v>2015</v>
      </c>
      <c r="F1331" t="s">
        <v>23</v>
      </c>
      <c r="S1331">
        <v>135955</v>
      </c>
    </row>
    <row r="1332" spans="4:19" x14ac:dyDescent="0.25">
      <c r="D1332" t="s">
        <v>58</v>
      </c>
      <c r="E1332">
        <v>2013</v>
      </c>
      <c r="F1332" t="s">
        <v>24</v>
      </c>
      <c r="G1332">
        <v>23400</v>
      </c>
      <c r="H1332">
        <v>21594</v>
      </c>
      <c r="I1332">
        <v>17727</v>
      </c>
      <c r="J1332">
        <v>17021</v>
      </c>
      <c r="K1332">
        <v>19932</v>
      </c>
      <c r="L1332">
        <v>17311</v>
      </c>
      <c r="M1332">
        <v>19321</v>
      </c>
      <c r="N1332">
        <v>18755</v>
      </c>
      <c r="O1332">
        <v>22175</v>
      </c>
      <c r="P1332">
        <v>21710</v>
      </c>
      <c r="Q1332">
        <v>20010</v>
      </c>
      <c r="R1332">
        <v>20174</v>
      </c>
    </row>
    <row r="1333" spans="4:19" x14ac:dyDescent="0.25">
      <c r="D1333" t="s">
        <v>58</v>
      </c>
      <c r="E1333">
        <v>2014</v>
      </c>
      <c r="F1333" t="s">
        <v>24</v>
      </c>
      <c r="G1333">
        <v>22446</v>
      </c>
      <c r="H1333">
        <v>19949</v>
      </c>
      <c r="I1333">
        <v>18071</v>
      </c>
      <c r="J1333">
        <v>16471</v>
      </c>
      <c r="K1333">
        <v>17321</v>
      </c>
      <c r="L1333">
        <v>19955</v>
      </c>
      <c r="M1333">
        <v>22326</v>
      </c>
      <c r="N1333">
        <v>21534</v>
      </c>
      <c r="O1333">
        <v>27320</v>
      </c>
      <c r="P1333">
        <v>24383</v>
      </c>
      <c r="Q1333">
        <v>19404</v>
      </c>
      <c r="R1333">
        <v>20139</v>
      </c>
    </row>
    <row r="1334" spans="4:19" x14ac:dyDescent="0.25">
      <c r="D1334" t="s">
        <v>58</v>
      </c>
      <c r="E1334">
        <v>2015</v>
      </c>
      <c r="F1334" t="s">
        <v>24</v>
      </c>
      <c r="G1334">
        <v>21659</v>
      </c>
      <c r="H1334">
        <v>20490</v>
      </c>
      <c r="I1334">
        <v>19756</v>
      </c>
      <c r="J1334">
        <v>17545</v>
      </c>
      <c r="K1334">
        <v>16136</v>
      </c>
      <c r="L1334">
        <v>19192</v>
      </c>
      <c r="M1334">
        <v>21177</v>
      </c>
    </row>
    <row r="1335" spans="4:19" x14ac:dyDescent="0.25">
      <c r="D1335" t="s">
        <v>58</v>
      </c>
      <c r="E1335">
        <v>2013</v>
      </c>
      <c r="F1335" t="s">
        <v>25</v>
      </c>
      <c r="S1335">
        <v>339013</v>
      </c>
    </row>
    <row r="1336" spans="4:19" x14ac:dyDescent="0.25">
      <c r="D1336" t="s">
        <v>58</v>
      </c>
      <c r="E1336">
        <v>2014</v>
      </c>
      <c r="F1336" t="s">
        <v>25</v>
      </c>
      <c r="S1336">
        <v>358370</v>
      </c>
    </row>
    <row r="1337" spans="4:19" x14ac:dyDescent="0.25">
      <c r="D1337" t="s">
        <v>58</v>
      </c>
      <c r="E1337">
        <v>2015</v>
      </c>
      <c r="F1337" t="s">
        <v>25</v>
      </c>
      <c r="S1337">
        <v>386456</v>
      </c>
    </row>
    <row r="1338" spans="4:19" x14ac:dyDescent="0.25">
      <c r="D1338" t="s">
        <v>58</v>
      </c>
      <c r="E1338">
        <v>2013</v>
      </c>
      <c r="F1338" t="s">
        <v>26</v>
      </c>
      <c r="G1338">
        <v>57809</v>
      </c>
      <c r="H1338">
        <v>51430</v>
      </c>
      <c r="I1338">
        <v>46828</v>
      </c>
      <c r="J1338">
        <v>46283</v>
      </c>
      <c r="K1338">
        <v>39585</v>
      </c>
      <c r="L1338">
        <v>44568</v>
      </c>
      <c r="M1338">
        <v>52510</v>
      </c>
      <c r="N1338">
        <v>44318</v>
      </c>
      <c r="O1338">
        <v>63569</v>
      </c>
      <c r="P1338">
        <v>66756</v>
      </c>
      <c r="Q1338">
        <v>53222</v>
      </c>
      <c r="R1338">
        <v>68765</v>
      </c>
    </row>
    <row r="1339" spans="4:19" x14ac:dyDescent="0.25">
      <c r="D1339" t="s">
        <v>58</v>
      </c>
      <c r="E1339">
        <v>2014</v>
      </c>
      <c r="F1339" t="s">
        <v>26</v>
      </c>
      <c r="G1339">
        <v>63354</v>
      </c>
      <c r="H1339">
        <v>55968</v>
      </c>
      <c r="I1339">
        <v>50063</v>
      </c>
      <c r="J1339">
        <v>48143</v>
      </c>
      <c r="K1339">
        <v>42471</v>
      </c>
      <c r="L1339">
        <v>46279</v>
      </c>
      <c r="M1339">
        <v>52092</v>
      </c>
      <c r="N1339">
        <v>50046</v>
      </c>
      <c r="O1339">
        <v>64912</v>
      </c>
      <c r="P1339">
        <v>65654</v>
      </c>
      <c r="Q1339">
        <v>66083</v>
      </c>
      <c r="R1339">
        <v>63006</v>
      </c>
    </row>
    <row r="1340" spans="4:19" x14ac:dyDescent="0.25">
      <c r="D1340" t="s">
        <v>58</v>
      </c>
      <c r="E1340">
        <v>2015</v>
      </c>
      <c r="F1340" t="s">
        <v>26</v>
      </c>
      <c r="G1340">
        <v>64984</v>
      </c>
      <c r="H1340">
        <v>54309</v>
      </c>
      <c r="I1340">
        <v>57695</v>
      </c>
      <c r="J1340">
        <v>49520</v>
      </c>
      <c r="K1340">
        <v>43307</v>
      </c>
      <c r="L1340">
        <v>55833</v>
      </c>
      <c r="M1340">
        <v>60808</v>
      </c>
    </row>
    <row r="1341" spans="4:19" x14ac:dyDescent="0.25">
      <c r="D1341" t="s">
        <v>58</v>
      </c>
      <c r="E1341">
        <v>2013</v>
      </c>
      <c r="F1341" t="s">
        <v>27</v>
      </c>
      <c r="S1341">
        <v>740317</v>
      </c>
    </row>
    <row r="1342" spans="4:19" x14ac:dyDescent="0.25">
      <c r="D1342" t="s">
        <v>58</v>
      </c>
      <c r="E1342">
        <v>2014</v>
      </c>
      <c r="F1342" t="s">
        <v>27</v>
      </c>
      <c r="S1342">
        <v>644143</v>
      </c>
    </row>
    <row r="1343" spans="4:19" x14ac:dyDescent="0.25">
      <c r="D1343" t="s">
        <v>58</v>
      </c>
      <c r="E1343">
        <v>2015</v>
      </c>
      <c r="F1343" t="s">
        <v>27</v>
      </c>
      <c r="S1343">
        <v>702026</v>
      </c>
    </row>
    <row r="1344" spans="4:19" x14ac:dyDescent="0.25">
      <c r="D1344" t="s">
        <v>58</v>
      </c>
      <c r="E1344">
        <v>2013</v>
      </c>
      <c r="F1344" t="s">
        <v>28</v>
      </c>
      <c r="G1344">
        <v>121845</v>
      </c>
      <c r="H1344">
        <v>117653</v>
      </c>
      <c r="I1344">
        <v>105543</v>
      </c>
      <c r="J1344">
        <v>102785</v>
      </c>
      <c r="K1344">
        <v>82557</v>
      </c>
      <c r="L1344">
        <v>95420</v>
      </c>
      <c r="M1344">
        <v>114514</v>
      </c>
      <c r="N1344">
        <v>93685</v>
      </c>
      <c r="O1344">
        <v>125268</v>
      </c>
      <c r="P1344">
        <v>136339</v>
      </c>
      <c r="Q1344">
        <v>102849</v>
      </c>
      <c r="R1344">
        <v>115011</v>
      </c>
    </row>
    <row r="1345" spans="4:19" x14ac:dyDescent="0.25">
      <c r="D1345" t="s">
        <v>58</v>
      </c>
      <c r="E1345">
        <v>2014</v>
      </c>
      <c r="F1345" t="s">
        <v>28</v>
      </c>
      <c r="G1345">
        <v>111966</v>
      </c>
      <c r="H1345">
        <v>103966</v>
      </c>
      <c r="I1345">
        <v>91654</v>
      </c>
      <c r="J1345">
        <v>86454</v>
      </c>
      <c r="K1345">
        <v>76037</v>
      </c>
      <c r="L1345">
        <v>81143</v>
      </c>
      <c r="M1345">
        <v>92923</v>
      </c>
      <c r="N1345">
        <v>85276</v>
      </c>
      <c r="O1345">
        <v>115679</v>
      </c>
      <c r="P1345">
        <v>115994</v>
      </c>
      <c r="Q1345">
        <v>109269</v>
      </c>
      <c r="R1345">
        <v>111842</v>
      </c>
    </row>
    <row r="1346" spans="4:19" x14ac:dyDescent="0.25">
      <c r="D1346" t="s">
        <v>58</v>
      </c>
      <c r="E1346">
        <v>2015</v>
      </c>
      <c r="F1346" t="s">
        <v>28</v>
      </c>
      <c r="G1346">
        <v>115295</v>
      </c>
      <c r="H1346">
        <v>101239</v>
      </c>
      <c r="I1346">
        <v>106136</v>
      </c>
      <c r="J1346">
        <v>89969</v>
      </c>
      <c r="K1346">
        <v>78482</v>
      </c>
      <c r="L1346">
        <v>102488</v>
      </c>
      <c r="M1346">
        <v>108417</v>
      </c>
    </row>
    <row r="1347" spans="4:19" x14ac:dyDescent="0.25">
      <c r="D1347" t="s">
        <v>58</v>
      </c>
      <c r="E1347">
        <v>2013</v>
      </c>
      <c r="F1347" t="s">
        <v>29</v>
      </c>
      <c r="S1347">
        <v>55274</v>
      </c>
    </row>
    <row r="1348" spans="4:19" x14ac:dyDescent="0.25">
      <c r="D1348" t="s">
        <v>58</v>
      </c>
      <c r="E1348">
        <v>2014</v>
      </c>
      <c r="F1348" t="s">
        <v>29</v>
      </c>
      <c r="S1348">
        <v>46769</v>
      </c>
    </row>
    <row r="1349" spans="4:19" x14ac:dyDescent="0.25">
      <c r="D1349" t="s">
        <v>58</v>
      </c>
      <c r="E1349">
        <v>2015</v>
      </c>
      <c r="F1349" t="s">
        <v>29</v>
      </c>
      <c r="S1349">
        <v>9463</v>
      </c>
    </row>
    <row r="1350" spans="4:19" x14ac:dyDescent="0.25">
      <c r="D1350" t="s">
        <v>58</v>
      </c>
      <c r="E1350">
        <v>2013</v>
      </c>
      <c r="F1350" t="s">
        <v>30</v>
      </c>
      <c r="G1350">
        <v>9859</v>
      </c>
      <c r="H1350">
        <v>8870</v>
      </c>
      <c r="I1350">
        <v>9285</v>
      </c>
      <c r="J1350">
        <v>7688</v>
      </c>
      <c r="K1350">
        <v>6906</v>
      </c>
      <c r="L1350">
        <v>6775</v>
      </c>
      <c r="M1350">
        <v>5891</v>
      </c>
      <c r="N1350">
        <v>5234</v>
      </c>
      <c r="O1350">
        <v>8402</v>
      </c>
      <c r="P1350">
        <v>9266</v>
      </c>
      <c r="Q1350">
        <v>7410</v>
      </c>
      <c r="R1350">
        <v>9066</v>
      </c>
    </row>
    <row r="1351" spans="4:19" x14ac:dyDescent="0.25">
      <c r="D1351" t="s">
        <v>58</v>
      </c>
      <c r="E1351">
        <v>2014</v>
      </c>
      <c r="F1351" t="s">
        <v>30</v>
      </c>
      <c r="G1351">
        <v>10617</v>
      </c>
      <c r="H1351">
        <v>8767</v>
      </c>
      <c r="I1351">
        <v>9027</v>
      </c>
      <c r="J1351">
        <v>7440</v>
      </c>
      <c r="K1351">
        <v>6706</v>
      </c>
      <c r="L1351">
        <v>3090</v>
      </c>
      <c r="M1351">
        <v>1122</v>
      </c>
      <c r="N1351">
        <v>615</v>
      </c>
      <c r="O1351">
        <v>1121</v>
      </c>
      <c r="P1351">
        <v>671</v>
      </c>
      <c r="Q1351">
        <v>635</v>
      </c>
      <c r="R1351">
        <v>627</v>
      </c>
    </row>
    <row r="1352" spans="4:19" x14ac:dyDescent="0.25">
      <c r="D1352" t="s">
        <v>58</v>
      </c>
      <c r="E1352">
        <v>2015</v>
      </c>
      <c r="F1352" t="s">
        <v>30</v>
      </c>
      <c r="G1352">
        <v>997</v>
      </c>
      <c r="H1352">
        <v>717</v>
      </c>
      <c r="I1352">
        <v>639</v>
      </c>
      <c r="J1352">
        <v>1228</v>
      </c>
      <c r="K1352">
        <v>2466</v>
      </c>
      <c r="L1352">
        <v>1577</v>
      </c>
      <c r="M1352">
        <v>1839</v>
      </c>
    </row>
    <row r="1353" spans="4:19" x14ac:dyDescent="0.25">
      <c r="D1353" t="s">
        <v>58</v>
      </c>
      <c r="E1353">
        <v>2013</v>
      </c>
      <c r="F1353" t="s">
        <v>31</v>
      </c>
      <c r="S1353">
        <v>0.86002817190732617</v>
      </c>
    </row>
    <row r="1354" spans="4:19" x14ac:dyDescent="0.25">
      <c r="D1354" t="s">
        <v>58</v>
      </c>
      <c r="E1354">
        <v>2014</v>
      </c>
      <c r="F1354" t="s">
        <v>31</v>
      </c>
      <c r="S1354">
        <v>0.90635642563663132</v>
      </c>
    </row>
    <row r="1355" spans="4:19" x14ac:dyDescent="0.25">
      <c r="D1355" t="s">
        <v>58</v>
      </c>
      <c r="E1355">
        <v>2015</v>
      </c>
      <c r="F1355" t="s">
        <v>31</v>
      </c>
      <c r="S1355">
        <v>0.88348350557169653</v>
      </c>
    </row>
    <row r="1356" spans="4:19" x14ac:dyDescent="0.25">
      <c r="D1356" t="s">
        <v>58</v>
      </c>
      <c r="E1356">
        <v>2013</v>
      </c>
      <c r="F1356" t="s">
        <v>32</v>
      </c>
      <c r="G1356">
        <v>0.83965811965811965</v>
      </c>
      <c r="H1356">
        <v>0.85708993238862652</v>
      </c>
      <c r="I1356">
        <v>0.87149545890449598</v>
      </c>
      <c r="J1356">
        <v>0.88349685682392343</v>
      </c>
      <c r="K1356">
        <v>0.82726269315673284</v>
      </c>
      <c r="L1356">
        <v>0.84426087458841204</v>
      </c>
      <c r="M1356">
        <v>0.9047150768593758</v>
      </c>
      <c r="N1356">
        <v>0.92039456145027998</v>
      </c>
      <c r="O1356">
        <v>0.94804960541149941</v>
      </c>
      <c r="P1356">
        <v>0.97554122524182407</v>
      </c>
      <c r="Q1356">
        <v>0.89020489755122434</v>
      </c>
      <c r="R1356">
        <v>0.90175473381580251</v>
      </c>
    </row>
    <row r="1357" spans="4:19" x14ac:dyDescent="0.25">
      <c r="D1357" t="s">
        <v>58</v>
      </c>
      <c r="E1357">
        <v>2014</v>
      </c>
      <c r="F1357" t="s">
        <v>32</v>
      </c>
      <c r="G1357">
        <v>0.91187739463601536</v>
      </c>
      <c r="H1357">
        <v>0.96014837836483036</v>
      </c>
      <c r="I1357">
        <v>0.95567483813845389</v>
      </c>
      <c r="J1357">
        <v>0.96369376479873714</v>
      </c>
      <c r="K1357">
        <v>0.83401651174874425</v>
      </c>
      <c r="L1357">
        <v>0.83813580556251566</v>
      </c>
      <c r="M1357">
        <v>0.88761981546179347</v>
      </c>
      <c r="N1357">
        <v>0.90582334912231821</v>
      </c>
      <c r="O1357">
        <v>0.92185212298682284</v>
      </c>
      <c r="P1357">
        <v>0.92753147684862403</v>
      </c>
      <c r="Q1357">
        <v>0.92377860235003095</v>
      </c>
      <c r="R1357">
        <v>0.92189284472913258</v>
      </c>
    </row>
    <row r="1358" spans="4:19" x14ac:dyDescent="0.25">
      <c r="D1358" t="s">
        <v>58</v>
      </c>
      <c r="E1358">
        <v>2015</v>
      </c>
      <c r="F1358" t="s">
        <v>32</v>
      </c>
      <c r="G1358">
        <v>0.91038367422318667</v>
      </c>
      <c r="H1358">
        <v>0.88589555880917525</v>
      </c>
      <c r="I1358">
        <v>0.87386110548694063</v>
      </c>
      <c r="J1358">
        <v>0.88937019093758907</v>
      </c>
      <c r="K1358">
        <v>0.9018963807635102</v>
      </c>
      <c r="L1358">
        <v>0.90193830762817839</v>
      </c>
      <c r="M1358">
        <v>0.82698210322519716</v>
      </c>
    </row>
    <row r="1359" spans="4:19" x14ac:dyDescent="0.25">
      <c r="D1359" t="s">
        <v>58</v>
      </c>
      <c r="E1359">
        <v>2013</v>
      </c>
      <c r="F1359" t="s">
        <v>33</v>
      </c>
      <c r="S1359">
        <v>0.88655304963091475</v>
      </c>
    </row>
    <row r="1360" spans="4:19" x14ac:dyDescent="0.25">
      <c r="D1360" t="s">
        <v>58</v>
      </c>
      <c r="E1360">
        <v>2014</v>
      </c>
      <c r="F1360" t="s">
        <v>33</v>
      </c>
      <c r="S1360">
        <v>0.89586280863493217</v>
      </c>
    </row>
    <row r="1361" spans="4:19" x14ac:dyDescent="0.25">
      <c r="D1361" t="s">
        <v>58</v>
      </c>
      <c r="E1361">
        <v>2015</v>
      </c>
      <c r="F1361" t="s">
        <v>33</v>
      </c>
      <c r="S1361">
        <v>0.88817209487405191</v>
      </c>
    </row>
    <row r="1362" spans="4:19" x14ac:dyDescent="0.25">
      <c r="D1362" t="s">
        <v>58</v>
      </c>
      <c r="E1362">
        <v>2013</v>
      </c>
      <c r="F1362" t="s">
        <v>34</v>
      </c>
      <c r="G1362">
        <v>0.83396033922081236</v>
      </c>
      <c r="H1362">
        <v>0.88370778578493714</v>
      </c>
      <c r="I1362">
        <v>0.92913317777201621</v>
      </c>
      <c r="J1362">
        <v>0.91861811058676879</v>
      </c>
      <c r="K1362">
        <v>0.88021381002453558</v>
      </c>
      <c r="L1362">
        <v>0.89456588534808179</v>
      </c>
      <c r="M1362">
        <v>0.88603027688446157</v>
      </c>
      <c r="N1362">
        <v>0.87843009526911486</v>
      </c>
      <c r="O1362">
        <v>0.92633329070213577</v>
      </c>
      <c r="P1362">
        <v>0.96392908090482987</v>
      </c>
      <c r="Q1362">
        <v>0.82846658338538415</v>
      </c>
      <c r="R1362">
        <v>0.85757401552170165</v>
      </c>
    </row>
    <row r="1363" spans="4:19" x14ac:dyDescent="0.25">
      <c r="D1363" t="s">
        <v>58</v>
      </c>
      <c r="E1363">
        <v>2014</v>
      </c>
      <c r="F1363" t="s">
        <v>34</v>
      </c>
      <c r="G1363">
        <v>0.87714285714285711</v>
      </c>
      <c r="H1363">
        <v>0.94298214157641824</v>
      </c>
      <c r="I1363">
        <v>0.93650919467343052</v>
      </c>
      <c r="J1363">
        <v>0.94770441626585045</v>
      </c>
      <c r="K1363">
        <v>0.76168766578249336</v>
      </c>
      <c r="L1363">
        <v>0.86458429030776296</v>
      </c>
      <c r="M1363">
        <v>0.94283558154891045</v>
      </c>
      <c r="N1363">
        <v>0.95971996753246758</v>
      </c>
      <c r="O1363">
        <v>0.94765908341576</v>
      </c>
      <c r="P1363">
        <v>0.96661379857256147</v>
      </c>
      <c r="Q1363">
        <v>0.94639366189937235</v>
      </c>
      <c r="R1363">
        <v>0.94370425971101524</v>
      </c>
    </row>
    <row r="1364" spans="4:19" x14ac:dyDescent="0.25">
      <c r="D1364" t="s">
        <v>58</v>
      </c>
      <c r="E1364">
        <v>2015</v>
      </c>
      <c r="F1364" t="s">
        <v>34</v>
      </c>
      <c r="G1364">
        <v>0.92749980362893725</v>
      </c>
      <c r="H1364">
        <v>0.88690383719123811</v>
      </c>
      <c r="I1364">
        <v>0.88474980142970616</v>
      </c>
      <c r="J1364">
        <v>0.90914200074934437</v>
      </c>
      <c r="K1364">
        <v>0.90906183368869931</v>
      </c>
      <c r="L1364">
        <v>0.92171119377747712</v>
      </c>
      <c r="M1364">
        <v>0.79030501089324623</v>
      </c>
    </row>
    <row r="1365" spans="4:19" x14ac:dyDescent="0.25">
      <c r="D1365" t="s">
        <v>59</v>
      </c>
      <c r="E1365">
        <v>2013</v>
      </c>
      <c r="F1365" t="s">
        <v>17</v>
      </c>
      <c r="S1365">
        <v>0.87475085192567348</v>
      </c>
    </row>
    <row r="1366" spans="4:19" x14ac:dyDescent="0.25">
      <c r="D1366" t="s">
        <v>59</v>
      </c>
      <c r="E1366">
        <v>2014</v>
      </c>
      <c r="F1366" t="s">
        <v>17</v>
      </c>
      <c r="S1366">
        <v>0.90366002179347482</v>
      </c>
    </row>
    <row r="1367" spans="4:19" x14ac:dyDescent="0.25">
      <c r="D1367" t="s">
        <v>59</v>
      </c>
      <c r="E1367">
        <v>2015</v>
      </c>
      <c r="F1367" t="s">
        <v>17</v>
      </c>
      <c r="S1367">
        <v>0.92892608880692296</v>
      </c>
    </row>
    <row r="1368" spans="4:19" x14ac:dyDescent="0.25">
      <c r="D1368" t="s">
        <v>59</v>
      </c>
      <c r="E1368">
        <v>2013</v>
      </c>
      <c r="F1368" t="s">
        <v>18</v>
      </c>
      <c r="G1368">
        <v>0.86445899114362723</v>
      </c>
      <c r="H1368">
        <v>0.84484265734265729</v>
      </c>
      <c r="I1368">
        <v>0.89610944848225738</v>
      </c>
      <c r="J1368">
        <v>0.87748344370860931</v>
      </c>
      <c r="K1368">
        <v>0.88302073050345509</v>
      </c>
      <c r="L1368">
        <v>0.84821889519876092</v>
      </c>
      <c r="M1368">
        <v>0.90763765541740671</v>
      </c>
      <c r="N1368">
        <v>0.88661899897854957</v>
      </c>
      <c r="O1368">
        <v>0.84639718804920916</v>
      </c>
      <c r="P1368">
        <v>0.85327391155296539</v>
      </c>
      <c r="Q1368">
        <v>0.84149096385542166</v>
      </c>
      <c r="R1368">
        <v>0.85538827258320127</v>
      </c>
    </row>
    <row r="1369" spans="4:19" x14ac:dyDescent="0.25">
      <c r="D1369" t="s">
        <v>59</v>
      </c>
      <c r="E1369">
        <v>2014</v>
      </c>
      <c r="F1369" t="s">
        <v>18</v>
      </c>
      <c r="G1369">
        <v>0.88637992831541224</v>
      </c>
      <c r="H1369">
        <v>0.90392313851080863</v>
      </c>
      <c r="I1369">
        <v>0.89910714285714288</v>
      </c>
      <c r="J1369">
        <v>0.90489510489510494</v>
      </c>
      <c r="K1369">
        <v>0.89694656488549618</v>
      </c>
      <c r="L1369">
        <v>0.92718446601941751</v>
      </c>
      <c r="M1369">
        <v>0.91297935103244843</v>
      </c>
      <c r="N1369">
        <v>0.94828555368184375</v>
      </c>
      <c r="O1369">
        <v>0.93145009416195856</v>
      </c>
      <c r="P1369">
        <v>0.93915343915343918</v>
      </c>
      <c r="Q1369">
        <v>0.93968575772934615</v>
      </c>
      <c r="R1369">
        <v>0.88992775180620487</v>
      </c>
    </row>
    <row r="1370" spans="4:19" x14ac:dyDescent="0.25">
      <c r="D1370" t="s">
        <v>59</v>
      </c>
      <c r="E1370">
        <v>2015</v>
      </c>
      <c r="F1370" t="s">
        <v>18</v>
      </c>
      <c r="G1370">
        <v>0.91313050440352284</v>
      </c>
      <c r="H1370">
        <v>0.93189612934835864</v>
      </c>
      <c r="I1370">
        <v>0.88614092393840416</v>
      </c>
      <c r="J1370">
        <v>0.89827060020345884</v>
      </c>
      <c r="K1370">
        <v>0.89399744572158368</v>
      </c>
      <c r="L1370">
        <v>0.99020113460546677</v>
      </c>
      <c r="M1370">
        <v>0.99125964010282774</v>
      </c>
    </row>
    <row r="1371" spans="4:19" x14ac:dyDescent="0.25">
      <c r="D1371" t="s">
        <v>59</v>
      </c>
      <c r="E1371">
        <v>2013</v>
      </c>
      <c r="F1371" t="s">
        <v>19</v>
      </c>
      <c r="S1371">
        <v>0.75412937796928514</v>
      </c>
    </row>
    <row r="1372" spans="4:19" x14ac:dyDescent="0.25">
      <c r="D1372" t="s">
        <v>59</v>
      </c>
      <c r="E1372">
        <v>2014</v>
      </c>
      <c r="F1372" t="s">
        <v>19</v>
      </c>
      <c r="S1372">
        <v>0.99264490305803765</v>
      </c>
    </row>
    <row r="1373" spans="4:19" x14ac:dyDescent="0.25">
      <c r="D1373" t="s">
        <v>59</v>
      </c>
      <c r="E1373">
        <v>2015</v>
      </c>
      <c r="F1373" t="s">
        <v>19</v>
      </c>
      <c r="S1373">
        <v>0.93734850708144479</v>
      </c>
    </row>
    <row r="1374" spans="4:19" x14ac:dyDescent="0.25">
      <c r="D1374" t="s">
        <v>59</v>
      </c>
      <c r="E1374">
        <v>2013</v>
      </c>
      <c r="F1374" t="s">
        <v>20</v>
      </c>
      <c r="G1374">
        <v>0.74504079003864321</v>
      </c>
      <c r="H1374">
        <v>0.71916160806322305</v>
      </c>
      <c r="I1374">
        <v>0.56347647912575771</v>
      </c>
      <c r="J1374">
        <v>0.63102197137673854</v>
      </c>
      <c r="K1374">
        <v>0.67253843804093272</v>
      </c>
      <c r="L1374">
        <v>0.97111317445579282</v>
      </c>
      <c r="M1374">
        <v>0.98970872002205279</v>
      </c>
      <c r="N1374">
        <v>0.99402342816160649</v>
      </c>
      <c r="O1374">
        <v>0.98753354687905814</v>
      </c>
      <c r="P1374">
        <v>0.97857031127796024</v>
      </c>
      <c r="Q1374">
        <v>0.93655183312262957</v>
      </c>
      <c r="R1374">
        <v>0.99098726641309742</v>
      </c>
    </row>
    <row r="1375" spans="4:19" x14ac:dyDescent="0.25">
      <c r="D1375" t="s">
        <v>59</v>
      </c>
      <c r="E1375">
        <v>2014</v>
      </c>
      <c r="F1375" t="s">
        <v>20</v>
      </c>
      <c r="G1375">
        <v>0.99672917575228959</v>
      </c>
      <c r="H1375">
        <v>0.99301249017381432</v>
      </c>
      <c r="I1375">
        <v>0.99252177205603942</v>
      </c>
      <c r="J1375">
        <v>0.99426253833217926</v>
      </c>
      <c r="K1375">
        <v>0.98132216436495356</v>
      </c>
      <c r="L1375">
        <v>0.99029448361675654</v>
      </c>
      <c r="M1375">
        <v>0.99717465753424661</v>
      </c>
      <c r="N1375">
        <v>0.99633289192217578</v>
      </c>
      <c r="O1375">
        <v>0.99560188955855999</v>
      </c>
      <c r="P1375">
        <v>0.98998729731749235</v>
      </c>
      <c r="Q1375">
        <v>0.98569143263419834</v>
      </c>
      <c r="R1375">
        <v>0.98913127264318201</v>
      </c>
    </row>
    <row r="1376" spans="4:19" x14ac:dyDescent="0.25">
      <c r="D1376" t="s">
        <v>59</v>
      </c>
      <c r="E1376">
        <v>2015</v>
      </c>
      <c r="F1376" t="s">
        <v>20</v>
      </c>
      <c r="G1376">
        <v>0.96633058356248092</v>
      </c>
      <c r="H1376">
        <v>0.98957023448479919</v>
      </c>
      <c r="I1376">
        <v>0.98752959747434887</v>
      </c>
      <c r="J1376">
        <v>0.94394815204063764</v>
      </c>
      <c r="K1376">
        <v>0.72352883770859766</v>
      </c>
      <c r="L1376">
        <v>0.94049988940499885</v>
      </c>
      <c r="M1376">
        <v>0.95541177297981572</v>
      </c>
    </row>
    <row r="1377" spans="4:19" x14ac:dyDescent="0.25">
      <c r="D1377" t="s">
        <v>59</v>
      </c>
      <c r="E1377">
        <v>2013</v>
      </c>
      <c r="F1377" t="s">
        <v>21</v>
      </c>
      <c r="S1377">
        <v>0.96663757152555518</v>
      </c>
    </row>
    <row r="1378" spans="4:19" x14ac:dyDescent="0.25">
      <c r="D1378" t="s">
        <v>59</v>
      </c>
      <c r="E1378">
        <v>2014</v>
      </c>
      <c r="F1378" t="s">
        <v>21</v>
      </c>
      <c r="S1378">
        <v>0.9897838899803536</v>
      </c>
    </row>
    <row r="1379" spans="4:19" x14ac:dyDescent="0.25">
      <c r="D1379" t="s">
        <v>59</v>
      </c>
      <c r="E1379">
        <v>2015</v>
      </c>
      <c r="F1379" t="s">
        <v>21</v>
      </c>
      <c r="S1379">
        <v>0.97494574866837636</v>
      </c>
    </row>
    <row r="1380" spans="4:19" x14ac:dyDescent="0.25">
      <c r="D1380" t="s">
        <v>59</v>
      </c>
      <c r="E1380">
        <v>2013</v>
      </c>
      <c r="F1380" t="s">
        <v>22</v>
      </c>
      <c r="G1380">
        <v>0.93116955791829881</v>
      </c>
      <c r="H1380">
        <v>0.98696844993141286</v>
      </c>
      <c r="I1380">
        <v>0.96340605207600283</v>
      </c>
      <c r="J1380">
        <v>0.93775649794801641</v>
      </c>
      <c r="K1380">
        <v>0.96746031746031746</v>
      </c>
      <c r="L1380">
        <v>0.99340175953079179</v>
      </c>
      <c r="M1380">
        <v>0.99422706863373955</v>
      </c>
      <c r="N1380">
        <v>0.98524590163934422</v>
      </c>
      <c r="O1380">
        <v>0.98250336473755051</v>
      </c>
      <c r="P1380">
        <v>0.97055137844611528</v>
      </c>
      <c r="Q1380">
        <v>0.97829912023460408</v>
      </c>
      <c r="R1380">
        <v>0.94590570719602973</v>
      </c>
    </row>
    <row r="1381" spans="4:19" x14ac:dyDescent="0.25">
      <c r="D1381" t="s">
        <v>59</v>
      </c>
      <c r="E1381">
        <v>2014</v>
      </c>
      <c r="F1381" t="s">
        <v>22</v>
      </c>
      <c r="G1381">
        <v>0.99241346609767667</v>
      </c>
      <c r="H1381">
        <v>0.99377722464219043</v>
      </c>
      <c r="I1381">
        <v>0.9878691983122363</v>
      </c>
      <c r="J1381">
        <v>0.99313108185460786</v>
      </c>
      <c r="K1381">
        <v>0.97109067017082784</v>
      </c>
      <c r="L1381">
        <v>0.98870967741935489</v>
      </c>
      <c r="M1381">
        <v>0.99798387096774188</v>
      </c>
      <c r="N1381">
        <v>0.99937264742785448</v>
      </c>
      <c r="O1381">
        <v>0.99547511312217196</v>
      </c>
      <c r="P1381">
        <v>0.99299568965517238</v>
      </c>
      <c r="Q1381">
        <v>0.99255583126550873</v>
      </c>
      <c r="R1381">
        <v>0.99074889867841409</v>
      </c>
    </row>
    <row r="1382" spans="4:19" x14ac:dyDescent="0.25">
      <c r="D1382" t="s">
        <v>59</v>
      </c>
      <c r="E1382">
        <v>2015</v>
      </c>
      <c r="F1382" t="s">
        <v>22</v>
      </c>
      <c r="G1382">
        <v>0.95300970873786406</v>
      </c>
      <c r="H1382">
        <v>0.99326923076923079</v>
      </c>
      <c r="I1382">
        <v>0.97449730259931344</v>
      </c>
      <c r="J1382">
        <v>0.9781221513217867</v>
      </c>
      <c r="K1382">
        <v>0.97553122987765617</v>
      </c>
      <c r="L1382">
        <v>0.97290640394088668</v>
      </c>
      <c r="M1382">
        <v>0.98062865497076024</v>
      </c>
    </row>
    <row r="1383" spans="4:19" x14ac:dyDescent="0.25">
      <c r="D1383" t="s">
        <v>59</v>
      </c>
      <c r="E1383">
        <v>2013</v>
      </c>
      <c r="F1383" t="s">
        <v>23</v>
      </c>
      <c r="S1383">
        <v>27038</v>
      </c>
    </row>
    <row r="1384" spans="4:19" x14ac:dyDescent="0.25">
      <c r="D1384" t="s">
        <v>59</v>
      </c>
      <c r="E1384">
        <v>2014</v>
      </c>
      <c r="F1384" t="s">
        <v>23</v>
      </c>
      <c r="S1384">
        <v>21557</v>
      </c>
    </row>
    <row r="1385" spans="4:19" x14ac:dyDescent="0.25">
      <c r="D1385" t="s">
        <v>59</v>
      </c>
      <c r="E1385">
        <v>2015</v>
      </c>
      <c r="F1385" t="s">
        <v>23</v>
      </c>
      <c r="S1385">
        <v>24816</v>
      </c>
    </row>
    <row r="1386" spans="4:19" x14ac:dyDescent="0.25">
      <c r="D1386" t="s">
        <v>59</v>
      </c>
      <c r="E1386">
        <v>2013</v>
      </c>
      <c r="F1386" t="s">
        <v>24</v>
      </c>
      <c r="G1386">
        <v>5020</v>
      </c>
      <c r="H1386">
        <v>4539</v>
      </c>
      <c r="I1386">
        <v>3942</v>
      </c>
      <c r="J1386">
        <v>3805</v>
      </c>
      <c r="K1386">
        <v>3461</v>
      </c>
      <c r="L1386">
        <v>2887</v>
      </c>
      <c r="M1386">
        <v>3384</v>
      </c>
      <c r="N1386">
        <v>3690</v>
      </c>
      <c r="O1386">
        <v>4167</v>
      </c>
      <c r="P1386">
        <v>4097</v>
      </c>
      <c r="Q1386">
        <v>3939</v>
      </c>
      <c r="R1386">
        <v>4017</v>
      </c>
    </row>
    <row r="1387" spans="4:19" x14ac:dyDescent="0.25">
      <c r="D1387" t="s">
        <v>59</v>
      </c>
      <c r="E1387">
        <v>2014</v>
      </c>
      <c r="F1387" t="s">
        <v>24</v>
      </c>
      <c r="G1387">
        <v>4263</v>
      </c>
      <c r="I1387">
        <v>3566</v>
      </c>
      <c r="J1387">
        <v>3327</v>
      </c>
      <c r="K1387">
        <v>3246</v>
      </c>
      <c r="L1387">
        <v>3291</v>
      </c>
      <c r="M1387">
        <v>3864</v>
      </c>
      <c r="N1387">
        <v>3764</v>
      </c>
      <c r="O1387">
        <v>4857</v>
      </c>
      <c r="P1387">
        <v>4356</v>
      </c>
      <c r="Q1387">
        <v>3736</v>
      </c>
      <c r="R1387">
        <v>4127</v>
      </c>
    </row>
    <row r="1388" spans="4:19" x14ac:dyDescent="0.25">
      <c r="D1388" t="s">
        <v>59</v>
      </c>
      <c r="E1388">
        <v>2015</v>
      </c>
      <c r="F1388" t="s">
        <v>24</v>
      </c>
      <c r="G1388">
        <v>3956</v>
      </c>
      <c r="H1388">
        <v>3745</v>
      </c>
      <c r="I1388">
        <v>3716</v>
      </c>
      <c r="J1388">
        <v>3159</v>
      </c>
      <c r="K1388">
        <v>2659</v>
      </c>
      <c r="L1388">
        <v>3701</v>
      </c>
      <c r="M1388">
        <v>3880</v>
      </c>
    </row>
    <row r="1389" spans="4:19" x14ac:dyDescent="0.25">
      <c r="D1389" t="s">
        <v>59</v>
      </c>
      <c r="E1389">
        <v>2013</v>
      </c>
      <c r="F1389" t="s">
        <v>25</v>
      </c>
      <c r="S1389">
        <v>57307</v>
      </c>
    </row>
    <row r="1390" spans="4:19" x14ac:dyDescent="0.25">
      <c r="D1390" t="s">
        <v>59</v>
      </c>
      <c r="E1390">
        <v>2014</v>
      </c>
      <c r="F1390" t="s">
        <v>25</v>
      </c>
      <c r="S1390">
        <v>66231</v>
      </c>
    </row>
    <row r="1391" spans="4:19" x14ac:dyDescent="0.25">
      <c r="D1391" t="s">
        <v>59</v>
      </c>
      <c r="E1391">
        <v>2015</v>
      </c>
      <c r="F1391" t="s">
        <v>25</v>
      </c>
      <c r="S1391">
        <v>72227</v>
      </c>
    </row>
    <row r="1392" spans="4:19" x14ac:dyDescent="0.25">
      <c r="D1392" t="s">
        <v>59</v>
      </c>
      <c r="E1392">
        <v>2013</v>
      </c>
      <c r="F1392" t="s">
        <v>26</v>
      </c>
      <c r="G1392">
        <v>10992</v>
      </c>
      <c r="H1392">
        <v>8539</v>
      </c>
      <c r="I1392">
        <v>9359</v>
      </c>
      <c r="J1392">
        <v>9898</v>
      </c>
      <c r="L1392">
        <v>8337</v>
      </c>
      <c r="M1392">
        <v>10182</v>
      </c>
      <c r="N1392">
        <v>9581</v>
      </c>
      <c r="O1392">
        <v>14761</v>
      </c>
      <c r="P1392">
        <v>11911</v>
      </c>
      <c r="Q1392">
        <v>12215</v>
      </c>
      <c r="R1392">
        <v>13349</v>
      </c>
    </row>
    <row r="1393" spans="4:19" x14ac:dyDescent="0.25">
      <c r="D1393" t="s">
        <v>59</v>
      </c>
      <c r="E1393">
        <v>2014</v>
      </c>
      <c r="F1393" t="s">
        <v>26</v>
      </c>
      <c r="G1393">
        <v>11852</v>
      </c>
      <c r="H1393">
        <v>9317</v>
      </c>
      <c r="I1393">
        <v>10391</v>
      </c>
      <c r="J1393">
        <v>8631</v>
      </c>
      <c r="K1393">
        <v>7748</v>
      </c>
      <c r="L1393">
        <v>8898</v>
      </c>
      <c r="M1393">
        <v>9394</v>
      </c>
      <c r="N1393">
        <v>8812</v>
      </c>
      <c r="P1393">
        <v>11960</v>
      </c>
      <c r="Q1393">
        <v>10905</v>
      </c>
      <c r="R1393">
        <v>13062</v>
      </c>
    </row>
    <row r="1394" spans="4:19" x14ac:dyDescent="0.25">
      <c r="D1394" t="s">
        <v>59</v>
      </c>
      <c r="E1394">
        <v>2015</v>
      </c>
      <c r="F1394" t="s">
        <v>26</v>
      </c>
      <c r="G1394">
        <v>12072</v>
      </c>
      <c r="H1394">
        <v>9841</v>
      </c>
      <c r="I1394">
        <v>9671</v>
      </c>
      <c r="J1394">
        <v>9597</v>
      </c>
      <c r="K1394">
        <v>8134</v>
      </c>
      <c r="L1394">
        <v>10793</v>
      </c>
      <c r="M1394">
        <v>12119</v>
      </c>
    </row>
    <row r="1395" spans="4:19" x14ac:dyDescent="0.25">
      <c r="D1395" t="s">
        <v>59</v>
      </c>
      <c r="E1395">
        <v>2013</v>
      </c>
      <c r="F1395" t="s">
        <v>27</v>
      </c>
      <c r="S1395">
        <v>108267</v>
      </c>
    </row>
    <row r="1396" spans="4:19" x14ac:dyDescent="0.25">
      <c r="D1396" t="s">
        <v>59</v>
      </c>
      <c r="E1396">
        <v>2014</v>
      </c>
      <c r="F1396" t="s">
        <v>27</v>
      </c>
      <c r="S1396">
        <v>109252</v>
      </c>
    </row>
    <row r="1397" spans="4:19" x14ac:dyDescent="0.25">
      <c r="D1397" t="s">
        <v>59</v>
      </c>
      <c r="E1397">
        <v>2015</v>
      </c>
      <c r="F1397" t="s">
        <v>27</v>
      </c>
      <c r="S1397">
        <v>121513</v>
      </c>
    </row>
    <row r="1398" spans="4:19" x14ac:dyDescent="0.25">
      <c r="D1398" t="s">
        <v>59</v>
      </c>
      <c r="E1398">
        <v>2013</v>
      </c>
      <c r="F1398" t="s">
        <v>28</v>
      </c>
      <c r="G1398">
        <v>18071</v>
      </c>
      <c r="H1398">
        <v>14726</v>
      </c>
      <c r="I1398">
        <v>15213</v>
      </c>
      <c r="J1398">
        <v>16008</v>
      </c>
      <c r="K1398">
        <v>13774</v>
      </c>
      <c r="L1398">
        <v>13655</v>
      </c>
      <c r="M1398">
        <v>16820</v>
      </c>
      <c r="N1398">
        <v>14920</v>
      </c>
      <c r="O1398">
        <v>22495</v>
      </c>
      <c r="P1398">
        <v>19995</v>
      </c>
      <c r="Q1398">
        <v>19996</v>
      </c>
      <c r="R1398">
        <v>20563</v>
      </c>
    </row>
    <row r="1399" spans="4:19" x14ac:dyDescent="0.25">
      <c r="D1399" t="s">
        <v>59</v>
      </c>
      <c r="E1399">
        <v>2014</v>
      </c>
      <c r="F1399" t="s">
        <v>28</v>
      </c>
      <c r="G1399">
        <v>19421</v>
      </c>
      <c r="H1399">
        <v>15596</v>
      </c>
      <c r="I1399">
        <v>16798</v>
      </c>
      <c r="J1399">
        <v>14719</v>
      </c>
      <c r="K1399">
        <v>12551</v>
      </c>
      <c r="L1399">
        <v>14686</v>
      </c>
      <c r="M1399">
        <v>15481</v>
      </c>
      <c r="N1399">
        <v>14625</v>
      </c>
      <c r="O1399">
        <v>20371</v>
      </c>
      <c r="P1399">
        <v>19809</v>
      </c>
      <c r="Q1399">
        <v>17616</v>
      </c>
      <c r="R1399">
        <v>21498</v>
      </c>
    </row>
    <row r="1400" spans="4:19" x14ac:dyDescent="0.25">
      <c r="D1400" t="s">
        <v>59</v>
      </c>
      <c r="E1400">
        <v>2015</v>
      </c>
      <c r="F1400" t="s">
        <v>28</v>
      </c>
      <c r="G1400">
        <v>19701</v>
      </c>
      <c r="H1400">
        <v>17159</v>
      </c>
      <c r="I1400">
        <v>16618</v>
      </c>
      <c r="J1400">
        <v>16370</v>
      </c>
      <c r="K1400">
        <v>13217</v>
      </c>
      <c r="L1400">
        <v>18257</v>
      </c>
      <c r="M1400">
        <v>20191</v>
      </c>
    </row>
    <row r="1401" spans="4:19" x14ac:dyDescent="0.25">
      <c r="D1401" t="s">
        <v>59</v>
      </c>
      <c r="E1401">
        <v>2013</v>
      </c>
      <c r="F1401" t="s">
        <v>29</v>
      </c>
      <c r="S1401">
        <v>15553</v>
      </c>
    </row>
    <row r="1402" spans="4:19" x14ac:dyDescent="0.25">
      <c r="D1402" t="s">
        <v>59</v>
      </c>
      <c r="E1402">
        <v>2014</v>
      </c>
      <c r="F1402" t="s">
        <v>29</v>
      </c>
      <c r="S1402">
        <v>15601</v>
      </c>
    </row>
    <row r="1403" spans="4:19" x14ac:dyDescent="0.25">
      <c r="D1403" t="s">
        <v>59</v>
      </c>
      <c r="E1403">
        <v>2015</v>
      </c>
      <c r="F1403" t="s">
        <v>29</v>
      </c>
      <c r="S1403">
        <v>14098</v>
      </c>
    </row>
    <row r="1404" spans="4:19" x14ac:dyDescent="0.25">
      <c r="D1404" t="s">
        <v>59</v>
      </c>
      <c r="E1404">
        <v>2013</v>
      </c>
      <c r="F1404" t="s">
        <v>30</v>
      </c>
      <c r="G1404">
        <v>2597</v>
      </c>
      <c r="H1404">
        <v>2288</v>
      </c>
      <c r="I1404">
        <v>2339</v>
      </c>
      <c r="J1404">
        <v>2114</v>
      </c>
      <c r="K1404">
        <v>2026</v>
      </c>
      <c r="L1404">
        <v>1937</v>
      </c>
      <c r="M1404">
        <v>2252</v>
      </c>
      <c r="N1404">
        <v>1958</v>
      </c>
      <c r="O1404">
        <v>2845</v>
      </c>
      <c r="P1404">
        <v>2917</v>
      </c>
      <c r="Q1404">
        <v>2656</v>
      </c>
      <c r="R1404">
        <v>2524</v>
      </c>
    </row>
    <row r="1405" spans="4:19" x14ac:dyDescent="0.25">
      <c r="D1405" t="s">
        <v>59</v>
      </c>
      <c r="E1405">
        <v>2014</v>
      </c>
      <c r="F1405" t="s">
        <v>30</v>
      </c>
      <c r="G1405">
        <v>2790</v>
      </c>
      <c r="H1405">
        <v>2498</v>
      </c>
      <c r="I1405">
        <v>2240</v>
      </c>
      <c r="J1405">
        <v>2145</v>
      </c>
      <c r="K1405">
        <v>1834</v>
      </c>
      <c r="L1405">
        <v>2060</v>
      </c>
      <c r="M1405">
        <v>2034</v>
      </c>
      <c r="N1405">
        <v>1779</v>
      </c>
      <c r="O1405">
        <v>2655</v>
      </c>
      <c r="P1405">
        <v>2646</v>
      </c>
      <c r="Q1405">
        <v>1973</v>
      </c>
      <c r="R1405">
        <v>2353</v>
      </c>
    </row>
    <row r="1406" spans="4:19" x14ac:dyDescent="0.25">
      <c r="D1406" t="s">
        <v>59</v>
      </c>
      <c r="E1406">
        <v>2015</v>
      </c>
      <c r="F1406" t="s">
        <v>30</v>
      </c>
      <c r="G1406">
        <v>2498</v>
      </c>
      <c r="H1406">
        <v>2041</v>
      </c>
      <c r="I1406">
        <v>2143</v>
      </c>
      <c r="J1406">
        <v>1966</v>
      </c>
      <c r="K1406">
        <v>1566</v>
      </c>
      <c r="L1406">
        <v>1939</v>
      </c>
      <c r="M1406">
        <v>1945</v>
      </c>
    </row>
    <row r="1407" spans="4:19" x14ac:dyDescent="0.25">
      <c r="D1407" t="s">
        <v>59</v>
      </c>
      <c r="E1407">
        <v>2013</v>
      </c>
      <c r="F1407" t="s">
        <v>31</v>
      </c>
      <c r="S1407">
        <v>0.88124121606627714</v>
      </c>
    </row>
    <row r="1408" spans="4:19" x14ac:dyDescent="0.25">
      <c r="D1408" t="s">
        <v>59</v>
      </c>
      <c r="E1408">
        <v>2014</v>
      </c>
      <c r="F1408" t="s">
        <v>31</v>
      </c>
      <c r="S1408">
        <v>0.94342346560536894</v>
      </c>
    </row>
    <row r="1409" spans="4:19" x14ac:dyDescent="0.25">
      <c r="D1409" t="s">
        <v>59</v>
      </c>
      <c r="E1409">
        <v>2015</v>
      </c>
      <c r="F1409" t="s">
        <v>31</v>
      </c>
      <c r="S1409">
        <v>0.92541102514506768</v>
      </c>
    </row>
    <row r="1410" spans="4:19" x14ac:dyDescent="0.25">
      <c r="D1410" t="s">
        <v>59</v>
      </c>
      <c r="E1410">
        <v>2013</v>
      </c>
      <c r="F1410" t="s">
        <v>32</v>
      </c>
      <c r="G1410">
        <v>0.82330677290836651</v>
      </c>
      <c r="H1410">
        <v>0.84996695307336423</v>
      </c>
      <c r="I1410">
        <v>0.87899543378995437</v>
      </c>
      <c r="J1410">
        <v>0.89093298291721423</v>
      </c>
      <c r="K1410">
        <v>0.90927477607627849</v>
      </c>
      <c r="L1410">
        <v>0.88915829580879802</v>
      </c>
      <c r="M1410">
        <v>0.96542553191489366</v>
      </c>
      <c r="N1410">
        <v>0.92981029810298099</v>
      </c>
      <c r="O1410">
        <v>0.9522438204943604</v>
      </c>
      <c r="P1410">
        <v>0.96997803270685867</v>
      </c>
      <c r="Q1410">
        <v>0.9248540238639249</v>
      </c>
      <c r="R1410">
        <v>0.95718197659945237</v>
      </c>
    </row>
    <row r="1411" spans="4:19" x14ac:dyDescent="0.25">
      <c r="D1411" t="s">
        <v>59</v>
      </c>
      <c r="E1411">
        <v>2014</v>
      </c>
      <c r="F1411" t="s">
        <v>32</v>
      </c>
      <c r="G1411">
        <v>0.9512080694346704</v>
      </c>
      <c r="H1411">
        <v>0.90864440078585462</v>
      </c>
      <c r="I1411">
        <v>0.96074032529444753</v>
      </c>
      <c r="J1411">
        <v>0.9582206191764352</v>
      </c>
      <c r="K1411">
        <v>0.94608749229821321</v>
      </c>
      <c r="L1411">
        <v>0.94317836523852927</v>
      </c>
      <c r="M1411">
        <v>0.94073498964803315</v>
      </c>
      <c r="N1411">
        <v>0.91896918172157283</v>
      </c>
      <c r="O1411">
        <v>0.93658637018735846</v>
      </c>
      <c r="P1411">
        <v>0.92883379247015607</v>
      </c>
      <c r="Q1411">
        <v>0.94164882226980728</v>
      </c>
      <c r="R1411">
        <v>0.93627332202568447</v>
      </c>
    </row>
    <row r="1412" spans="4:19" x14ac:dyDescent="0.25">
      <c r="D1412" t="s">
        <v>59</v>
      </c>
      <c r="E1412">
        <v>2015</v>
      </c>
      <c r="F1412" t="s">
        <v>32</v>
      </c>
      <c r="G1412">
        <v>0.93351870576339735</v>
      </c>
      <c r="H1412">
        <v>0.93778371161548735</v>
      </c>
      <c r="I1412">
        <v>0.90527448869752425</v>
      </c>
      <c r="J1412">
        <v>0.93225704336815451</v>
      </c>
      <c r="K1412">
        <v>0.92365550959007148</v>
      </c>
      <c r="L1412">
        <v>0.92488516617130501</v>
      </c>
      <c r="M1412">
        <v>0.92061855670103088</v>
      </c>
    </row>
    <row r="1413" spans="4:19" x14ac:dyDescent="0.25">
      <c r="D1413" t="s">
        <v>59</v>
      </c>
      <c r="E1413">
        <v>2013</v>
      </c>
      <c r="F1413" t="s">
        <v>33</v>
      </c>
      <c r="S1413">
        <v>0.91535159320394222</v>
      </c>
    </row>
    <row r="1414" spans="4:19" x14ac:dyDescent="0.25">
      <c r="D1414" t="s">
        <v>59</v>
      </c>
      <c r="E1414">
        <v>2014</v>
      </c>
      <c r="F1414" t="s">
        <v>33</v>
      </c>
      <c r="S1414">
        <v>0.92772022743204297</v>
      </c>
    </row>
    <row r="1415" spans="4:19" x14ac:dyDescent="0.25">
      <c r="D1415" t="s">
        <v>59</v>
      </c>
      <c r="E1415">
        <v>2015</v>
      </c>
      <c r="F1415" t="s">
        <v>33</v>
      </c>
      <c r="S1415">
        <v>0.95650579433768523</v>
      </c>
    </row>
    <row r="1416" spans="4:19" x14ac:dyDescent="0.25">
      <c r="D1416" t="s">
        <v>59</v>
      </c>
      <c r="E1416">
        <v>2013</v>
      </c>
      <c r="F1416" t="s">
        <v>34</v>
      </c>
      <c r="G1416">
        <v>0.82657200811359022</v>
      </c>
      <c r="H1416">
        <v>0.86313617606602477</v>
      </c>
      <c r="I1416">
        <v>0.92767676767676766</v>
      </c>
      <c r="J1416">
        <v>0.94246115077698445</v>
      </c>
      <c r="K1416">
        <v>0.9748913568324481</v>
      </c>
      <c r="L1416">
        <v>0.96796338672768878</v>
      </c>
      <c r="M1416">
        <v>0.96746746746746748</v>
      </c>
      <c r="N1416">
        <v>0.88097426470588236</v>
      </c>
      <c r="O1416">
        <v>0.92384232682740142</v>
      </c>
      <c r="P1416">
        <v>0.95241779497098644</v>
      </c>
      <c r="Q1416">
        <v>0.87274290627687012</v>
      </c>
      <c r="R1416">
        <v>0.92910140148392417</v>
      </c>
    </row>
    <row r="1417" spans="4:19" x14ac:dyDescent="0.25">
      <c r="D1417" t="s">
        <v>59</v>
      </c>
      <c r="E1417">
        <v>2014</v>
      </c>
      <c r="F1417" t="s">
        <v>34</v>
      </c>
      <c r="G1417">
        <v>0.92375366568914952</v>
      </c>
      <c r="I1417">
        <v>0.93682310469314078</v>
      </c>
      <c r="J1417">
        <v>0.93281778637022716</v>
      </c>
      <c r="K1417">
        <v>0.91002570694087404</v>
      </c>
      <c r="L1417">
        <v>0.90948693126815106</v>
      </c>
      <c r="M1417">
        <v>0.95647382920110191</v>
      </c>
      <c r="N1417">
        <v>0.98130193905817176</v>
      </c>
      <c r="O1417">
        <v>0.96153846153846156</v>
      </c>
      <c r="P1417">
        <v>0.96034297963558413</v>
      </c>
      <c r="Q1417">
        <v>0.98094027954256668</v>
      </c>
      <c r="R1417">
        <v>0.9625131995776135</v>
      </c>
    </row>
    <row r="1418" spans="4:19" x14ac:dyDescent="0.25">
      <c r="D1418" t="s">
        <v>59</v>
      </c>
      <c r="E1418">
        <v>2015</v>
      </c>
      <c r="F1418" t="s">
        <v>34</v>
      </c>
      <c r="G1418">
        <v>0.96299810246679318</v>
      </c>
      <c r="H1418">
        <v>0.96993592902907833</v>
      </c>
      <c r="I1418">
        <v>0.95189003436426112</v>
      </c>
      <c r="J1418">
        <v>0.96507042253521125</v>
      </c>
      <c r="K1418">
        <v>0.95777479892761397</v>
      </c>
      <c r="L1418">
        <v>0.95096652522395098</v>
      </c>
      <c r="M1418">
        <v>0.93870656370656369</v>
      </c>
    </row>
    <row r="1419" spans="4:19" x14ac:dyDescent="0.25">
      <c r="D1419" t="s">
        <v>60</v>
      </c>
      <c r="E1419">
        <v>2013</v>
      </c>
      <c r="F1419" t="s">
        <v>17</v>
      </c>
      <c r="S1419">
        <v>0.95796041408641597</v>
      </c>
    </row>
    <row r="1420" spans="4:19" x14ac:dyDescent="0.25">
      <c r="D1420" t="s">
        <v>60</v>
      </c>
      <c r="E1420">
        <v>2014</v>
      </c>
      <c r="F1420" t="s">
        <v>17</v>
      </c>
      <c r="S1420">
        <v>0.90850204364557685</v>
      </c>
    </row>
    <row r="1421" spans="4:19" x14ac:dyDescent="0.25">
      <c r="D1421" t="s">
        <v>60</v>
      </c>
      <c r="E1421">
        <v>2015</v>
      </c>
      <c r="F1421" t="s">
        <v>17</v>
      </c>
      <c r="S1421">
        <v>0.90311649352813728</v>
      </c>
    </row>
    <row r="1422" spans="4:19" x14ac:dyDescent="0.25">
      <c r="D1422" t="s">
        <v>60</v>
      </c>
      <c r="E1422">
        <v>2013</v>
      </c>
      <c r="F1422" t="s">
        <v>18</v>
      </c>
      <c r="G1422">
        <v>0.92574850299401201</v>
      </c>
      <c r="H1422">
        <v>0.94736842105263153</v>
      </c>
      <c r="I1422">
        <v>0.96989463120923236</v>
      </c>
      <c r="J1422">
        <v>0.95314661134163214</v>
      </c>
      <c r="K1422">
        <v>0.96117627622666446</v>
      </c>
      <c r="L1422">
        <v>0.97849250197316495</v>
      </c>
      <c r="M1422">
        <v>0.98236092265943009</v>
      </c>
      <c r="N1422">
        <v>0.94261191518007403</v>
      </c>
      <c r="O1422">
        <v>0.94992092778070636</v>
      </c>
      <c r="P1422">
        <v>0.94249815225424982</v>
      </c>
      <c r="Q1422">
        <v>0.92459433662106272</v>
      </c>
      <c r="R1422">
        <v>0.90602218700475434</v>
      </c>
    </row>
    <row r="1423" spans="4:19" x14ac:dyDescent="0.25">
      <c r="D1423" t="s">
        <v>60</v>
      </c>
      <c r="E1423">
        <v>2014</v>
      </c>
      <c r="F1423" t="s">
        <v>18</v>
      </c>
      <c r="G1423">
        <v>0.89144860398146986</v>
      </c>
      <c r="H1423">
        <v>0.88273233655819405</v>
      </c>
      <c r="I1423">
        <v>0.95556966042526181</v>
      </c>
      <c r="J1423">
        <v>0.89373601789709167</v>
      </c>
      <c r="K1423">
        <v>0.91983122362869196</v>
      </c>
      <c r="L1423">
        <v>0.89071856287425155</v>
      </c>
      <c r="M1423">
        <v>0.93019005847953218</v>
      </c>
      <c r="N1423">
        <v>0.9101506456241033</v>
      </c>
      <c r="O1423">
        <v>0.82438763217775402</v>
      </c>
      <c r="P1423">
        <v>0.84015202325061478</v>
      </c>
      <c r="Q1423">
        <v>0.87982967986122063</v>
      </c>
      <c r="R1423">
        <v>0.91284034154986304</v>
      </c>
    </row>
    <row r="1424" spans="4:19" x14ac:dyDescent="0.25">
      <c r="D1424" t="s">
        <v>60</v>
      </c>
      <c r="E1424">
        <v>2015</v>
      </c>
      <c r="F1424" t="s">
        <v>18</v>
      </c>
      <c r="G1424">
        <v>0.87342687689859688</v>
      </c>
      <c r="H1424">
        <v>0.88177501228098898</v>
      </c>
      <c r="I1424">
        <v>0.89650261117265395</v>
      </c>
      <c r="J1424">
        <v>0.89804810038340888</v>
      </c>
      <c r="K1424">
        <v>0.91440125814423723</v>
      </c>
      <c r="L1424">
        <v>0.99576495500264695</v>
      </c>
      <c r="M1424">
        <v>0.90541543026706228</v>
      </c>
    </row>
    <row r="1425" spans="4:19" x14ac:dyDescent="0.25">
      <c r="D1425" t="s">
        <v>60</v>
      </c>
      <c r="E1425">
        <v>2013</v>
      </c>
      <c r="F1425" t="s">
        <v>19</v>
      </c>
      <c r="S1425">
        <v>0.99360161334677788</v>
      </c>
    </row>
    <row r="1426" spans="4:19" x14ac:dyDescent="0.25">
      <c r="D1426" t="s">
        <v>60</v>
      </c>
      <c r="E1426">
        <v>2014</v>
      </c>
      <c r="F1426" t="s">
        <v>19</v>
      </c>
      <c r="S1426">
        <v>0.99511210725244192</v>
      </c>
    </row>
    <row r="1427" spans="4:19" x14ac:dyDescent="0.25">
      <c r="D1427" t="s">
        <v>60</v>
      </c>
      <c r="E1427">
        <v>2015</v>
      </c>
      <c r="F1427" t="s">
        <v>19</v>
      </c>
      <c r="S1427">
        <v>0.99835210303041833</v>
      </c>
    </row>
    <row r="1428" spans="4:19" x14ac:dyDescent="0.25">
      <c r="D1428" t="s">
        <v>60</v>
      </c>
      <c r="E1428">
        <v>2013</v>
      </c>
      <c r="F1428" t="s">
        <v>20</v>
      </c>
      <c r="G1428">
        <v>0.98631853162845273</v>
      </c>
      <c r="H1428">
        <v>0.99513674220795845</v>
      </c>
      <c r="I1428">
        <v>0.99408645144997687</v>
      </c>
      <c r="J1428">
        <v>0.99360444601270292</v>
      </c>
      <c r="K1428">
        <v>0.99091555596338698</v>
      </c>
      <c r="L1428">
        <v>0.99740702504141554</v>
      </c>
      <c r="M1428">
        <v>0.99825327510917028</v>
      </c>
      <c r="N1428">
        <v>0.99943709541232761</v>
      </c>
      <c r="O1428">
        <v>0.9971036466837726</v>
      </c>
      <c r="P1428">
        <v>0.9968096118926808</v>
      </c>
      <c r="Q1428">
        <v>0.99523504077705494</v>
      </c>
      <c r="R1428">
        <v>0.99400988552633995</v>
      </c>
    </row>
    <row r="1429" spans="4:19" x14ac:dyDescent="0.25">
      <c r="D1429" t="s">
        <v>60</v>
      </c>
      <c r="E1429">
        <v>2014</v>
      </c>
      <c r="F1429" t="s">
        <v>20</v>
      </c>
      <c r="G1429">
        <v>0.99918004783054326</v>
      </c>
      <c r="H1429">
        <v>0.99754289775611737</v>
      </c>
      <c r="I1429">
        <v>0.99715303833028524</v>
      </c>
      <c r="J1429">
        <v>0.98208826695371365</v>
      </c>
      <c r="K1429">
        <v>0.99237062404870624</v>
      </c>
      <c r="L1429">
        <v>0.99689658007234461</v>
      </c>
      <c r="M1429">
        <v>0.99872794646313812</v>
      </c>
      <c r="N1429">
        <v>0.99879455509810466</v>
      </c>
      <c r="O1429">
        <v>0.99891684719213469</v>
      </c>
      <c r="P1429">
        <v>0.99909531502423266</v>
      </c>
      <c r="Q1429">
        <v>0.99927083538616168</v>
      </c>
      <c r="R1429">
        <v>0.99935610428115784</v>
      </c>
    </row>
    <row r="1430" spans="4:19" x14ac:dyDescent="0.25">
      <c r="D1430" t="s">
        <v>60</v>
      </c>
      <c r="E1430">
        <v>2015</v>
      </c>
      <c r="F1430" t="s">
        <v>20</v>
      </c>
      <c r="G1430">
        <v>0.9985225351469087</v>
      </c>
      <c r="H1430">
        <v>0.99837700760777681</v>
      </c>
      <c r="I1430">
        <v>0.99844177849049187</v>
      </c>
      <c r="J1430">
        <v>0.99750316905466141</v>
      </c>
      <c r="K1430">
        <v>0.99895451175699046</v>
      </c>
      <c r="L1430">
        <v>0.99838258366086019</v>
      </c>
      <c r="M1430">
        <v>0.99822593930178039</v>
      </c>
    </row>
    <row r="1431" spans="4:19" x14ac:dyDescent="0.25">
      <c r="D1431" t="s">
        <v>60</v>
      </c>
      <c r="E1431">
        <v>2013</v>
      </c>
      <c r="F1431" t="s">
        <v>21</v>
      </c>
      <c r="S1431">
        <v>0.95674169823935817</v>
      </c>
    </row>
    <row r="1432" spans="4:19" x14ac:dyDescent="0.25">
      <c r="D1432" t="s">
        <v>60</v>
      </c>
      <c r="E1432">
        <v>2014</v>
      </c>
      <c r="F1432" t="s">
        <v>21</v>
      </c>
      <c r="S1432">
        <v>0.98993492903078506</v>
      </c>
    </row>
    <row r="1433" spans="4:19" x14ac:dyDescent="0.25">
      <c r="D1433" t="s">
        <v>60</v>
      </c>
      <c r="E1433">
        <v>2015</v>
      </c>
      <c r="F1433" t="s">
        <v>21</v>
      </c>
      <c r="S1433">
        <v>0.99572918854582371</v>
      </c>
    </row>
    <row r="1434" spans="4:19" x14ac:dyDescent="0.25">
      <c r="D1434" t="s">
        <v>60</v>
      </c>
      <c r="E1434">
        <v>2013</v>
      </c>
      <c r="F1434" t="s">
        <v>22</v>
      </c>
      <c r="G1434">
        <v>0.89920871708392791</v>
      </c>
      <c r="H1434">
        <v>0.96108447067502767</v>
      </c>
      <c r="I1434">
        <v>0.98320251177394036</v>
      </c>
      <c r="J1434">
        <v>0.95817798670773224</v>
      </c>
      <c r="K1434">
        <v>0.9172995780590717</v>
      </c>
      <c r="L1434">
        <v>0.99261879132707986</v>
      </c>
      <c r="M1434">
        <v>0.99261665682220912</v>
      </c>
      <c r="N1434">
        <v>0.99355205765219046</v>
      </c>
      <c r="O1434">
        <v>0.98550966022651565</v>
      </c>
      <c r="P1434">
        <v>0.98984771573604058</v>
      </c>
      <c r="Q1434">
        <v>0.98901482127288576</v>
      </c>
      <c r="R1434">
        <v>0.96231375985977208</v>
      </c>
    </row>
    <row r="1435" spans="4:19" x14ac:dyDescent="0.25">
      <c r="D1435" t="s">
        <v>60</v>
      </c>
      <c r="E1435">
        <v>2014</v>
      </c>
      <c r="F1435" t="s">
        <v>22</v>
      </c>
      <c r="G1435">
        <v>0.99285274183610595</v>
      </c>
      <c r="H1435">
        <v>0.99252934898612588</v>
      </c>
      <c r="I1435">
        <v>0.98461179762182327</v>
      </c>
      <c r="J1435">
        <v>0.97545031958163864</v>
      </c>
      <c r="K1435">
        <v>0.98996815286624207</v>
      </c>
      <c r="L1435">
        <v>0.99715578539107952</v>
      </c>
      <c r="M1435">
        <v>0.99611780455153953</v>
      </c>
      <c r="N1435">
        <v>0.99950049950049946</v>
      </c>
      <c r="O1435">
        <v>0.99729032258064521</v>
      </c>
      <c r="P1435">
        <v>0.99731218922187881</v>
      </c>
      <c r="Q1435">
        <v>0.99796777471331111</v>
      </c>
      <c r="R1435">
        <v>0.99788538803129623</v>
      </c>
    </row>
    <row r="1436" spans="4:19" x14ac:dyDescent="0.25">
      <c r="D1436" t="s">
        <v>60</v>
      </c>
      <c r="E1436">
        <v>2015</v>
      </c>
      <c r="F1436" t="s">
        <v>22</v>
      </c>
      <c r="G1436">
        <v>0.99270390939780029</v>
      </c>
      <c r="H1436">
        <v>0.99513907642452071</v>
      </c>
      <c r="I1436">
        <v>0.99597900145202722</v>
      </c>
      <c r="J1436">
        <v>0.99343251574855918</v>
      </c>
      <c r="K1436">
        <v>0.99739619021515691</v>
      </c>
      <c r="L1436">
        <v>0.9971949509116409</v>
      </c>
      <c r="M1436">
        <v>0.99842919284678588</v>
      </c>
    </row>
    <row r="1437" spans="4:19" x14ac:dyDescent="0.25">
      <c r="D1437" t="s">
        <v>60</v>
      </c>
      <c r="E1437">
        <v>2013</v>
      </c>
      <c r="F1437" t="s">
        <v>23</v>
      </c>
      <c r="S1437">
        <v>157680</v>
      </c>
    </row>
    <row r="1438" spans="4:19" x14ac:dyDescent="0.25">
      <c r="D1438" t="s">
        <v>60</v>
      </c>
      <c r="E1438">
        <v>2014</v>
      </c>
      <c r="F1438" t="s">
        <v>23</v>
      </c>
      <c r="S1438">
        <v>158270</v>
      </c>
    </row>
    <row r="1439" spans="4:19" x14ac:dyDescent="0.25">
      <c r="D1439" t="s">
        <v>60</v>
      </c>
      <c r="E1439">
        <v>2015</v>
      </c>
      <c r="F1439" t="s">
        <v>23</v>
      </c>
      <c r="S1439">
        <v>152257</v>
      </c>
    </row>
    <row r="1440" spans="4:19" x14ac:dyDescent="0.25">
      <c r="D1440" t="s">
        <v>60</v>
      </c>
      <c r="E1440">
        <v>2013</v>
      </c>
      <c r="F1440" t="s">
        <v>24</v>
      </c>
      <c r="G1440">
        <v>27332</v>
      </c>
      <c r="H1440">
        <v>26474</v>
      </c>
      <c r="I1440">
        <v>22441</v>
      </c>
      <c r="J1440">
        <v>22428</v>
      </c>
      <c r="K1440">
        <v>21295</v>
      </c>
      <c r="L1440">
        <v>18428</v>
      </c>
      <c r="M1440">
        <v>19282</v>
      </c>
      <c r="N1440">
        <v>20979</v>
      </c>
      <c r="O1440">
        <v>25066</v>
      </c>
      <c r="P1440">
        <v>24699</v>
      </c>
      <c r="Q1440">
        <v>22095</v>
      </c>
      <c r="R1440">
        <v>22581</v>
      </c>
    </row>
    <row r="1441" spans="4:19" x14ac:dyDescent="0.25">
      <c r="D1441" t="s">
        <v>60</v>
      </c>
      <c r="E1441">
        <v>2014</v>
      </c>
      <c r="F1441" t="s">
        <v>24</v>
      </c>
      <c r="G1441">
        <v>27122</v>
      </c>
      <c r="H1441">
        <v>26519</v>
      </c>
      <c r="I1441">
        <v>23342</v>
      </c>
      <c r="J1441">
        <v>20489</v>
      </c>
      <c r="K1441">
        <v>19688</v>
      </c>
      <c r="L1441">
        <v>19988</v>
      </c>
      <c r="M1441">
        <v>21122</v>
      </c>
      <c r="N1441">
        <v>20785</v>
      </c>
      <c r="O1441">
        <v>25364</v>
      </c>
      <c r="P1441">
        <v>28838</v>
      </c>
      <c r="Q1441">
        <v>23926</v>
      </c>
      <c r="R1441">
        <v>24299</v>
      </c>
    </row>
    <row r="1442" spans="4:19" x14ac:dyDescent="0.25">
      <c r="D1442" t="s">
        <v>60</v>
      </c>
      <c r="E1442">
        <v>2015</v>
      </c>
      <c r="F1442" t="s">
        <v>24</v>
      </c>
      <c r="G1442">
        <v>25319</v>
      </c>
      <c r="H1442">
        <v>22546</v>
      </c>
      <c r="I1442">
        <v>21140</v>
      </c>
      <c r="J1442">
        <v>20996</v>
      </c>
      <c r="K1442">
        <v>18735</v>
      </c>
      <c r="L1442">
        <v>21488</v>
      </c>
      <c r="M1442">
        <v>22033</v>
      </c>
    </row>
    <row r="1443" spans="4:19" x14ac:dyDescent="0.25">
      <c r="D1443" t="s">
        <v>60</v>
      </c>
      <c r="E1443">
        <v>2013</v>
      </c>
      <c r="F1443" t="s">
        <v>25</v>
      </c>
      <c r="S1443">
        <v>276787</v>
      </c>
    </row>
    <row r="1444" spans="4:19" x14ac:dyDescent="0.25">
      <c r="D1444" t="s">
        <v>60</v>
      </c>
      <c r="E1444">
        <v>2014</v>
      </c>
      <c r="F1444" t="s">
        <v>25</v>
      </c>
      <c r="S1444">
        <v>276155</v>
      </c>
    </row>
    <row r="1445" spans="4:19" x14ac:dyDescent="0.25">
      <c r="D1445" t="s">
        <v>60</v>
      </c>
      <c r="E1445">
        <v>2015</v>
      </c>
      <c r="F1445" t="s">
        <v>25</v>
      </c>
      <c r="S1445">
        <v>295383</v>
      </c>
    </row>
    <row r="1446" spans="4:19" x14ac:dyDescent="0.25">
      <c r="D1446" t="s">
        <v>60</v>
      </c>
      <c r="E1446">
        <v>2013</v>
      </c>
      <c r="F1446" t="s">
        <v>26</v>
      </c>
      <c r="G1446">
        <v>44318</v>
      </c>
      <c r="H1446">
        <v>40275</v>
      </c>
      <c r="I1446">
        <v>38393</v>
      </c>
      <c r="J1446">
        <v>38282</v>
      </c>
      <c r="K1446">
        <v>37310</v>
      </c>
      <c r="L1446">
        <v>36382</v>
      </c>
      <c r="M1446">
        <v>41827</v>
      </c>
      <c r="N1446">
        <v>42217</v>
      </c>
      <c r="O1446">
        <v>49139</v>
      </c>
      <c r="P1446">
        <v>62779</v>
      </c>
      <c r="Q1446">
        <v>44820</v>
      </c>
      <c r="R1446">
        <v>47090</v>
      </c>
    </row>
    <row r="1447" spans="4:19" x14ac:dyDescent="0.25">
      <c r="D1447" t="s">
        <v>60</v>
      </c>
      <c r="E1447">
        <v>2014</v>
      </c>
      <c r="F1447" t="s">
        <v>26</v>
      </c>
      <c r="G1447">
        <v>46849</v>
      </c>
      <c r="H1447">
        <v>39405</v>
      </c>
      <c r="I1447">
        <v>38931</v>
      </c>
      <c r="J1447">
        <v>37205</v>
      </c>
      <c r="K1447">
        <v>36604</v>
      </c>
      <c r="L1447">
        <v>36528</v>
      </c>
      <c r="M1447">
        <v>40633</v>
      </c>
      <c r="N1447">
        <v>45831</v>
      </c>
      <c r="O1447">
        <v>53094</v>
      </c>
      <c r="P1447">
        <v>46239</v>
      </c>
      <c r="Q1447">
        <v>45464</v>
      </c>
      <c r="R1447">
        <v>55554</v>
      </c>
    </row>
    <row r="1448" spans="4:19" x14ac:dyDescent="0.25">
      <c r="D1448" t="s">
        <v>60</v>
      </c>
      <c r="E1448">
        <v>2015</v>
      </c>
      <c r="F1448" t="s">
        <v>26</v>
      </c>
      <c r="G1448">
        <v>48478</v>
      </c>
      <c r="H1448">
        <v>39567</v>
      </c>
      <c r="I1448">
        <v>44842</v>
      </c>
      <c r="J1448">
        <v>34956</v>
      </c>
      <c r="K1448">
        <v>36116</v>
      </c>
      <c r="L1448">
        <v>44096</v>
      </c>
      <c r="M1448">
        <v>47328</v>
      </c>
    </row>
    <row r="1449" spans="4:19" x14ac:dyDescent="0.25">
      <c r="D1449" t="s">
        <v>60</v>
      </c>
      <c r="E1449">
        <v>2013</v>
      </c>
      <c r="F1449" t="s">
        <v>27</v>
      </c>
      <c r="S1449">
        <v>489184</v>
      </c>
    </row>
    <row r="1450" spans="4:19" x14ac:dyDescent="0.25">
      <c r="D1450" t="s">
        <v>60</v>
      </c>
      <c r="E1450">
        <v>2014</v>
      </c>
      <c r="F1450" t="s">
        <v>27</v>
      </c>
      <c r="S1450">
        <v>493722</v>
      </c>
    </row>
    <row r="1451" spans="4:19" x14ac:dyDescent="0.25">
      <c r="D1451" t="s">
        <v>60</v>
      </c>
      <c r="E1451">
        <v>2015</v>
      </c>
      <c r="F1451" t="s">
        <v>27</v>
      </c>
      <c r="S1451">
        <v>539582</v>
      </c>
    </row>
    <row r="1452" spans="4:19" x14ac:dyDescent="0.25">
      <c r="D1452" t="s">
        <v>60</v>
      </c>
      <c r="E1452">
        <v>2013</v>
      </c>
      <c r="F1452" t="s">
        <v>28</v>
      </c>
      <c r="G1452">
        <v>76126</v>
      </c>
      <c r="H1452">
        <v>72861</v>
      </c>
      <c r="I1452">
        <v>69779</v>
      </c>
      <c r="J1452">
        <v>67851</v>
      </c>
      <c r="K1452">
        <v>65048</v>
      </c>
      <c r="L1452">
        <v>63738</v>
      </c>
      <c r="M1452">
        <v>73781</v>
      </c>
      <c r="N1452">
        <v>69128</v>
      </c>
      <c r="O1452">
        <v>82672</v>
      </c>
      <c r="P1452">
        <v>99495</v>
      </c>
      <c r="Q1452">
        <v>76566</v>
      </c>
      <c r="R1452">
        <v>83299</v>
      </c>
    </row>
    <row r="1453" spans="4:19" x14ac:dyDescent="0.25">
      <c r="D1453" t="s">
        <v>60</v>
      </c>
      <c r="E1453">
        <v>2014</v>
      </c>
      <c r="F1453" t="s">
        <v>28</v>
      </c>
      <c r="G1453">
        <v>82083</v>
      </c>
      <c r="H1453">
        <v>72255</v>
      </c>
      <c r="I1453">
        <v>71849</v>
      </c>
      <c r="J1453">
        <v>65536</v>
      </c>
      <c r="K1453">
        <v>64168</v>
      </c>
      <c r="L1453">
        <v>65866</v>
      </c>
      <c r="M1453">
        <v>71965</v>
      </c>
      <c r="N1453">
        <v>74238</v>
      </c>
      <c r="O1453">
        <v>89853</v>
      </c>
      <c r="P1453">
        <v>84005</v>
      </c>
      <c r="Q1453">
        <v>78887</v>
      </c>
      <c r="R1453">
        <v>99736</v>
      </c>
    </row>
    <row r="1454" spans="4:19" x14ac:dyDescent="0.25">
      <c r="D1454" t="s">
        <v>60</v>
      </c>
      <c r="E1454">
        <v>2015</v>
      </c>
      <c r="F1454" t="s">
        <v>28</v>
      </c>
      <c r="G1454">
        <v>85887</v>
      </c>
      <c r="H1454">
        <v>75311</v>
      </c>
      <c r="I1454">
        <v>84694</v>
      </c>
      <c r="J1454">
        <v>64404</v>
      </c>
      <c r="K1454">
        <v>65970</v>
      </c>
      <c r="L1454">
        <v>80245</v>
      </c>
      <c r="M1454">
        <v>83071</v>
      </c>
    </row>
    <row r="1455" spans="4:19" x14ac:dyDescent="0.25">
      <c r="D1455" t="s">
        <v>60</v>
      </c>
      <c r="E1455">
        <v>2013</v>
      </c>
      <c r="F1455" t="s">
        <v>29</v>
      </c>
      <c r="S1455">
        <v>42793</v>
      </c>
    </row>
    <row r="1456" spans="4:19" x14ac:dyDescent="0.25">
      <c r="D1456" t="s">
        <v>60</v>
      </c>
      <c r="E1456">
        <v>2014</v>
      </c>
      <c r="F1456" t="s">
        <v>29</v>
      </c>
      <c r="S1456">
        <v>41837</v>
      </c>
    </row>
    <row r="1457" spans="4:19" x14ac:dyDescent="0.25">
      <c r="D1457" t="s">
        <v>60</v>
      </c>
      <c r="E1457">
        <v>2015</v>
      </c>
      <c r="F1457" t="s">
        <v>29</v>
      </c>
      <c r="S1457">
        <v>36002</v>
      </c>
    </row>
    <row r="1458" spans="4:19" x14ac:dyDescent="0.25">
      <c r="D1458" t="s">
        <v>60</v>
      </c>
      <c r="E1458">
        <v>2013</v>
      </c>
      <c r="F1458" t="s">
        <v>30</v>
      </c>
      <c r="G1458">
        <v>7515</v>
      </c>
      <c r="H1458">
        <v>6498</v>
      </c>
      <c r="I1458">
        <v>5979</v>
      </c>
      <c r="J1458">
        <v>5784</v>
      </c>
      <c r="K1458">
        <v>6053</v>
      </c>
      <c r="L1458">
        <v>5068</v>
      </c>
      <c r="M1458">
        <v>5896</v>
      </c>
      <c r="N1458">
        <v>5942</v>
      </c>
      <c r="O1458">
        <v>7588</v>
      </c>
      <c r="P1458">
        <v>6765</v>
      </c>
      <c r="Q1458">
        <v>6286</v>
      </c>
      <c r="R1458">
        <v>6310</v>
      </c>
    </row>
    <row r="1459" spans="4:19" x14ac:dyDescent="0.25">
      <c r="D1459" t="s">
        <v>60</v>
      </c>
      <c r="E1459">
        <v>2014</v>
      </c>
      <c r="F1459" t="s">
        <v>30</v>
      </c>
      <c r="G1459">
        <v>7987</v>
      </c>
      <c r="H1459">
        <v>6822</v>
      </c>
      <c r="I1459">
        <v>6302</v>
      </c>
      <c r="J1459">
        <v>5364</v>
      </c>
      <c r="K1459">
        <v>5214</v>
      </c>
      <c r="L1459">
        <v>4676</v>
      </c>
      <c r="M1459">
        <v>5472</v>
      </c>
      <c r="N1459">
        <v>5576</v>
      </c>
      <c r="O1459">
        <v>7471</v>
      </c>
      <c r="P1459">
        <v>4473</v>
      </c>
      <c r="Q1459">
        <v>6341</v>
      </c>
      <c r="R1459">
        <v>6207</v>
      </c>
    </row>
    <row r="1460" spans="4:19" x14ac:dyDescent="0.25">
      <c r="D1460" t="s">
        <v>60</v>
      </c>
      <c r="E1460">
        <v>2015</v>
      </c>
      <c r="F1460" t="s">
        <v>30</v>
      </c>
      <c r="G1460">
        <v>6913</v>
      </c>
      <c r="H1460">
        <v>6107</v>
      </c>
      <c r="I1460">
        <v>6319</v>
      </c>
      <c r="J1460">
        <v>5738</v>
      </c>
      <c r="K1460">
        <v>4451</v>
      </c>
      <c r="L1460">
        <v>3778</v>
      </c>
      <c r="M1460">
        <v>2696</v>
      </c>
    </row>
    <row r="1461" spans="4:19" x14ac:dyDescent="0.25">
      <c r="D1461" t="s">
        <v>60</v>
      </c>
      <c r="E1461">
        <v>2013</v>
      </c>
      <c r="F1461" t="s">
        <v>31</v>
      </c>
      <c r="S1461">
        <v>0.94936580416032468</v>
      </c>
    </row>
    <row r="1462" spans="4:19" x14ac:dyDescent="0.25">
      <c r="D1462" t="s">
        <v>60</v>
      </c>
      <c r="E1462">
        <v>2014</v>
      </c>
      <c r="F1462" t="s">
        <v>31</v>
      </c>
      <c r="S1462">
        <v>0.96729639224110697</v>
      </c>
    </row>
    <row r="1463" spans="4:19" x14ac:dyDescent="0.25">
      <c r="D1463" t="s">
        <v>60</v>
      </c>
      <c r="E1463">
        <v>2015</v>
      </c>
      <c r="F1463" t="s">
        <v>31</v>
      </c>
      <c r="S1463">
        <v>0.96612306823331606</v>
      </c>
    </row>
    <row r="1464" spans="4:19" x14ac:dyDescent="0.25">
      <c r="D1464" t="s">
        <v>60</v>
      </c>
      <c r="E1464">
        <v>2013</v>
      </c>
      <c r="F1464" t="s">
        <v>32</v>
      </c>
      <c r="G1464">
        <v>0.94618030147812093</v>
      </c>
      <c r="H1464">
        <v>0.94133867190451004</v>
      </c>
      <c r="I1464">
        <v>0.95227485406176193</v>
      </c>
      <c r="J1464">
        <v>0.94346352773319064</v>
      </c>
      <c r="K1464">
        <v>0.94641934726461607</v>
      </c>
      <c r="L1464">
        <v>0.95512263946168874</v>
      </c>
      <c r="M1464">
        <v>0.96613421844207037</v>
      </c>
      <c r="N1464">
        <v>0.95304828638161976</v>
      </c>
      <c r="O1464">
        <v>0.97187425197478661</v>
      </c>
      <c r="P1464">
        <v>0.9672051500060731</v>
      </c>
      <c r="Q1464">
        <v>0.9645621181262729</v>
      </c>
      <c r="R1464">
        <v>0.96988618750276778</v>
      </c>
    </row>
    <row r="1465" spans="4:19" x14ac:dyDescent="0.25">
      <c r="D1465" t="s">
        <v>60</v>
      </c>
      <c r="E1465">
        <v>2014</v>
      </c>
      <c r="F1465" t="s">
        <v>32</v>
      </c>
      <c r="G1465">
        <v>0.96729592212963644</v>
      </c>
      <c r="H1465">
        <v>0.96643915683095138</v>
      </c>
      <c r="I1465">
        <v>0.9689401079599006</v>
      </c>
      <c r="J1465">
        <v>0.96407828590951239</v>
      </c>
      <c r="K1465">
        <v>0.96835635920357577</v>
      </c>
      <c r="L1465">
        <v>0.97003201921152693</v>
      </c>
      <c r="M1465">
        <v>0.96610169491525422</v>
      </c>
      <c r="N1465">
        <v>0.95381284580226122</v>
      </c>
      <c r="O1465">
        <v>0.9602980602428639</v>
      </c>
      <c r="P1465">
        <v>0.94417088563700668</v>
      </c>
      <c r="Q1465">
        <v>0.91482069714954439</v>
      </c>
      <c r="R1465">
        <v>0.96633606321247789</v>
      </c>
    </row>
    <row r="1466" spans="4:19" x14ac:dyDescent="0.25">
      <c r="D1466" t="s">
        <v>60</v>
      </c>
      <c r="E1466">
        <v>2015</v>
      </c>
      <c r="F1466" t="s">
        <v>32</v>
      </c>
      <c r="G1466">
        <v>0.97014100082941668</v>
      </c>
      <c r="H1466">
        <v>0.97090392974363526</v>
      </c>
      <c r="I1466">
        <v>0.96192052980132448</v>
      </c>
      <c r="J1466">
        <v>0.96232615736330729</v>
      </c>
      <c r="K1466">
        <v>0.9671203629570323</v>
      </c>
      <c r="L1466">
        <v>0.96709791511541321</v>
      </c>
      <c r="M1466">
        <v>0.9624653928198611</v>
      </c>
    </row>
    <row r="1467" spans="4:19" x14ac:dyDescent="0.25">
      <c r="D1467" t="s">
        <v>60</v>
      </c>
      <c r="E1467">
        <v>2013</v>
      </c>
      <c r="F1467" t="s">
        <v>33</v>
      </c>
      <c r="S1467">
        <v>0.9608794465699162</v>
      </c>
    </row>
    <row r="1468" spans="4:19" x14ac:dyDescent="0.25">
      <c r="D1468" t="s">
        <v>60</v>
      </c>
      <c r="E1468">
        <v>2014</v>
      </c>
      <c r="F1468" t="s">
        <v>33</v>
      </c>
      <c r="S1468">
        <v>0.96522746625347233</v>
      </c>
    </row>
    <row r="1469" spans="4:19" x14ac:dyDescent="0.25">
      <c r="D1469" t="s">
        <v>60</v>
      </c>
      <c r="E1469">
        <v>2015</v>
      </c>
      <c r="F1469" t="s">
        <v>33</v>
      </c>
      <c r="S1469">
        <v>0.97408642798902967</v>
      </c>
    </row>
    <row r="1470" spans="4:19" x14ac:dyDescent="0.25">
      <c r="D1470" t="s">
        <v>60</v>
      </c>
      <c r="E1470">
        <v>2013</v>
      </c>
      <c r="F1470" t="s">
        <v>34</v>
      </c>
      <c r="G1470">
        <v>0.9592732088903605</v>
      </c>
      <c r="H1470">
        <v>0.95158767071159778</v>
      </c>
      <c r="I1470">
        <v>0.96615644568134385</v>
      </c>
      <c r="J1470">
        <v>0.95683994185172194</v>
      </c>
      <c r="K1470">
        <v>0.95927935521255858</v>
      </c>
      <c r="L1470">
        <v>0.97133816101746484</v>
      </c>
      <c r="M1470">
        <v>0.96624076896026256</v>
      </c>
      <c r="N1470">
        <v>0.94580169472873332</v>
      </c>
      <c r="O1470">
        <v>0.96879564466870272</v>
      </c>
      <c r="P1470">
        <v>0.96320690438337497</v>
      </c>
      <c r="Q1470">
        <v>0.95992630124366651</v>
      </c>
      <c r="R1470">
        <v>0.9664727344443349</v>
      </c>
    </row>
    <row r="1471" spans="4:19" x14ac:dyDescent="0.25">
      <c r="D1471" t="s">
        <v>60</v>
      </c>
      <c r="E1471">
        <v>2014</v>
      </c>
      <c r="F1471" t="s">
        <v>34</v>
      </c>
      <c r="G1471">
        <v>0.96370406743596038</v>
      </c>
      <c r="H1471">
        <v>0.96333072390919205</v>
      </c>
      <c r="I1471">
        <v>0.96575018896447473</v>
      </c>
      <c r="J1471">
        <v>0.96079893475366174</v>
      </c>
      <c r="K1471">
        <v>0.96532724844167406</v>
      </c>
      <c r="L1471">
        <v>0.96708791208791212</v>
      </c>
      <c r="M1471">
        <v>0.97171344965861062</v>
      </c>
      <c r="N1471">
        <v>0.9711444501925619</v>
      </c>
      <c r="O1471">
        <v>0.96977365387318992</v>
      </c>
      <c r="P1471">
        <v>0.9486459774659024</v>
      </c>
      <c r="Q1471">
        <v>0.91403238242097151</v>
      </c>
      <c r="R1471">
        <v>0.97329335145012419</v>
      </c>
    </row>
    <row r="1472" spans="4:19" x14ac:dyDescent="0.25">
      <c r="D1472" t="s">
        <v>60</v>
      </c>
      <c r="E1472">
        <v>2015</v>
      </c>
      <c r="F1472" t="s">
        <v>34</v>
      </c>
      <c r="G1472">
        <v>0.97627330300597626</v>
      </c>
      <c r="H1472">
        <v>0.97718444214977629</v>
      </c>
      <c r="I1472">
        <v>0.97083531462989381</v>
      </c>
      <c r="J1472">
        <v>0.97119122423984239</v>
      </c>
      <c r="K1472">
        <v>0.97420361149439083</v>
      </c>
      <c r="L1472">
        <v>0.97540329020923178</v>
      </c>
      <c r="M1472">
        <v>0.97288474701205707</v>
      </c>
    </row>
    <row r="1473" spans="4:19" x14ac:dyDescent="0.25">
      <c r="D1473" t="s">
        <v>61</v>
      </c>
      <c r="E1473">
        <v>2013</v>
      </c>
      <c r="F1473" t="s">
        <v>17</v>
      </c>
      <c r="S1473">
        <v>0.89729768875830251</v>
      </c>
    </row>
    <row r="1474" spans="4:19" x14ac:dyDescent="0.25">
      <c r="D1474" t="s">
        <v>61</v>
      </c>
      <c r="E1474">
        <v>2014</v>
      </c>
      <c r="F1474" t="s">
        <v>17</v>
      </c>
      <c r="S1474">
        <v>0.97944608558849167</v>
      </c>
    </row>
    <row r="1475" spans="4:19" x14ac:dyDescent="0.25">
      <c r="D1475" t="s">
        <v>61</v>
      </c>
      <c r="E1475">
        <v>2015</v>
      </c>
      <c r="F1475" t="s">
        <v>17</v>
      </c>
      <c r="S1475">
        <v>0.97741718774223552</v>
      </c>
    </row>
    <row r="1476" spans="4:19" x14ac:dyDescent="0.25">
      <c r="D1476" t="s">
        <v>61</v>
      </c>
      <c r="E1476">
        <v>2013</v>
      </c>
      <c r="F1476" t="s">
        <v>18</v>
      </c>
      <c r="G1476">
        <v>0.84448089423485817</v>
      </c>
      <c r="H1476">
        <v>0.85943937858831476</v>
      </c>
      <c r="I1476">
        <v>0.88510779436152576</v>
      </c>
      <c r="J1476">
        <v>0.8996770721205597</v>
      </c>
      <c r="K1476">
        <v>0.88877528664281025</v>
      </c>
      <c r="L1476">
        <v>0.95473174366616986</v>
      </c>
      <c r="M1476">
        <v>0.98770183217602281</v>
      </c>
      <c r="N1476">
        <v>0.98396659707724421</v>
      </c>
      <c r="O1476">
        <v>0.98217028380634386</v>
      </c>
      <c r="P1476">
        <v>0.98219742261193044</v>
      </c>
      <c r="Q1476">
        <v>0.98265198370794993</v>
      </c>
      <c r="R1476">
        <v>0.98145485911443353</v>
      </c>
    </row>
    <row r="1477" spans="4:19" x14ac:dyDescent="0.25">
      <c r="D1477" t="s">
        <v>61</v>
      </c>
      <c r="E1477">
        <v>2014</v>
      </c>
      <c r="F1477" t="s">
        <v>18</v>
      </c>
      <c r="G1477">
        <v>0.98026056060007893</v>
      </c>
      <c r="H1477">
        <v>0.97929844738355376</v>
      </c>
      <c r="I1477">
        <v>0.98165882161986695</v>
      </c>
      <c r="J1477">
        <v>0.9795242860441844</v>
      </c>
      <c r="K1477">
        <v>0.97814207650273222</v>
      </c>
      <c r="L1477">
        <v>0.97937761263353462</v>
      </c>
      <c r="M1477">
        <v>0.97745106881933796</v>
      </c>
      <c r="N1477">
        <v>0.9811864081397581</v>
      </c>
      <c r="O1477">
        <v>0.98082912312270742</v>
      </c>
      <c r="P1477">
        <v>0.98067194188610718</v>
      </c>
      <c r="Q1477">
        <v>0.97930498658002541</v>
      </c>
      <c r="R1477">
        <v>0.97967884041494957</v>
      </c>
    </row>
    <row r="1478" spans="4:19" x14ac:dyDescent="0.25">
      <c r="D1478" t="s">
        <v>61</v>
      </c>
      <c r="E1478">
        <v>2015</v>
      </c>
      <c r="F1478" t="s">
        <v>18</v>
      </c>
      <c r="G1478">
        <v>0.98428661219358893</v>
      </c>
      <c r="H1478">
        <v>0.96819526627218933</v>
      </c>
      <c r="I1478">
        <v>0.97150489759572578</v>
      </c>
      <c r="J1478">
        <v>0.97740553174912348</v>
      </c>
      <c r="K1478">
        <v>0.98869778869778868</v>
      </c>
      <c r="L1478">
        <v>0.97491376607086866</v>
      </c>
      <c r="M1478">
        <v>0.98091106290672447</v>
      </c>
    </row>
    <row r="1479" spans="4:19" x14ac:dyDescent="0.25">
      <c r="D1479" t="s">
        <v>61</v>
      </c>
      <c r="E1479">
        <v>2013</v>
      </c>
      <c r="F1479" t="s">
        <v>19</v>
      </c>
      <c r="S1479">
        <v>0.62424939385012801</v>
      </c>
    </row>
    <row r="1480" spans="4:19" x14ac:dyDescent="0.25">
      <c r="D1480" t="s">
        <v>61</v>
      </c>
      <c r="E1480">
        <v>2014</v>
      </c>
      <c r="F1480" t="s">
        <v>19</v>
      </c>
      <c r="S1480">
        <v>0.86923378392922046</v>
      </c>
    </row>
    <row r="1481" spans="4:19" x14ac:dyDescent="0.25">
      <c r="D1481" t="s">
        <v>61</v>
      </c>
      <c r="E1481">
        <v>2015</v>
      </c>
      <c r="F1481" t="s">
        <v>19</v>
      </c>
      <c r="S1481">
        <v>0.78676247700979485</v>
      </c>
    </row>
    <row r="1482" spans="4:19" x14ac:dyDescent="0.25">
      <c r="D1482" t="s">
        <v>61</v>
      </c>
      <c r="E1482">
        <v>2013</v>
      </c>
      <c r="F1482" t="s">
        <v>20</v>
      </c>
      <c r="G1482">
        <v>0.57951857060137313</v>
      </c>
      <c r="H1482">
        <v>0.66226617837328128</v>
      </c>
      <c r="I1482">
        <v>0.62318392581143744</v>
      </c>
      <c r="J1482">
        <v>0.73081156597942509</v>
      </c>
      <c r="K1482">
        <v>0.60582283708445184</v>
      </c>
      <c r="L1482">
        <v>0.58523465410847675</v>
      </c>
      <c r="M1482">
        <v>0.59791402140395433</v>
      </c>
      <c r="N1482">
        <v>0.61202872965587285</v>
      </c>
      <c r="O1482">
        <v>0.58635369756295341</v>
      </c>
      <c r="P1482">
        <v>0.76724591180554624</v>
      </c>
      <c r="Q1482">
        <v>0.46651369171861823</v>
      </c>
      <c r="R1482">
        <v>0.65691497146202249</v>
      </c>
    </row>
    <row r="1483" spans="4:19" x14ac:dyDescent="0.25">
      <c r="D1483" t="s">
        <v>61</v>
      </c>
      <c r="E1483">
        <v>2014</v>
      </c>
      <c r="F1483" t="s">
        <v>20</v>
      </c>
      <c r="G1483">
        <v>0.70585447412419855</v>
      </c>
      <c r="H1483">
        <v>0.75454855732626214</v>
      </c>
      <c r="I1483">
        <v>0.81623241235519106</v>
      </c>
      <c r="J1483">
        <v>0.96325198240354171</v>
      </c>
      <c r="K1483">
        <v>0.96614051597095219</v>
      </c>
      <c r="L1483">
        <v>0.96874953540579511</v>
      </c>
      <c r="M1483">
        <v>0.9531787707199364</v>
      </c>
      <c r="N1483">
        <v>0.98721624204395886</v>
      </c>
      <c r="O1483">
        <v>0.97751969923263116</v>
      </c>
      <c r="P1483">
        <v>0.98373545401446738</v>
      </c>
      <c r="Q1483">
        <v>0.98769808173477902</v>
      </c>
      <c r="R1483">
        <v>0.99064142558010337</v>
      </c>
    </row>
    <row r="1484" spans="4:19" x14ac:dyDescent="0.25">
      <c r="D1484" t="s">
        <v>61</v>
      </c>
      <c r="E1484">
        <v>2015</v>
      </c>
      <c r="F1484" t="s">
        <v>20</v>
      </c>
      <c r="G1484">
        <v>0.83852293093000163</v>
      </c>
      <c r="H1484">
        <v>0.71758209249580907</v>
      </c>
      <c r="I1484">
        <v>0.71676488149321149</v>
      </c>
      <c r="J1484">
        <v>0.7568822777142088</v>
      </c>
      <c r="K1484">
        <v>0.81954317285988609</v>
      </c>
      <c r="L1484">
        <v>0.74633491293684173</v>
      </c>
      <c r="M1484">
        <v>0.9261649753329414</v>
      </c>
    </row>
    <row r="1485" spans="4:19" x14ac:dyDescent="0.25">
      <c r="D1485" t="s">
        <v>61</v>
      </c>
      <c r="E1485">
        <v>2013</v>
      </c>
      <c r="F1485" t="s">
        <v>21</v>
      </c>
      <c r="S1485">
        <v>0.91676752395360561</v>
      </c>
    </row>
    <row r="1486" spans="4:19" x14ac:dyDescent="0.25">
      <c r="D1486" t="s">
        <v>61</v>
      </c>
      <c r="E1486">
        <v>2014</v>
      </c>
      <c r="F1486" t="s">
        <v>21</v>
      </c>
      <c r="S1486">
        <v>0.94330636263332113</v>
      </c>
    </row>
    <row r="1487" spans="4:19" x14ac:dyDescent="0.25">
      <c r="D1487" t="s">
        <v>61</v>
      </c>
      <c r="E1487">
        <v>2015</v>
      </c>
      <c r="F1487" t="s">
        <v>21</v>
      </c>
      <c r="S1487">
        <v>0.88446295011180509</v>
      </c>
    </row>
    <row r="1488" spans="4:19" x14ac:dyDescent="0.25">
      <c r="D1488" t="s">
        <v>61</v>
      </c>
      <c r="E1488">
        <v>2013</v>
      </c>
      <c r="F1488" t="s">
        <v>22</v>
      </c>
      <c r="G1488">
        <v>0.85496183206106868</v>
      </c>
      <c r="H1488">
        <v>0.97253376058594643</v>
      </c>
      <c r="I1488">
        <v>0.96053546592489569</v>
      </c>
      <c r="J1488">
        <v>0.81912817176317498</v>
      </c>
      <c r="K1488">
        <v>0.92289780077619665</v>
      </c>
      <c r="L1488">
        <v>0.96469104665825978</v>
      </c>
      <c r="M1488">
        <v>0.95186640471512773</v>
      </c>
      <c r="N1488">
        <v>0.7554212584429435</v>
      </c>
      <c r="O1488">
        <v>0.68075502667213783</v>
      </c>
      <c r="P1488">
        <v>0.87011467353147676</v>
      </c>
      <c r="Q1488">
        <v>0.92031872509960155</v>
      </c>
      <c r="R1488">
        <v>0.97245274319963115</v>
      </c>
    </row>
    <row r="1489" spans="4:19" x14ac:dyDescent="0.25">
      <c r="D1489" t="s">
        <v>61</v>
      </c>
      <c r="E1489">
        <v>2014</v>
      </c>
      <c r="F1489" t="s">
        <v>22</v>
      </c>
      <c r="G1489">
        <v>0.9231392522282672</v>
      </c>
      <c r="H1489">
        <v>0.85753663136515301</v>
      </c>
      <c r="I1489">
        <v>0.91906110886280856</v>
      </c>
      <c r="J1489">
        <v>0.95155839279008636</v>
      </c>
      <c r="K1489">
        <v>0.95617656398856776</v>
      </c>
      <c r="L1489">
        <v>0.98595677127854442</v>
      </c>
      <c r="M1489">
        <v>0.99341444357629205</v>
      </c>
      <c r="N1489">
        <v>0.91134460679691343</v>
      </c>
      <c r="O1489">
        <v>0.92469069392146319</v>
      </c>
      <c r="P1489">
        <v>0.96385002797985453</v>
      </c>
      <c r="Q1489">
        <v>0.94468321086926388</v>
      </c>
      <c r="R1489">
        <v>0.93578749215645263</v>
      </c>
    </row>
    <row r="1490" spans="4:19" x14ac:dyDescent="0.25">
      <c r="D1490" t="s">
        <v>61</v>
      </c>
      <c r="E1490">
        <v>2015</v>
      </c>
      <c r="F1490" t="s">
        <v>22</v>
      </c>
      <c r="G1490">
        <v>0.86513477684489615</v>
      </c>
      <c r="H1490">
        <v>0.93476825564505484</v>
      </c>
      <c r="I1490">
        <v>0.92034786046051986</v>
      </c>
      <c r="J1490">
        <v>0.8718833481745325</v>
      </c>
      <c r="K1490">
        <v>0.78931860036832413</v>
      </c>
      <c r="L1490">
        <v>0.91297012999900762</v>
      </c>
      <c r="M1490">
        <v>0.89318813716404077</v>
      </c>
    </row>
    <row r="1491" spans="4:19" x14ac:dyDescent="0.25">
      <c r="D1491" t="s">
        <v>61</v>
      </c>
      <c r="E1491">
        <v>2013</v>
      </c>
      <c r="F1491" t="s">
        <v>23</v>
      </c>
      <c r="S1491">
        <v>149721</v>
      </c>
    </row>
    <row r="1492" spans="4:19" x14ac:dyDescent="0.25">
      <c r="D1492" t="s">
        <v>61</v>
      </c>
      <c r="E1492">
        <v>2014</v>
      </c>
      <c r="F1492" t="s">
        <v>23</v>
      </c>
      <c r="S1492">
        <v>169077</v>
      </c>
    </row>
    <row r="1493" spans="4:19" x14ac:dyDescent="0.25">
      <c r="D1493" t="s">
        <v>61</v>
      </c>
      <c r="E1493">
        <v>2015</v>
      </c>
      <c r="F1493" t="s">
        <v>23</v>
      </c>
      <c r="S1493">
        <v>156889</v>
      </c>
    </row>
    <row r="1494" spans="4:19" x14ac:dyDescent="0.25">
      <c r="D1494" t="s">
        <v>61</v>
      </c>
      <c r="E1494">
        <v>2013</v>
      </c>
      <c r="F1494" t="s">
        <v>24</v>
      </c>
      <c r="G1494">
        <v>24006</v>
      </c>
      <c r="H1494">
        <v>23350</v>
      </c>
      <c r="I1494">
        <v>23063</v>
      </c>
      <c r="J1494">
        <v>18877</v>
      </c>
      <c r="K1494">
        <v>18413</v>
      </c>
      <c r="L1494">
        <v>20002</v>
      </c>
      <c r="M1494">
        <v>22010</v>
      </c>
      <c r="N1494">
        <v>19920</v>
      </c>
      <c r="O1494">
        <v>25362</v>
      </c>
      <c r="P1494">
        <v>24612</v>
      </c>
      <c r="Q1494">
        <v>22210</v>
      </c>
      <c r="R1494">
        <v>22450</v>
      </c>
    </row>
    <row r="1495" spans="4:19" x14ac:dyDescent="0.25">
      <c r="D1495" t="s">
        <v>61</v>
      </c>
      <c r="E1495">
        <v>2014</v>
      </c>
      <c r="F1495" t="s">
        <v>24</v>
      </c>
      <c r="G1495">
        <v>25561</v>
      </c>
      <c r="H1495">
        <v>27388</v>
      </c>
      <c r="I1495">
        <v>24957</v>
      </c>
      <c r="J1495">
        <v>24534</v>
      </c>
      <c r="K1495">
        <v>24659</v>
      </c>
      <c r="L1495">
        <v>20983</v>
      </c>
      <c r="M1495">
        <v>20995</v>
      </c>
      <c r="N1495">
        <v>19496</v>
      </c>
      <c r="O1495">
        <v>25931</v>
      </c>
      <c r="P1495">
        <v>24657</v>
      </c>
      <c r="Q1495">
        <v>20047</v>
      </c>
      <c r="R1495">
        <v>20350</v>
      </c>
    </row>
    <row r="1496" spans="4:19" x14ac:dyDescent="0.25">
      <c r="D1496" t="s">
        <v>61</v>
      </c>
      <c r="E1496">
        <v>2015</v>
      </c>
      <c r="F1496" t="s">
        <v>24</v>
      </c>
      <c r="G1496">
        <v>24044</v>
      </c>
      <c r="H1496">
        <v>25415</v>
      </c>
      <c r="I1496">
        <v>24327</v>
      </c>
      <c r="J1496">
        <v>21639</v>
      </c>
      <c r="K1496">
        <v>20263</v>
      </c>
      <c r="L1496">
        <v>20629</v>
      </c>
      <c r="M1496">
        <v>20572</v>
      </c>
    </row>
    <row r="1497" spans="4:19" x14ac:dyDescent="0.25">
      <c r="D1497" t="s">
        <v>61</v>
      </c>
      <c r="E1497">
        <v>2013</v>
      </c>
      <c r="F1497" t="s">
        <v>25</v>
      </c>
      <c r="S1497">
        <v>391072</v>
      </c>
    </row>
    <row r="1498" spans="4:19" x14ac:dyDescent="0.25">
      <c r="D1498" t="s">
        <v>61</v>
      </c>
      <c r="E1498">
        <v>2014</v>
      </c>
      <c r="F1498" t="s">
        <v>25</v>
      </c>
      <c r="S1498">
        <v>414606</v>
      </c>
    </row>
    <row r="1499" spans="4:19" x14ac:dyDescent="0.25">
      <c r="D1499" t="s">
        <v>61</v>
      </c>
      <c r="E1499">
        <v>2015</v>
      </c>
      <c r="F1499" t="s">
        <v>25</v>
      </c>
      <c r="S1499">
        <v>444851</v>
      </c>
    </row>
    <row r="1500" spans="4:19" x14ac:dyDescent="0.25">
      <c r="D1500" t="s">
        <v>61</v>
      </c>
      <c r="E1500">
        <v>2013</v>
      </c>
      <c r="F1500" t="s">
        <v>26</v>
      </c>
      <c r="G1500">
        <v>68086</v>
      </c>
      <c r="H1500">
        <v>56623</v>
      </c>
      <c r="I1500">
        <v>59632</v>
      </c>
      <c r="J1500">
        <v>49856</v>
      </c>
      <c r="K1500">
        <v>43999</v>
      </c>
      <c r="L1500">
        <v>55649</v>
      </c>
      <c r="M1500">
        <v>57227</v>
      </c>
      <c r="N1500">
        <v>50156</v>
      </c>
      <c r="O1500">
        <v>70680</v>
      </c>
      <c r="P1500">
        <v>79703</v>
      </c>
      <c r="Q1500">
        <v>64358</v>
      </c>
      <c r="R1500">
        <v>74285</v>
      </c>
    </row>
    <row r="1501" spans="4:19" x14ac:dyDescent="0.25">
      <c r="D1501" t="s">
        <v>61</v>
      </c>
      <c r="E1501">
        <v>2014</v>
      </c>
      <c r="F1501" t="s">
        <v>26</v>
      </c>
      <c r="G1501">
        <v>73232</v>
      </c>
      <c r="H1501">
        <v>63723</v>
      </c>
      <c r="I1501">
        <v>59964</v>
      </c>
      <c r="J1501">
        <v>57060</v>
      </c>
      <c r="K1501">
        <v>48605</v>
      </c>
      <c r="L1501">
        <v>54686</v>
      </c>
      <c r="M1501">
        <v>57336</v>
      </c>
      <c r="N1501">
        <v>52430</v>
      </c>
      <c r="O1501">
        <v>70815</v>
      </c>
      <c r="P1501">
        <v>73841</v>
      </c>
      <c r="Q1501">
        <v>68531</v>
      </c>
      <c r="R1501">
        <v>76801</v>
      </c>
    </row>
    <row r="1502" spans="4:19" x14ac:dyDescent="0.25">
      <c r="D1502" t="s">
        <v>61</v>
      </c>
      <c r="E1502">
        <v>2015</v>
      </c>
      <c r="F1502" t="s">
        <v>26</v>
      </c>
      <c r="G1502">
        <v>72466</v>
      </c>
      <c r="H1502">
        <v>64244</v>
      </c>
      <c r="I1502">
        <v>63997</v>
      </c>
      <c r="J1502">
        <v>56839</v>
      </c>
      <c r="K1502">
        <v>49210</v>
      </c>
      <c r="L1502">
        <v>72019</v>
      </c>
      <c r="M1502">
        <v>66076</v>
      </c>
    </row>
    <row r="1503" spans="4:19" x14ac:dyDescent="0.25">
      <c r="D1503" t="s">
        <v>61</v>
      </c>
      <c r="E1503">
        <v>2013</v>
      </c>
      <c r="F1503" t="s">
        <v>27</v>
      </c>
      <c r="S1503">
        <v>632773</v>
      </c>
    </row>
    <row r="1504" spans="4:19" x14ac:dyDescent="0.25">
      <c r="D1504" t="s">
        <v>61</v>
      </c>
      <c r="E1504">
        <v>2014</v>
      </c>
      <c r="F1504" t="s">
        <v>27</v>
      </c>
      <c r="S1504">
        <v>673070</v>
      </c>
    </row>
    <row r="1505" spans="4:19" x14ac:dyDescent="0.25">
      <c r="D1505" t="s">
        <v>61</v>
      </c>
      <c r="E1505">
        <v>2015</v>
      </c>
      <c r="F1505" t="s">
        <v>27</v>
      </c>
      <c r="S1505">
        <v>707293</v>
      </c>
    </row>
    <row r="1506" spans="4:19" x14ac:dyDescent="0.25">
      <c r="D1506" t="s">
        <v>61</v>
      </c>
      <c r="E1506">
        <v>2013</v>
      </c>
      <c r="F1506" t="s">
        <v>28</v>
      </c>
      <c r="G1506">
        <v>108771</v>
      </c>
      <c r="H1506">
        <v>93994</v>
      </c>
      <c r="I1506">
        <v>98737</v>
      </c>
      <c r="J1506">
        <v>79933</v>
      </c>
      <c r="K1506">
        <v>72496</v>
      </c>
      <c r="L1506">
        <v>88159</v>
      </c>
      <c r="M1506">
        <v>90683</v>
      </c>
      <c r="N1506">
        <v>83138</v>
      </c>
      <c r="O1506">
        <v>112803</v>
      </c>
      <c r="P1506">
        <v>138647</v>
      </c>
      <c r="Q1506">
        <v>103974</v>
      </c>
      <c r="R1506">
        <v>116799</v>
      </c>
    </row>
    <row r="1507" spans="4:19" x14ac:dyDescent="0.25">
      <c r="D1507" t="s">
        <v>61</v>
      </c>
      <c r="E1507">
        <v>2014</v>
      </c>
      <c r="F1507" t="s">
        <v>28</v>
      </c>
      <c r="G1507">
        <v>118106</v>
      </c>
      <c r="H1507">
        <v>103966</v>
      </c>
      <c r="I1507">
        <v>98004</v>
      </c>
      <c r="J1507">
        <v>93924</v>
      </c>
      <c r="K1507">
        <v>79375</v>
      </c>
      <c r="L1507">
        <v>86803</v>
      </c>
      <c r="M1507">
        <v>92892</v>
      </c>
      <c r="N1507">
        <v>84130</v>
      </c>
      <c r="O1507">
        <v>114996</v>
      </c>
      <c r="P1507">
        <v>121837</v>
      </c>
      <c r="Q1507">
        <v>106389</v>
      </c>
      <c r="R1507">
        <v>122890</v>
      </c>
    </row>
    <row r="1508" spans="4:19" x14ac:dyDescent="0.25">
      <c r="D1508" t="s">
        <v>61</v>
      </c>
      <c r="E1508">
        <v>2015</v>
      </c>
      <c r="F1508" t="s">
        <v>28</v>
      </c>
      <c r="G1508">
        <v>115183</v>
      </c>
      <c r="H1508">
        <v>102531</v>
      </c>
      <c r="I1508">
        <v>104287</v>
      </c>
      <c r="J1508">
        <v>91812</v>
      </c>
      <c r="K1508">
        <v>77978</v>
      </c>
      <c r="L1508">
        <v>110106</v>
      </c>
      <c r="M1508">
        <v>105396</v>
      </c>
    </row>
    <row r="1509" spans="4:19" x14ac:dyDescent="0.25">
      <c r="D1509" t="s">
        <v>61</v>
      </c>
      <c r="E1509">
        <v>2013</v>
      </c>
      <c r="F1509" t="s">
        <v>29</v>
      </c>
      <c r="S1509">
        <v>96658</v>
      </c>
    </row>
    <row r="1510" spans="4:19" x14ac:dyDescent="0.25">
      <c r="D1510" t="s">
        <v>61</v>
      </c>
      <c r="E1510">
        <v>2014</v>
      </c>
      <c r="F1510" t="s">
        <v>29</v>
      </c>
      <c r="S1510">
        <v>88353</v>
      </c>
    </row>
    <row r="1511" spans="4:19" x14ac:dyDescent="0.25">
      <c r="D1511" t="s">
        <v>61</v>
      </c>
      <c r="E1511">
        <v>2015</v>
      </c>
      <c r="F1511" t="s">
        <v>29</v>
      </c>
      <c r="S1511">
        <v>19351</v>
      </c>
    </row>
    <row r="1512" spans="4:19" x14ac:dyDescent="0.25">
      <c r="D1512" t="s">
        <v>61</v>
      </c>
      <c r="E1512">
        <v>2013</v>
      </c>
      <c r="F1512" t="s">
        <v>30</v>
      </c>
      <c r="G1512">
        <v>16461</v>
      </c>
      <c r="H1512">
        <v>14805</v>
      </c>
      <c r="I1512">
        <v>15075</v>
      </c>
      <c r="J1512">
        <v>13935</v>
      </c>
      <c r="K1512">
        <v>13693</v>
      </c>
      <c r="L1512">
        <v>10736</v>
      </c>
      <c r="M1512">
        <v>11953</v>
      </c>
      <c r="N1512">
        <v>11975</v>
      </c>
      <c r="O1512">
        <v>14975</v>
      </c>
      <c r="P1512">
        <v>15054</v>
      </c>
      <c r="Q1512">
        <v>13258</v>
      </c>
      <c r="R1512">
        <v>13912</v>
      </c>
    </row>
    <row r="1513" spans="4:19" x14ac:dyDescent="0.25">
      <c r="D1513" t="s">
        <v>61</v>
      </c>
      <c r="E1513">
        <v>2014</v>
      </c>
      <c r="F1513" t="s">
        <v>30</v>
      </c>
      <c r="G1513">
        <v>15198</v>
      </c>
      <c r="H1513">
        <v>13912</v>
      </c>
      <c r="I1513">
        <v>12322</v>
      </c>
      <c r="J1513">
        <v>12991</v>
      </c>
      <c r="K1513">
        <v>12078</v>
      </c>
      <c r="L1513">
        <v>10765</v>
      </c>
      <c r="M1513">
        <v>11087</v>
      </c>
      <c r="N1513">
        <v>10418</v>
      </c>
      <c r="O1513">
        <v>14449</v>
      </c>
      <c r="P1513">
        <v>15418</v>
      </c>
      <c r="Q1513">
        <v>14158</v>
      </c>
      <c r="R1513">
        <v>14074</v>
      </c>
    </row>
    <row r="1514" spans="4:19" x14ac:dyDescent="0.25">
      <c r="D1514" t="s">
        <v>61</v>
      </c>
      <c r="E1514">
        <v>2015</v>
      </c>
      <c r="F1514" t="s">
        <v>30</v>
      </c>
      <c r="G1514">
        <v>3182</v>
      </c>
      <c r="H1514">
        <v>2704</v>
      </c>
      <c r="I1514">
        <v>3369</v>
      </c>
      <c r="J1514">
        <v>2567</v>
      </c>
      <c r="K1514">
        <v>2035</v>
      </c>
      <c r="L1514">
        <v>3189</v>
      </c>
      <c r="M1514">
        <v>2305</v>
      </c>
    </row>
    <row r="1515" spans="4:19" x14ac:dyDescent="0.25">
      <c r="D1515" t="s">
        <v>61</v>
      </c>
      <c r="E1515">
        <v>2013</v>
      </c>
      <c r="F1515" t="s">
        <v>31</v>
      </c>
      <c r="S1515">
        <v>0.84763660408359554</v>
      </c>
    </row>
    <row r="1516" spans="4:19" x14ac:dyDescent="0.25">
      <c r="D1516" t="s">
        <v>61</v>
      </c>
      <c r="E1516">
        <v>2014</v>
      </c>
      <c r="F1516" t="s">
        <v>31</v>
      </c>
      <c r="S1516">
        <v>0.92020795258964849</v>
      </c>
    </row>
    <row r="1517" spans="4:19" x14ac:dyDescent="0.25">
      <c r="D1517" t="s">
        <v>61</v>
      </c>
      <c r="E1517">
        <v>2015</v>
      </c>
      <c r="F1517" t="s">
        <v>31</v>
      </c>
      <c r="S1517">
        <v>0.88601495324720025</v>
      </c>
    </row>
    <row r="1518" spans="4:19" x14ac:dyDescent="0.25">
      <c r="D1518" t="s">
        <v>61</v>
      </c>
      <c r="E1518">
        <v>2013</v>
      </c>
      <c r="F1518" t="s">
        <v>32</v>
      </c>
      <c r="G1518">
        <v>0.82525202032825129</v>
      </c>
      <c r="H1518">
        <v>0.86419700214132766</v>
      </c>
      <c r="I1518">
        <v>0.80856783592767634</v>
      </c>
      <c r="J1518">
        <v>0.8756158287863538</v>
      </c>
      <c r="K1518">
        <v>0.87269863683267257</v>
      </c>
      <c r="L1518">
        <v>0.79922007799220074</v>
      </c>
      <c r="M1518">
        <v>0.89445706497046795</v>
      </c>
      <c r="N1518">
        <v>0.94718875502008038</v>
      </c>
      <c r="O1518">
        <v>0.90004731488052991</v>
      </c>
      <c r="P1518">
        <v>0.98216317243620999</v>
      </c>
      <c r="Q1518">
        <v>0.96690679873930663</v>
      </c>
      <c r="R1518">
        <v>0.97309576837416478</v>
      </c>
    </row>
    <row r="1519" spans="4:19" x14ac:dyDescent="0.25">
      <c r="D1519" t="s">
        <v>61</v>
      </c>
      <c r="E1519">
        <v>2014</v>
      </c>
      <c r="F1519" t="s">
        <v>32</v>
      </c>
      <c r="G1519">
        <v>0.95524431751496419</v>
      </c>
      <c r="H1519">
        <v>0.95969037534686719</v>
      </c>
      <c r="I1519">
        <v>0.91990223183876263</v>
      </c>
      <c r="J1519">
        <v>0.92047770441020627</v>
      </c>
      <c r="K1519">
        <v>0.89229084715519691</v>
      </c>
      <c r="L1519">
        <v>0.87132440547109569</v>
      </c>
      <c r="M1519">
        <v>0.90773993808049536</v>
      </c>
      <c r="N1519">
        <v>0.91741895773491999</v>
      </c>
      <c r="O1519">
        <v>0.92348925995912223</v>
      </c>
      <c r="P1519">
        <v>0.90891024861094216</v>
      </c>
      <c r="Q1519">
        <v>0.90452436773582079</v>
      </c>
      <c r="R1519">
        <v>0.92452088452088454</v>
      </c>
    </row>
    <row r="1520" spans="4:19" x14ac:dyDescent="0.25">
      <c r="D1520" t="s">
        <v>61</v>
      </c>
      <c r="E1520">
        <v>2015</v>
      </c>
      <c r="F1520" t="s">
        <v>32</v>
      </c>
      <c r="G1520">
        <v>0.8846281816669439</v>
      </c>
      <c r="H1520">
        <v>0.87176864056659453</v>
      </c>
      <c r="I1520">
        <v>0.87117194886340277</v>
      </c>
      <c r="J1520">
        <v>0.90849854429502286</v>
      </c>
      <c r="K1520">
        <v>0.84711049696491136</v>
      </c>
      <c r="L1520">
        <v>0.92500848320325757</v>
      </c>
      <c r="M1520">
        <v>0.89835699008360881</v>
      </c>
    </row>
    <row r="1521" spans="4:19" x14ac:dyDescent="0.25">
      <c r="D1521" t="s">
        <v>61</v>
      </c>
      <c r="E1521">
        <v>2013</v>
      </c>
      <c r="F1521" t="s">
        <v>33</v>
      </c>
      <c r="S1521">
        <v>0.86893459360461445</v>
      </c>
    </row>
    <row r="1522" spans="4:19" x14ac:dyDescent="0.25">
      <c r="D1522" t="s">
        <v>61</v>
      </c>
      <c r="E1522">
        <v>2014</v>
      </c>
      <c r="F1522" t="s">
        <v>33</v>
      </c>
      <c r="S1522">
        <v>0.92456662510557852</v>
      </c>
    </row>
    <row r="1523" spans="4:19" x14ac:dyDescent="0.25">
      <c r="D1523" t="s">
        <v>61</v>
      </c>
      <c r="E1523">
        <v>2015</v>
      </c>
      <c r="F1523" t="s">
        <v>33</v>
      </c>
      <c r="S1523">
        <v>0.88425051465438576</v>
      </c>
    </row>
    <row r="1524" spans="4:19" x14ac:dyDescent="0.25">
      <c r="D1524" t="s">
        <v>61</v>
      </c>
      <c r="E1524">
        <v>2013</v>
      </c>
      <c r="F1524" t="s">
        <v>34</v>
      </c>
      <c r="G1524">
        <v>0.82772680937818555</v>
      </c>
      <c r="H1524">
        <v>0.89745879120879124</v>
      </c>
      <c r="I1524">
        <v>0.82903334456045807</v>
      </c>
      <c r="J1524">
        <v>0.92059404240707354</v>
      </c>
      <c r="K1524">
        <v>0.92069583013558454</v>
      </c>
      <c r="L1524">
        <v>0.84267376330619914</v>
      </c>
      <c r="M1524">
        <v>0.86533847160619504</v>
      </c>
      <c r="N1524">
        <v>0.91721750078690589</v>
      </c>
      <c r="O1524">
        <v>0.85184968733563204</v>
      </c>
      <c r="P1524">
        <v>0.97217997465145756</v>
      </c>
      <c r="Q1524">
        <v>0.94671210034075259</v>
      </c>
      <c r="R1524">
        <v>0.95836492727648726</v>
      </c>
    </row>
    <row r="1525" spans="4:19" x14ac:dyDescent="0.25">
      <c r="D1525" t="s">
        <v>61</v>
      </c>
      <c r="E1525">
        <v>2014</v>
      </c>
      <c r="F1525" t="s">
        <v>34</v>
      </c>
      <c r="G1525">
        <v>0.93318537554024061</v>
      </c>
      <c r="H1525">
        <v>0.93943716056832516</v>
      </c>
      <c r="I1525">
        <v>0.88350136954367975</v>
      </c>
      <c r="J1525">
        <v>0.87854442344045369</v>
      </c>
      <c r="K1525">
        <v>0.92692566431214263</v>
      </c>
      <c r="L1525">
        <v>0.97801875732708088</v>
      </c>
      <c r="M1525">
        <v>0.96380723855228956</v>
      </c>
      <c r="N1525">
        <v>0.9746295464750786</v>
      </c>
      <c r="O1525">
        <v>0.93610251878037998</v>
      </c>
      <c r="P1525">
        <v>0.92200533867200529</v>
      </c>
      <c r="Q1525">
        <v>0.90174628663187473</v>
      </c>
      <c r="R1525">
        <v>0.94559437903532095</v>
      </c>
    </row>
    <row r="1526" spans="4:19" x14ac:dyDescent="0.25">
      <c r="D1526" t="s">
        <v>61</v>
      </c>
      <c r="E1526">
        <v>2015</v>
      </c>
      <c r="F1526" t="s">
        <v>34</v>
      </c>
      <c r="G1526">
        <v>0.87392169873921699</v>
      </c>
      <c r="H1526">
        <v>0.85578898535356884</v>
      </c>
      <c r="I1526">
        <v>0.87425624752082509</v>
      </c>
      <c r="J1526">
        <v>0.92617096458912862</v>
      </c>
      <c r="K1526">
        <v>0.81331551642823452</v>
      </c>
      <c r="L1526">
        <v>0.9481570512820513</v>
      </c>
      <c r="M1526">
        <v>0.90666555155975581</v>
      </c>
    </row>
    <row r="1527" spans="4:19" x14ac:dyDescent="0.25">
      <c r="D1527" t="s">
        <v>62</v>
      </c>
      <c r="E1527">
        <v>2013</v>
      </c>
      <c r="F1527" t="s">
        <v>17</v>
      </c>
      <c r="S1527">
        <v>0.82341046955740282</v>
      </c>
    </row>
    <row r="1528" spans="4:19" x14ac:dyDescent="0.25">
      <c r="D1528" t="s">
        <v>62</v>
      </c>
      <c r="E1528">
        <v>2014</v>
      </c>
      <c r="F1528" t="s">
        <v>17</v>
      </c>
      <c r="S1528">
        <v>0.81702258980372788</v>
      </c>
    </row>
    <row r="1529" spans="4:19" x14ac:dyDescent="0.25">
      <c r="D1529" t="s">
        <v>62</v>
      </c>
      <c r="E1529">
        <v>2015</v>
      </c>
      <c r="F1529" t="s">
        <v>17</v>
      </c>
      <c r="S1529">
        <v>0.84678688524590162</v>
      </c>
    </row>
    <row r="1530" spans="4:19" x14ac:dyDescent="0.25">
      <c r="D1530" t="s">
        <v>62</v>
      </c>
      <c r="E1530">
        <v>2013</v>
      </c>
      <c r="F1530" t="s">
        <v>18</v>
      </c>
      <c r="G1530">
        <v>0.8171359370269452</v>
      </c>
      <c r="H1530">
        <v>0.8139707092315287</v>
      </c>
      <c r="I1530">
        <v>0.76901531728665207</v>
      </c>
      <c r="J1530">
        <v>0.85512336465010097</v>
      </c>
      <c r="K1530">
        <v>0.82243620606644197</v>
      </c>
      <c r="L1530">
        <v>0.86205316223648032</v>
      </c>
      <c r="M1530">
        <v>0.8277741238372639</v>
      </c>
      <c r="N1530">
        <v>0.82381480454671474</v>
      </c>
      <c r="O1530">
        <v>0.85120835120835125</v>
      </c>
      <c r="P1530">
        <v>0.84488067744418782</v>
      </c>
      <c r="Q1530">
        <v>0.77766935024802797</v>
      </c>
      <c r="R1530">
        <v>0.81156027730260194</v>
      </c>
    </row>
    <row r="1531" spans="4:19" x14ac:dyDescent="0.25">
      <c r="D1531" t="s">
        <v>62</v>
      </c>
      <c r="E1531">
        <v>2014</v>
      </c>
      <c r="F1531" t="s">
        <v>18</v>
      </c>
      <c r="G1531">
        <v>0.76350256548744266</v>
      </c>
      <c r="H1531">
        <v>0.81600604001510002</v>
      </c>
      <c r="I1531">
        <v>0.78948321115033038</v>
      </c>
      <c r="J1531">
        <v>0.83624366299187258</v>
      </c>
      <c r="K1531">
        <v>0.85156778705165803</v>
      </c>
      <c r="L1531">
        <v>0.85061799922750092</v>
      </c>
      <c r="M1531">
        <v>0.83822525597269626</v>
      </c>
      <c r="N1531">
        <v>0.72765446910617881</v>
      </c>
      <c r="O1531">
        <v>0.77816782555863095</v>
      </c>
      <c r="P1531">
        <v>0.82841124447252057</v>
      </c>
      <c r="Q1531">
        <v>0.80067226890756305</v>
      </c>
      <c r="R1531">
        <v>0.7775515398320183</v>
      </c>
    </row>
    <row r="1532" spans="4:19" x14ac:dyDescent="0.25">
      <c r="D1532" t="s">
        <v>62</v>
      </c>
      <c r="E1532">
        <v>2015</v>
      </c>
      <c r="F1532" t="s">
        <v>18</v>
      </c>
      <c r="G1532">
        <v>0.78805948703211437</v>
      </c>
      <c r="H1532">
        <v>0.77755086010525487</v>
      </c>
      <c r="I1532">
        <v>0.82166554834861705</v>
      </c>
      <c r="J1532">
        <v>0.91066481994459836</v>
      </c>
      <c r="K1532">
        <v>0.95447479458139017</v>
      </c>
      <c r="L1532">
        <v>0.95784427178045961</v>
      </c>
      <c r="M1532">
        <v>0.95747450640052068</v>
      </c>
    </row>
    <row r="1533" spans="4:19" x14ac:dyDescent="0.25">
      <c r="D1533" t="s">
        <v>62</v>
      </c>
      <c r="E1533">
        <v>2013</v>
      </c>
      <c r="F1533" t="s">
        <v>19</v>
      </c>
      <c r="S1533">
        <v>0.8848547430456738</v>
      </c>
    </row>
    <row r="1534" spans="4:19" x14ac:dyDescent="0.25">
      <c r="D1534" t="s">
        <v>62</v>
      </c>
      <c r="E1534">
        <v>2014</v>
      </c>
      <c r="F1534" t="s">
        <v>19</v>
      </c>
      <c r="S1534">
        <v>0.91929508291442774</v>
      </c>
    </row>
    <row r="1535" spans="4:19" x14ac:dyDescent="0.25">
      <c r="D1535" t="s">
        <v>62</v>
      </c>
      <c r="E1535">
        <v>2015</v>
      </c>
      <c r="F1535" t="s">
        <v>19</v>
      </c>
      <c r="S1535">
        <v>0.87331131958675257</v>
      </c>
    </row>
    <row r="1536" spans="4:19" x14ac:dyDescent="0.25">
      <c r="D1536" t="s">
        <v>62</v>
      </c>
      <c r="E1536">
        <v>2013</v>
      </c>
      <c r="F1536" t="s">
        <v>20</v>
      </c>
      <c r="G1536">
        <v>0.83476764199655762</v>
      </c>
      <c r="H1536">
        <v>0.86586958365131861</v>
      </c>
      <c r="I1536">
        <v>0.83852700940352809</v>
      </c>
      <c r="J1536">
        <v>0.86760790023179635</v>
      </c>
      <c r="K1536">
        <v>0.89774098265174518</v>
      </c>
      <c r="L1536">
        <v>0.95579287445032757</v>
      </c>
      <c r="M1536">
        <v>0.94846634555123821</v>
      </c>
      <c r="N1536">
        <v>0.95681874128169364</v>
      </c>
      <c r="O1536">
        <v>0.93419759052205353</v>
      </c>
      <c r="P1536">
        <v>0.96731628376602719</v>
      </c>
      <c r="Q1536">
        <v>0.95295522588892256</v>
      </c>
      <c r="R1536">
        <v>0.97497421329410372</v>
      </c>
    </row>
    <row r="1537" spans="4:19" x14ac:dyDescent="0.25">
      <c r="D1537" t="s">
        <v>62</v>
      </c>
      <c r="E1537">
        <v>2014</v>
      </c>
      <c r="F1537" t="s">
        <v>20</v>
      </c>
      <c r="G1537">
        <v>0.92952853598014884</v>
      </c>
      <c r="H1537">
        <v>0.95496769583469798</v>
      </c>
      <c r="I1537">
        <v>0.91580734292886423</v>
      </c>
      <c r="J1537">
        <v>0.89728421618714704</v>
      </c>
      <c r="K1537">
        <v>0.80007677052012027</v>
      </c>
      <c r="L1537">
        <v>0.95838026005938359</v>
      </c>
      <c r="M1537">
        <v>0.97433986018619756</v>
      </c>
      <c r="N1537">
        <v>0.96135629314143045</v>
      </c>
      <c r="O1537">
        <v>0.90972620676464966</v>
      </c>
      <c r="P1537">
        <v>0.91970552987502141</v>
      </c>
      <c r="Q1537">
        <v>0.83915325038279143</v>
      </c>
      <c r="R1537">
        <v>0.91525832284329223</v>
      </c>
    </row>
    <row r="1538" spans="4:19" x14ac:dyDescent="0.25">
      <c r="D1538" t="s">
        <v>62</v>
      </c>
      <c r="E1538">
        <v>2015</v>
      </c>
      <c r="F1538" t="s">
        <v>20</v>
      </c>
      <c r="G1538">
        <v>0.88284268179373071</v>
      </c>
      <c r="H1538">
        <v>0.81701720841300196</v>
      </c>
      <c r="I1538">
        <v>0.83956423014405712</v>
      </c>
      <c r="J1538">
        <v>0.82523087398748807</v>
      </c>
      <c r="K1538">
        <v>0.86297740819780699</v>
      </c>
      <c r="L1538">
        <v>0.93181818181818177</v>
      </c>
      <c r="M1538">
        <v>0.94518745889059419</v>
      </c>
    </row>
    <row r="1539" spans="4:19" x14ac:dyDescent="0.25">
      <c r="D1539" t="s">
        <v>62</v>
      </c>
      <c r="E1539">
        <v>2013</v>
      </c>
      <c r="F1539" t="s">
        <v>21</v>
      </c>
      <c r="S1539">
        <v>0.9548602026755969</v>
      </c>
    </row>
    <row r="1540" spans="4:19" x14ac:dyDescent="0.25">
      <c r="D1540" t="s">
        <v>62</v>
      </c>
      <c r="E1540">
        <v>2014</v>
      </c>
      <c r="F1540" t="s">
        <v>21</v>
      </c>
      <c r="S1540">
        <v>0.98687247751894069</v>
      </c>
    </row>
    <row r="1541" spans="4:19" x14ac:dyDescent="0.25">
      <c r="D1541" t="s">
        <v>62</v>
      </c>
      <c r="E1541">
        <v>2015</v>
      </c>
      <c r="F1541" t="s">
        <v>21</v>
      </c>
      <c r="S1541">
        <v>0.89952349760464434</v>
      </c>
    </row>
    <row r="1542" spans="4:19" x14ac:dyDescent="0.25">
      <c r="D1542" t="s">
        <v>62</v>
      </c>
      <c r="E1542">
        <v>2013</v>
      </c>
      <c r="F1542" t="s">
        <v>22</v>
      </c>
      <c r="G1542">
        <v>0.94546794399410461</v>
      </c>
      <c r="H1542">
        <v>0.94531558835156149</v>
      </c>
      <c r="I1542">
        <v>0.94753802526424336</v>
      </c>
      <c r="J1542">
        <v>0.9536287732819525</v>
      </c>
      <c r="K1542">
        <v>0.94500364697301242</v>
      </c>
      <c r="L1542">
        <v>0.96082320852963055</v>
      </c>
      <c r="M1542">
        <v>0.98016562723647893</v>
      </c>
      <c r="N1542">
        <v>0.95703662902781605</v>
      </c>
      <c r="O1542">
        <v>0.97444343480236251</v>
      </c>
      <c r="P1542">
        <v>0.96095717884130982</v>
      </c>
      <c r="Q1542">
        <v>0.98550724637681164</v>
      </c>
      <c r="R1542">
        <v>0.96925858951175403</v>
      </c>
    </row>
    <row r="1543" spans="4:19" x14ac:dyDescent="0.25">
      <c r="D1543" t="s">
        <v>62</v>
      </c>
      <c r="E1543">
        <v>2014</v>
      </c>
      <c r="F1543" t="s">
        <v>22</v>
      </c>
      <c r="G1543">
        <v>0.99213389121338913</v>
      </c>
      <c r="H1543">
        <v>0.98688075190914426</v>
      </c>
      <c r="I1543">
        <v>0.98619662363455807</v>
      </c>
      <c r="J1543">
        <v>0.98527791687531296</v>
      </c>
      <c r="K1543">
        <v>0.98560902601888101</v>
      </c>
      <c r="L1543">
        <v>0.9932177844762623</v>
      </c>
      <c r="M1543">
        <v>0.97840898186354475</v>
      </c>
      <c r="N1543">
        <v>0.99353448275862066</v>
      </c>
      <c r="O1543">
        <v>0.97641509433962259</v>
      </c>
      <c r="P1543">
        <v>0.96805616498464242</v>
      </c>
      <c r="Q1543">
        <v>0.96675736424937897</v>
      </c>
      <c r="R1543">
        <v>0.98003237992444681</v>
      </c>
    </row>
    <row r="1544" spans="4:19" x14ac:dyDescent="0.25">
      <c r="D1544" t="s">
        <v>62</v>
      </c>
      <c r="E1544">
        <v>2015</v>
      </c>
      <c r="F1544" t="s">
        <v>22</v>
      </c>
      <c r="G1544">
        <v>0.94193048864418449</v>
      </c>
      <c r="H1544">
        <v>0.94102266124346312</v>
      </c>
      <c r="I1544">
        <v>0.78979059944279684</v>
      </c>
      <c r="J1544">
        <v>0.76613115617592842</v>
      </c>
      <c r="K1544">
        <v>0.92872117400419285</v>
      </c>
      <c r="L1544">
        <v>0.96444821469885089</v>
      </c>
      <c r="M1544">
        <v>0.96531180935908523</v>
      </c>
    </row>
    <row r="1545" spans="4:19" x14ac:dyDescent="0.25">
      <c r="D1545" t="s">
        <v>62</v>
      </c>
      <c r="E1545">
        <v>2013</v>
      </c>
      <c r="F1545" t="s">
        <v>23</v>
      </c>
      <c r="S1545">
        <v>142140</v>
      </c>
    </row>
    <row r="1546" spans="4:19" x14ac:dyDescent="0.25">
      <c r="D1546" t="s">
        <v>62</v>
      </c>
      <c r="E1546">
        <v>2014</v>
      </c>
      <c r="F1546" t="s">
        <v>23</v>
      </c>
      <c r="S1546">
        <v>132026</v>
      </c>
    </row>
    <row r="1547" spans="4:19" x14ac:dyDescent="0.25">
      <c r="D1547" t="s">
        <v>62</v>
      </c>
      <c r="E1547">
        <v>2015</v>
      </c>
      <c r="F1547" t="s">
        <v>23</v>
      </c>
      <c r="S1547">
        <v>148539</v>
      </c>
    </row>
    <row r="1548" spans="4:19" x14ac:dyDescent="0.25">
      <c r="D1548" t="s">
        <v>62</v>
      </c>
      <c r="E1548">
        <v>2013</v>
      </c>
      <c r="F1548" t="s">
        <v>24</v>
      </c>
      <c r="G1548">
        <v>28205</v>
      </c>
      <c r="H1548">
        <v>25776</v>
      </c>
      <c r="I1548">
        <v>19957</v>
      </c>
      <c r="J1548">
        <v>18256</v>
      </c>
      <c r="K1548">
        <v>18050</v>
      </c>
      <c r="L1548">
        <v>14686</v>
      </c>
      <c r="M1548">
        <v>17210</v>
      </c>
      <c r="N1548">
        <v>16802</v>
      </c>
      <c r="O1548">
        <v>19565</v>
      </c>
      <c r="P1548">
        <v>17994</v>
      </c>
      <c r="Q1548">
        <v>17985</v>
      </c>
      <c r="R1548">
        <v>16501</v>
      </c>
    </row>
    <row r="1549" spans="4:19" x14ac:dyDescent="0.25">
      <c r="D1549" t="s">
        <v>62</v>
      </c>
      <c r="E1549">
        <v>2014</v>
      </c>
      <c r="F1549" t="s">
        <v>24</v>
      </c>
      <c r="G1549">
        <v>21749</v>
      </c>
      <c r="H1549">
        <v>22684</v>
      </c>
      <c r="I1549">
        <v>18342</v>
      </c>
      <c r="J1549">
        <v>17889</v>
      </c>
      <c r="K1549">
        <v>16923</v>
      </c>
      <c r="L1549">
        <v>15962</v>
      </c>
      <c r="M1549">
        <v>18477</v>
      </c>
      <c r="N1549">
        <v>18314</v>
      </c>
      <c r="O1549">
        <v>25261</v>
      </c>
      <c r="P1549">
        <v>21324</v>
      </c>
      <c r="Q1549">
        <v>17643</v>
      </c>
      <c r="R1549">
        <v>18435</v>
      </c>
    </row>
    <row r="1550" spans="4:19" x14ac:dyDescent="0.25">
      <c r="D1550" t="s">
        <v>62</v>
      </c>
      <c r="E1550">
        <v>2015</v>
      </c>
      <c r="F1550" t="s">
        <v>24</v>
      </c>
      <c r="G1550">
        <v>21760</v>
      </c>
      <c r="H1550">
        <v>21633</v>
      </c>
      <c r="I1550">
        <v>25436</v>
      </c>
      <c r="J1550">
        <v>22780</v>
      </c>
      <c r="K1550">
        <v>17248</v>
      </c>
      <c r="L1550">
        <v>20142</v>
      </c>
      <c r="M1550">
        <v>19540</v>
      </c>
    </row>
    <row r="1551" spans="4:19" x14ac:dyDescent="0.25">
      <c r="D1551" t="s">
        <v>62</v>
      </c>
      <c r="E1551">
        <v>2013</v>
      </c>
      <c r="F1551" t="s">
        <v>25</v>
      </c>
      <c r="S1551">
        <v>368629</v>
      </c>
    </row>
    <row r="1552" spans="4:19" x14ac:dyDescent="0.25">
      <c r="D1552" t="s">
        <v>62</v>
      </c>
      <c r="E1552">
        <v>2014</v>
      </c>
      <c r="F1552" t="s">
        <v>25</v>
      </c>
      <c r="S1552">
        <v>371608</v>
      </c>
    </row>
    <row r="1553" spans="4:19" x14ac:dyDescent="0.25">
      <c r="D1553" t="s">
        <v>62</v>
      </c>
      <c r="E1553">
        <v>2015</v>
      </c>
      <c r="F1553" t="s">
        <v>25</v>
      </c>
      <c r="S1553">
        <v>424935</v>
      </c>
    </row>
    <row r="1554" spans="4:19" x14ac:dyDescent="0.25">
      <c r="D1554" t="s">
        <v>62</v>
      </c>
      <c r="E1554">
        <v>2013</v>
      </c>
      <c r="F1554" t="s">
        <v>26</v>
      </c>
      <c r="G1554">
        <v>63567</v>
      </c>
      <c r="H1554">
        <v>54634</v>
      </c>
      <c r="I1554">
        <v>50476</v>
      </c>
      <c r="J1554">
        <v>47259</v>
      </c>
      <c r="K1554">
        <v>46256</v>
      </c>
      <c r="L1554">
        <v>53422</v>
      </c>
      <c r="M1554">
        <v>53015</v>
      </c>
      <c r="N1554">
        <v>50214</v>
      </c>
      <c r="O1554">
        <v>61693</v>
      </c>
      <c r="P1554">
        <v>64133</v>
      </c>
      <c r="Q1554">
        <v>57636</v>
      </c>
      <c r="R1554">
        <v>63985</v>
      </c>
    </row>
    <row r="1555" spans="4:19" x14ac:dyDescent="0.25">
      <c r="D1555" t="s">
        <v>62</v>
      </c>
      <c r="E1555">
        <v>2014</v>
      </c>
      <c r="F1555" t="s">
        <v>26</v>
      </c>
      <c r="G1555">
        <v>67678</v>
      </c>
      <c r="H1555">
        <v>59605</v>
      </c>
      <c r="I1555">
        <v>48920</v>
      </c>
      <c r="J1555">
        <v>49105</v>
      </c>
      <c r="K1555">
        <v>45653</v>
      </c>
      <c r="L1555">
        <v>48520</v>
      </c>
      <c r="M1555">
        <v>52127</v>
      </c>
      <c r="N1555">
        <v>49686</v>
      </c>
      <c r="O1555">
        <v>61739</v>
      </c>
      <c r="P1555">
        <v>63448</v>
      </c>
      <c r="Q1555">
        <v>60312</v>
      </c>
      <c r="R1555">
        <v>76529</v>
      </c>
    </row>
    <row r="1556" spans="4:19" x14ac:dyDescent="0.25">
      <c r="D1556" t="s">
        <v>62</v>
      </c>
      <c r="E1556">
        <v>2015</v>
      </c>
      <c r="F1556" t="s">
        <v>26</v>
      </c>
      <c r="G1556">
        <v>70319</v>
      </c>
      <c r="H1556">
        <v>60872</v>
      </c>
      <c r="I1556">
        <v>61591</v>
      </c>
      <c r="J1556">
        <v>56806</v>
      </c>
      <c r="K1556">
        <v>51389</v>
      </c>
      <c r="L1556">
        <v>63349</v>
      </c>
      <c r="M1556">
        <v>60609</v>
      </c>
    </row>
    <row r="1557" spans="4:19" x14ac:dyDescent="0.25">
      <c r="D1557" t="s">
        <v>62</v>
      </c>
      <c r="E1557">
        <v>2013</v>
      </c>
      <c r="F1557" t="s">
        <v>27</v>
      </c>
      <c r="S1557">
        <v>600528</v>
      </c>
    </row>
    <row r="1558" spans="4:19" x14ac:dyDescent="0.25">
      <c r="D1558" t="s">
        <v>62</v>
      </c>
      <c r="E1558">
        <v>2014</v>
      </c>
      <c r="F1558" t="s">
        <v>27</v>
      </c>
      <c r="S1558">
        <v>599702</v>
      </c>
    </row>
    <row r="1559" spans="4:19" x14ac:dyDescent="0.25">
      <c r="D1559" t="s">
        <v>62</v>
      </c>
      <c r="E1559">
        <v>2015</v>
      </c>
      <c r="F1559" t="s">
        <v>27</v>
      </c>
      <c r="S1559">
        <v>708579</v>
      </c>
    </row>
    <row r="1560" spans="4:19" x14ac:dyDescent="0.25">
      <c r="D1560" t="s">
        <v>62</v>
      </c>
      <c r="E1560">
        <v>2013</v>
      </c>
      <c r="F1560" t="s">
        <v>28</v>
      </c>
      <c r="G1560">
        <v>101095</v>
      </c>
      <c r="H1560">
        <v>91520</v>
      </c>
      <c r="I1560">
        <v>83330</v>
      </c>
      <c r="J1560">
        <v>75685</v>
      </c>
      <c r="K1560">
        <v>76484</v>
      </c>
      <c r="L1560">
        <v>86078</v>
      </c>
      <c r="M1560">
        <v>86336</v>
      </c>
      <c r="N1560">
        <v>78057</v>
      </c>
      <c r="O1560">
        <v>98020</v>
      </c>
      <c r="P1560">
        <v>104003</v>
      </c>
      <c r="Q1560">
        <v>90378</v>
      </c>
      <c r="R1560">
        <v>103580</v>
      </c>
    </row>
    <row r="1561" spans="4:19" x14ac:dyDescent="0.25">
      <c r="D1561" t="s">
        <v>62</v>
      </c>
      <c r="E1561">
        <v>2014</v>
      </c>
      <c r="F1561" t="s">
        <v>28</v>
      </c>
      <c r="G1561">
        <v>105507</v>
      </c>
      <c r="H1561">
        <v>97371</v>
      </c>
      <c r="I1561">
        <v>79139</v>
      </c>
      <c r="J1561">
        <v>80248</v>
      </c>
      <c r="K1561">
        <v>73485</v>
      </c>
      <c r="L1561">
        <v>78582</v>
      </c>
      <c r="M1561">
        <v>85370</v>
      </c>
      <c r="N1561">
        <v>77570</v>
      </c>
      <c r="O1561">
        <v>101151</v>
      </c>
      <c r="P1561">
        <v>104891</v>
      </c>
      <c r="Q1561">
        <v>97644</v>
      </c>
      <c r="R1561">
        <v>122685</v>
      </c>
    </row>
    <row r="1562" spans="4:19" x14ac:dyDescent="0.25">
      <c r="D1562" t="s">
        <v>62</v>
      </c>
      <c r="E1562">
        <v>2015</v>
      </c>
      <c r="F1562" t="s">
        <v>28</v>
      </c>
      <c r="G1562">
        <v>113217</v>
      </c>
      <c r="H1562">
        <v>102175</v>
      </c>
      <c r="I1562">
        <v>103641</v>
      </c>
      <c r="J1562">
        <v>92780</v>
      </c>
      <c r="K1562">
        <v>85734</v>
      </c>
      <c r="L1562">
        <v>108818</v>
      </c>
      <c r="M1562">
        <v>102214</v>
      </c>
    </row>
    <row r="1563" spans="4:19" x14ac:dyDescent="0.25">
      <c r="D1563" t="s">
        <v>62</v>
      </c>
      <c r="E1563">
        <v>2013</v>
      </c>
      <c r="F1563" t="s">
        <v>29</v>
      </c>
      <c r="S1563">
        <v>80118</v>
      </c>
    </row>
    <row r="1564" spans="4:19" x14ac:dyDescent="0.25">
      <c r="D1564" t="s">
        <v>62</v>
      </c>
      <c r="E1564">
        <v>2014</v>
      </c>
      <c r="F1564" t="s">
        <v>29</v>
      </c>
      <c r="S1564">
        <v>81010</v>
      </c>
    </row>
    <row r="1565" spans="4:19" x14ac:dyDescent="0.25">
      <c r="D1565" t="s">
        <v>62</v>
      </c>
      <c r="E1565">
        <v>2015</v>
      </c>
      <c r="F1565" t="s">
        <v>29</v>
      </c>
      <c r="S1565">
        <v>61000</v>
      </c>
    </row>
    <row r="1566" spans="4:19" x14ac:dyDescent="0.25">
      <c r="D1566" t="s">
        <v>62</v>
      </c>
      <c r="E1566">
        <v>2013</v>
      </c>
      <c r="F1566" t="s">
        <v>30</v>
      </c>
      <c r="G1566">
        <v>13212</v>
      </c>
      <c r="H1566">
        <v>12154</v>
      </c>
      <c r="I1566">
        <v>11425</v>
      </c>
      <c r="J1566">
        <v>11389</v>
      </c>
      <c r="K1566">
        <v>10385</v>
      </c>
      <c r="L1566">
        <v>10910</v>
      </c>
      <c r="M1566">
        <v>10643</v>
      </c>
      <c r="N1566">
        <v>7214</v>
      </c>
      <c r="O1566">
        <v>13986</v>
      </c>
      <c r="P1566">
        <v>12990</v>
      </c>
      <c r="Q1566">
        <v>12297</v>
      </c>
      <c r="R1566">
        <v>11107</v>
      </c>
    </row>
    <row r="1567" spans="4:19" x14ac:dyDescent="0.25">
      <c r="D1567" t="s">
        <v>62</v>
      </c>
      <c r="E1567">
        <v>2014</v>
      </c>
      <c r="F1567" t="s">
        <v>30</v>
      </c>
      <c r="G1567">
        <v>14812</v>
      </c>
      <c r="H1567">
        <v>13245</v>
      </c>
      <c r="I1567">
        <v>11049</v>
      </c>
      <c r="J1567">
        <v>12427</v>
      </c>
      <c r="K1567">
        <v>8866</v>
      </c>
      <c r="L1567">
        <v>10356</v>
      </c>
      <c r="M1567">
        <v>10255</v>
      </c>
      <c r="N1567">
        <v>8335</v>
      </c>
      <c r="O1567">
        <v>14813</v>
      </c>
      <c r="P1567">
        <v>12664</v>
      </c>
      <c r="Q1567">
        <v>11900</v>
      </c>
      <c r="R1567">
        <v>11787</v>
      </c>
    </row>
    <row r="1568" spans="4:19" x14ac:dyDescent="0.25">
      <c r="D1568" t="s">
        <v>62</v>
      </c>
      <c r="E1568">
        <v>2015</v>
      </c>
      <c r="F1568" t="s">
        <v>30</v>
      </c>
      <c r="G1568">
        <v>13919</v>
      </c>
      <c r="H1568">
        <v>12731</v>
      </c>
      <c r="I1568">
        <v>13413</v>
      </c>
      <c r="J1568">
        <v>5776</v>
      </c>
      <c r="K1568">
        <v>4503</v>
      </c>
      <c r="L1568">
        <v>6049</v>
      </c>
      <c r="M1568">
        <v>4609</v>
      </c>
    </row>
    <row r="1569" spans="4:19" x14ac:dyDescent="0.25">
      <c r="D1569" t="s">
        <v>62</v>
      </c>
      <c r="E1569">
        <v>2013</v>
      </c>
      <c r="F1569" t="s">
        <v>31</v>
      </c>
      <c r="S1569">
        <v>0.74092444069227525</v>
      </c>
    </row>
    <row r="1570" spans="4:19" x14ac:dyDescent="0.25">
      <c r="D1570" t="s">
        <v>62</v>
      </c>
      <c r="E1570">
        <v>2014</v>
      </c>
      <c r="F1570" t="s">
        <v>31</v>
      </c>
      <c r="S1570">
        <v>0.94555617832851102</v>
      </c>
    </row>
    <row r="1571" spans="4:19" x14ac:dyDescent="0.25">
      <c r="D1571" t="s">
        <v>62</v>
      </c>
      <c r="E1571">
        <v>2015</v>
      </c>
      <c r="F1571" t="s">
        <v>31</v>
      </c>
      <c r="S1571">
        <v>0.91871495028241745</v>
      </c>
    </row>
    <row r="1572" spans="4:19" x14ac:dyDescent="0.25">
      <c r="D1572" t="s">
        <v>62</v>
      </c>
      <c r="E1572">
        <v>2013</v>
      </c>
      <c r="F1572" t="s">
        <v>32</v>
      </c>
      <c r="G1572">
        <v>0.67037759262542107</v>
      </c>
      <c r="H1572">
        <v>0.65700651769087526</v>
      </c>
      <c r="I1572">
        <v>0.7226035977351305</v>
      </c>
      <c r="J1572">
        <v>0.73104732690622265</v>
      </c>
      <c r="K1572">
        <v>0.73152354570637124</v>
      </c>
      <c r="L1572">
        <v>0.82888465204957107</v>
      </c>
      <c r="M1572">
        <v>0.94875072632190582</v>
      </c>
      <c r="N1572">
        <v>0.96309963099630991</v>
      </c>
      <c r="O1572">
        <v>0.96018400204446719</v>
      </c>
      <c r="P1572">
        <v>0.96265421807269091</v>
      </c>
      <c r="Q1572">
        <v>0.95496246872393664</v>
      </c>
      <c r="R1572">
        <v>0.95703290709653965</v>
      </c>
    </row>
    <row r="1573" spans="4:19" x14ac:dyDescent="0.25">
      <c r="D1573" t="s">
        <v>62</v>
      </c>
      <c r="E1573">
        <v>2014</v>
      </c>
      <c r="F1573" t="s">
        <v>32</v>
      </c>
      <c r="G1573">
        <v>0.96252701273621777</v>
      </c>
      <c r="H1573">
        <v>0.94824545935461113</v>
      </c>
      <c r="I1573">
        <v>0.94864245992803398</v>
      </c>
      <c r="J1573">
        <v>0.96439152551847507</v>
      </c>
      <c r="K1573">
        <v>0.94935886072209419</v>
      </c>
      <c r="L1573">
        <v>0.93898007768450065</v>
      </c>
      <c r="M1573">
        <v>0.90317692266060512</v>
      </c>
      <c r="N1573">
        <v>0.89734629245386044</v>
      </c>
      <c r="O1573">
        <v>0.90214164126519136</v>
      </c>
      <c r="P1573">
        <v>0.93350215719377228</v>
      </c>
      <c r="Q1573">
        <v>0.93827580343479</v>
      </c>
      <c r="R1573">
        <v>0.93854081909411446</v>
      </c>
    </row>
    <row r="1574" spans="4:19" x14ac:dyDescent="0.25">
      <c r="D1574" t="s">
        <v>62</v>
      </c>
      <c r="E1574">
        <v>2015</v>
      </c>
      <c r="F1574" t="s">
        <v>32</v>
      </c>
      <c r="G1574">
        <v>0.92821691176470589</v>
      </c>
      <c r="H1574">
        <v>0.93491425137521378</v>
      </c>
      <c r="I1574">
        <v>0.92392671803742732</v>
      </c>
      <c r="J1574">
        <v>0.90210711150131695</v>
      </c>
      <c r="K1574">
        <v>0.89500231910946193</v>
      </c>
      <c r="L1574">
        <v>0.91276933770231361</v>
      </c>
      <c r="M1574">
        <v>0.92983623336745136</v>
      </c>
    </row>
    <row r="1575" spans="4:19" x14ac:dyDescent="0.25">
      <c r="D1575" t="s">
        <v>62</v>
      </c>
      <c r="E1575">
        <v>2013</v>
      </c>
      <c r="F1575" t="s">
        <v>33</v>
      </c>
      <c r="S1575">
        <v>0.83916048249305075</v>
      </c>
    </row>
    <row r="1576" spans="4:19" x14ac:dyDescent="0.25">
      <c r="D1576" t="s">
        <v>62</v>
      </c>
      <c r="E1576">
        <v>2014</v>
      </c>
      <c r="F1576" t="s">
        <v>33</v>
      </c>
      <c r="S1576">
        <v>0.92812272697216158</v>
      </c>
    </row>
    <row r="1577" spans="4:19" x14ac:dyDescent="0.25">
      <c r="D1577" t="s">
        <v>62</v>
      </c>
      <c r="E1577">
        <v>2015</v>
      </c>
      <c r="F1577" t="s">
        <v>33</v>
      </c>
      <c r="S1577">
        <v>0.91449232460777263</v>
      </c>
    </row>
    <row r="1578" spans="4:19" x14ac:dyDescent="0.25">
      <c r="D1578" t="s">
        <v>62</v>
      </c>
      <c r="E1578">
        <v>2013</v>
      </c>
      <c r="F1578" t="s">
        <v>34</v>
      </c>
      <c r="G1578">
        <v>0.78351511804500895</v>
      </c>
      <c r="H1578">
        <v>0.74332648870636553</v>
      </c>
      <c r="I1578">
        <v>0.84317309449826361</v>
      </c>
      <c r="J1578">
        <v>0.84170394469296461</v>
      </c>
      <c r="K1578">
        <v>0.83446184941889845</v>
      </c>
      <c r="L1578">
        <v>0.92543621978974744</v>
      </c>
      <c r="M1578">
        <v>0.94471787660397255</v>
      </c>
      <c r="N1578">
        <v>0.93826545852832821</v>
      </c>
      <c r="O1578">
        <v>0.93703524086647272</v>
      </c>
      <c r="P1578">
        <v>0.94437546560715169</v>
      </c>
      <c r="Q1578">
        <v>0.92570170610897085</v>
      </c>
      <c r="R1578">
        <v>0.9330437246198886</v>
      </c>
    </row>
    <row r="1579" spans="4:19" x14ac:dyDescent="0.25">
      <c r="D1579" t="s">
        <v>62</v>
      </c>
      <c r="E1579">
        <v>2014</v>
      </c>
      <c r="F1579" t="s">
        <v>34</v>
      </c>
      <c r="G1579">
        <v>0.94174826674290613</v>
      </c>
      <c r="H1579">
        <v>0.90540649423898156</v>
      </c>
      <c r="I1579">
        <v>0.91089670828603864</v>
      </c>
      <c r="J1579">
        <v>0.93801693101099548</v>
      </c>
      <c r="K1579">
        <v>0.91660179057999225</v>
      </c>
      <c r="L1579">
        <v>0.93766965963666737</v>
      </c>
      <c r="M1579">
        <v>0.95146886016451238</v>
      </c>
      <c r="N1579">
        <v>0.91612332854459055</v>
      </c>
      <c r="O1579">
        <v>0.87122855452573456</v>
      </c>
      <c r="P1579">
        <v>0.96499404998016658</v>
      </c>
      <c r="Q1579">
        <v>0.95939554735263588</v>
      </c>
      <c r="R1579">
        <v>0.96801514547628542</v>
      </c>
    </row>
    <row r="1580" spans="4:19" x14ac:dyDescent="0.25">
      <c r="D1580" t="s">
        <v>62</v>
      </c>
      <c r="E1580">
        <v>2015</v>
      </c>
      <c r="F1580" t="s">
        <v>34</v>
      </c>
      <c r="G1580">
        <v>0.9315533136197599</v>
      </c>
      <c r="H1580">
        <v>0.94222698455219211</v>
      </c>
      <c r="I1580">
        <v>0.91989080297467762</v>
      </c>
      <c r="J1580">
        <v>0.86495312335405039</v>
      </c>
      <c r="K1580">
        <v>0.87438688838377798</v>
      </c>
      <c r="L1580">
        <v>0.91050702504581549</v>
      </c>
      <c r="M1580">
        <v>0.94269629033879565</v>
      </c>
    </row>
    <row r="1581" spans="4:19" x14ac:dyDescent="0.25">
      <c r="D1581" t="s">
        <v>63</v>
      </c>
      <c r="E1581">
        <v>2013</v>
      </c>
      <c r="F1581" t="s">
        <v>17</v>
      </c>
      <c r="S1581">
        <v>0.85395942464210761</v>
      </c>
    </row>
    <row r="1582" spans="4:19" x14ac:dyDescent="0.25">
      <c r="D1582" t="s">
        <v>63</v>
      </c>
      <c r="E1582">
        <v>2014</v>
      </c>
      <c r="F1582" t="s">
        <v>17</v>
      </c>
      <c r="S1582">
        <v>0.90235952809438114</v>
      </c>
    </row>
    <row r="1583" spans="4:19" x14ac:dyDescent="0.25">
      <c r="D1583" t="s">
        <v>63</v>
      </c>
      <c r="E1583">
        <v>2015</v>
      </c>
      <c r="F1583" t="s">
        <v>17</v>
      </c>
      <c r="S1583">
        <v>0.64834757586327174</v>
      </c>
    </row>
    <row r="1584" spans="4:19" x14ac:dyDescent="0.25">
      <c r="D1584" t="s">
        <v>63</v>
      </c>
      <c r="E1584">
        <v>2013</v>
      </c>
      <c r="F1584" t="s">
        <v>18</v>
      </c>
      <c r="G1584">
        <v>0.85759282237281664</v>
      </c>
      <c r="H1584">
        <v>0.71215152727757769</v>
      </c>
      <c r="I1584">
        <v>0.84255996362396268</v>
      </c>
      <c r="J1584">
        <v>0.86049207780497228</v>
      </c>
      <c r="K1584">
        <v>0.85448309652131305</v>
      </c>
      <c r="L1584">
        <v>0.91514726507713884</v>
      </c>
      <c r="M1584">
        <v>0.92618749288073809</v>
      </c>
      <c r="N1584">
        <v>0.91686746987951806</v>
      </c>
      <c r="O1584">
        <v>0.88456202016464713</v>
      </c>
      <c r="P1584">
        <v>0.87080306302768506</v>
      </c>
      <c r="Q1584">
        <v>0.8538555691554468</v>
      </c>
      <c r="R1584">
        <v>0.82225871652349669</v>
      </c>
    </row>
    <row r="1585" spans="4:19" x14ac:dyDescent="0.25">
      <c r="D1585" t="s">
        <v>63</v>
      </c>
      <c r="E1585">
        <v>2014</v>
      </c>
      <c r="F1585" t="s">
        <v>18</v>
      </c>
      <c r="G1585">
        <v>0.79623634156212064</v>
      </c>
      <c r="H1585">
        <v>0.92017713182695582</v>
      </c>
      <c r="I1585">
        <v>0.95312058740468797</v>
      </c>
      <c r="J1585">
        <v>0.92869982025164766</v>
      </c>
      <c r="K1585">
        <v>0.93145840350286291</v>
      </c>
      <c r="L1585">
        <v>0.94368041912246237</v>
      </c>
      <c r="M1585">
        <v>0.88993653671804174</v>
      </c>
      <c r="N1585">
        <v>0.9527747151782433</v>
      </c>
      <c r="O1585">
        <v>0.90676959619952491</v>
      </c>
      <c r="P1585">
        <v>0.90372829417773237</v>
      </c>
      <c r="Q1585">
        <v>0.91073219658976934</v>
      </c>
      <c r="R1585">
        <v>0.89496625421822273</v>
      </c>
    </row>
    <row r="1586" spans="4:19" x14ac:dyDescent="0.25">
      <c r="D1586" t="s">
        <v>63</v>
      </c>
      <c r="E1586">
        <v>2015</v>
      </c>
      <c r="F1586" t="s">
        <v>18</v>
      </c>
      <c r="G1586">
        <v>0.79262558772581049</v>
      </c>
      <c r="H1586">
        <v>0.67579854049527455</v>
      </c>
      <c r="I1586">
        <v>0.61801367108966632</v>
      </c>
      <c r="J1586">
        <v>0.70102057888572866</v>
      </c>
      <c r="K1586">
        <v>0.54291497975708503</v>
      </c>
      <c r="L1586">
        <v>0.63439039408866993</v>
      </c>
      <c r="M1586">
        <v>0.45687952600394999</v>
      </c>
    </row>
    <row r="1587" spans="4:19" x14ac:dyDescent="0.25">
      <c r="D1587" t="s">
        <v>63</v>
      </c>
      <c r="E1587">
        <v>2013</v>
      </c>
      <c r="F1587" t="s">
        <v>19</v>
      </c>
      <c r="S1587">
        <v>0.82910446707816021</v>
      </c>
    </row>
    <row r="1588" spans="4:19" x14ac:dyDescent="0.25">
      <c r="D1588" t="s">
        <v>63</v>
      </c>
      <c r="E1588">
        <v>2014</v>
      </c>
      <c r="F1588" t="s">
        <v>19</v>
      </c>
      <c r="S1588">
        <v>0.87412449879604737</v>
      </c>
    </row>
    <row r="1589" spans="4:19" x14ac:dyDescent="0.25">
      <c r="D1589" t="s">
        <v>63</v>
      </c>
      <c r="E1589">
        <v>2015</v>
      </c>
      <c r="F1589" t="s">
        <v>19</v>
      </c>
      <c r="S1589">
        <v>0.73449245279216457</v>
      </c>
    </row>
    <row r="1590" spans="4:19" x14ac:dyDescent="0.25">
      <c r="D1590" t="s">
        <v>63</v>
      </c>
      <c r="E1590">
        <v>2013</v>
      </c>
      <c r="F1590" t="s">
        <v>20</v>
      </c>
      <c r="G1590">
        <v>0.88237785392523005</v>
      </c>
      <c r="H1590">
        <v>0.79526175927455067</v>
      </c>
      <c r="I1590">
        <v>0.76136333270983081</v>
      </c>
      <c r="J1590">
        <v>0.75471470667023843</v>
      </c>
      <c r="K1590">
        <v>0.78738754656418863</v>
      </c>
      <c r="L1590">
        <v>0.8623217858929465</v>
      </c>
      <c r="M1590">
        <v>0.96389999999999998</v>
      </c>
      <c r="N1590">
        <v>0.96202430699543851</v>
      </c>
      <c r="O1590">
        <v>0.99017166819551827</v>
      </c>
      <c r="P1590">
        <v>0.95717312171541602</v>
      </c>
      <c r="Q1590">
        <v>0.87215075446770041</v>
      </c>
      <c r="R1590">
        <v>0.8839969636325995</v>
      </c>
    </row>
    <row r="1591" spans="4:19" x14ac:dyDescent="0.25">
      <c r="D1591" t="s">
        <v>63</v>
      </c>
      <c r="E1591">
        <v>2014</v>
      </c>
      <c r="F1591" t="s">
        <v>20</v>
      </c>
      <c r="G1591">
        <v>0.88148962453392565</v>
      </c>
      <c r="H1591">
        <v>0.88149552574057743</v>
      </c>
      <c r="I1591">
        <v>0.88409220191427795</v>
      </c>
      <c r="J1591">
        <v>0.87141406280913247</v>
      </c>
      <c r="K1591">
        <v>0.8425788575107056</v>
      </c>
      <c r="L1591">
        <v>0.85303613226075492</v>
      </c>
      <c r="M1591">
        <v>0.89570585904828981</v>
      </c>
      <c r="N1591">
        <v>0.89065797641216637</v>
      </c>
      <c r="O1591">
        <v>0.79612030610428897</v>
      </c>
      <c r="P1591">
        <v>0.85487604960518582</v>
      </c>
      <c r="Q1591">
        <v>0.80558593300333836</v>
      </c>
      <c r="R1591">
        <v>0.77751272264631044</v>
      </c>
    </row>
    <row r="1592" spans="4:19" x14ac:dyDescent="0.25">
      <c r="D1592" t="s">
        <v>63</v>
      </c>
      <c r="E1592">
        <v>2015</v>
      </c>
      <c r="F1592" t="s">
        <v>20</v>
      </c>
      <c r="G1592">
        <v>0.71418201814682436</v>
      </c>
      <c r="H1592">
        <v>0.78212120443418487</v>
      </c>
      <c r="I1592">
        <v>0.70853361293045924</v>
      </c>
      <c r="J1592">
        <v>0.69101539030364656</v>
      </c>
      <c r="K1592">
        <v>0.66499737742588105</v>
      </c>
      <c r="L1592">
        <v>0.75375152346130403</v>
      </c>
      <c r="M1592">
        <v>0.82509925558312658</v>
      </c>
    </row>
    <row r="1593" spans="4:19" x14ac:dyDescent="0.25">
      <c r="D1593" t="s">
        <v>63</v>
      </c>
      <c r="E1593">
        <v>2013</v>
      </c>
      <c r="F1593" t="s">
        <v>21</v>
      </c>
      <c r="S1593">
        <v>0.92003715601656544</v>
      </c>
    </row>
    <row r="1594" spans="4:19" x14ac:dyDescent="0.25">
      <c r="D1594" t="s">
        <v>63</v>
      </c>
      <c r="E1594">
        <v>2014</v>
      </c>
      <c r="F1594" t="s">
        <v>21</v>
      </c>
      <c r="S1594">
        <v>0.89484573284416913</v>
      </c>
    </row>
    <row r="1595" spans="4:19" x14ac:dyDescent="0.25">
      <c r="D1595" t="s">
        <v>63</v>
      </c>
      <c r="E1595">
        <v>2015</v>
      </c>
      <c r="F1595" t="s">
        <v>21</v>
      </c>
      <c r="S1595">
        <v>0.71773020162128454</v>
      </c>
    </row>
    <row r="1596" spans="4:19" x14ac:dyDescent="0.25">
      <c r="D1596" t="s">
        <v>63</v>
      </c>
      <c r="E1596">
        <v>2013</v>
      </c>
      <c r="F1596" t="s">
        <v>22</v>
      </c>
      <c r="G1596">
        <v>0.94774861545870459</v>
      </c>
      <c r="H1596">
        <v>0.87649751631440542</v>
      </c>
      <c r="I1596">
        <v>0.89601833285591526</v>
      </c>
      <c r="J1596">
        <v>0.87187772925764195</v>
      </c>
      <c r="K1596">
        <v>0.91611077420658982</v>
      </c>
      <c r="L1596">
        <v>0.9516641735228123</v>
      </c>
      <c r="M1596">
        <v>0.96936114732724898</v>
      </c>
      <c r="N1596">
        <v>0.93975652897721362</v>
      </c>
      <c r="O1596">
        <v>0.97625651836236549</v>
      </c>
      <c r="P1596">
        <v>0.95407133243607001</v>
      </c>
      <c r="Q1596">
        <v>0.81377049180327865</v>
      </c>
      <c r="R1596">
        <v>0.87191530011144724</v>
      </c>
    </row>
    <row r="1597" spans="4:19" x14ac:dyDescent="0.25">
      <c r="D1597" t="s">
        <v>63</v>
      </c>
      <c r="E1597">
        <v>2014</v>
      </c>
      <c r="F1597" t="s">
        <v>22</v>
      </c>
      <c r="G1597">
        <v>0.91047486033519553</v>
      </c>
      <c r="H1597">
        <v>0.8706550802139037</v>
      </c>
      <c r="I1597">
        <v>0.89110236879551352</v>
      </c>
      <c r="J1597">
        <v>0.87784408802685565</v>
      </c>
      <c r="K1597">
        <v>0.89581256231306083</v>
      </c>
      <c r="L1597">
        <v>0.88885174661541033</v>
      </c>
      <c r="M1597">
        <v>0.92397372742200323</v>
      </c>
      <c r="N1597">
        <v>0.93461618042623629</v>
      </c>
      <c r="O1597">
        <v>0.93814124912839925</v>
      </c>
      <c r="P1597">
        <v>0.92570128885519332</v>
      </c>
      <c r="Q1597">
        <v>0.92309149460125028</v>
      </c>
      <c r="R1597">
        <v>0.94628462553129122</v>
      </c>
    </row>
    <row r="1598" spans="4:19" x14ac:dyDescent="0.25">
      <c r="D1598" t="s">
        <v>63</v>
      </c>
      <c r="E1598">
        <v>2015</v>
      </c>
      <c r="F1598" t="s">
        <v>22</v>
      </c>
      <c r="G1598">
        <v>0.84996119686125726</v>
      </c>
      <c r="H1598">
        <v>0.73011928429423456</v>
      </c>
      <c r="I1598">
        <v>0.66213460231135279</v>
      </c>
      <c r="J1598">
        <v>0.7517366067180512</v>
      </c>
      <c r="K1598">
        <v>0.68192062714355706</v>
      </c>
      <c r="L1598">
        <v>0.68694252565220304</v>
      </c>
      <c r="M1598">
        <v>0.67559079846117609</v>
      </c>
    </row>
    <row r="1599" spans="4:19" x14ac:dyDescent="0.25">
      <c r="D1599" t="s">
        <v>63</v>
      </c>
      <c r="E1599">
        <v>2013</v>
      </c>
      <c r="F1599" t="s">
        <v>23</v>
      </c>
      <c r="S1599">
        <v>178092</v>
      </c>
    </row>
    <row r="1600" spans="4:19" x14ac:dyDescent="0.25">
      <c r="D1600" t="s">
        <v>63</v>
      </c>
      <c r="E1600">
        <v>2014</v>
      </c>
      <c r="F1600" t="s">
        <v>23</v>
      </c>
      <c r="S1600">
        <v>172302</v>
      </c>
    </row>
    <row r="1601" spans="4:19" x14ac:dyDescent="0.25">
      <c r="D1601" t="s">
        <v>63</v>
      </c>
      <c r="E1601">
        <v>2015</v>
      </c>
      <c r="F1601" t="s">
        <v>23</v>
      </c>
      <c r="S1601">
        <v>176488</v>
      </c>
    </row>
    <row r="1602" spans="4:19" x14ac:dyDescent="0.25">
      <c r="D1602" t="s">
        <v>63</v>
      </c>
      <c r="E1602">
        <v>2013</v>
      </c>
      <c r="F1602" t="s">
        <v>24</v>
      </c>
      <c r="G1602">
        <v>28304</v>
      </c>
      <c r="H1602">
        <v>29697</v>
      </c>
      <c r="I1602">
        <v>25513</v>
      </c>
      <c r="J1602">
        <v>25540</v>
      </c>
      <c r="K1602">
        <v>25187</v>
      </c>
      <c r="L1602">
        <v>20721</v>
      </c>
      <c r="M1602">
        <v>23130</v>
      </c>
      <c r="N1602">
        <v>23181</v>
      </c>
      <c r="O1602">
        <v>28042</v>
      </c>
      <c r="P1602">
        <v>27587</v>
      </c>
      <c r="Q1602">
        <v>22441</v>
      </c>
      <c r="R1602">
        <v>24308</v>
      </c>
    </row>
    <row r="1603" spans="4:19" x14ac:dyDescent="0.25">
      <c r="D1603" t="s">
        <v>63</v>
      </c>
      <c r="E1603">
        <v>2014</v>
      </c>
      <c r="F1603" t="s">
        <v>24</v>
      </c>
      <c r="G1603">
        <v>28065</v>
      </c>
      <c r="H1603">
        <v>30420</v>
      </c>
      <c r="I1603">
        <v>25260</v>
      </c>
      <c r="J1603">
        <v>21816</v>
      </c>
      <c r="K1603">
        <v>20092</v>
      </c>
      <c r="L1603">
        <v>22041</v>
      </c>
      <c r="M1603">
        <v>24608</v>
      </c>
      <c r="N1603">
        <v>23757</v>
      </c>
      <c r="O1603">
        <v>30832</v>
      </c>
      <c r="P1603">
        <v>26836</v>
      </c>
      <c r="Q1603">
        <v>22400</v>
      </c>
      <c r="R1603">
        <v>24714</v>
      </c>
    </row>
    <row r="1604" spans="4:19" x14ac:dyDescent="0.25">
      <c r="D1604" t="s">
        <v>63</v>
      </c>
      <c r="E1604">
        <v>2015</v>
      </c>
      <c r="F1604" t="s">
        <v>24</v>
      </c>
      <c r="G1604">
        <v>25089</v>
      </c>
      <c r="H1604">
        <v>29624</v>
      </c>
      <c r="I1604">
        <v>27026</v>
      </c>
      <c r="J1604">
        <v>24392</v>
      </c>
      <c r="K1604">
        <v>22022</v>
      </c>
      <c r="L1604">
        <v>23640</v>
      </c>
      <c r="M1604">
        <v>24695</v>
      </c>
    </row>
    <row r="1605" spans="4:19" x14ac:dyDescent="0.25">
      <c r="D1605" t="s">
        <v>63</v>
      </c>
      <c r="E1605">
        <v>2013</v>
      </c>
      <c r="F1605" t="s">
        <v>25</v>
      </c>
      <c r="S1605">
        <v>399987</v>
      </c>
    </row>
    <row r="1606" spans="4:19" x14ac:dyDescent="0.25">
      <c r="D1606" t="s">
        <v>63</v>
      </c>
      <c r="E1606">
        <v>2014</v>
      </c>
      <c r="F1606" t="s">
        <v>25</v>
      </c>
      <c r="S1606">
        <v>406710</v>
      </c>
    </row>
    <row r="1607" spans="4:19" x14ac:dyDescent="0.25">
      <c r="D1607" t="s">
        <v>63</v>
      </c>
      <c r="E1607">
        <v>2015</v>
      </c>
      <c r="F1607" t="s">
        <v>25</v>
      </c>
      <c r="S1607">
        <v>448062</v>
      </c>
    </row>
    <row r="1608" spans="4:19" x14ac:dyDescent="0.25">
      <c r="D1608" t="s">
        <v>63</v>
      </c>
      <c r="E1608">
        <v>2013</v>
      </c>
      <c r="F1608" t="s">
        <v>26</v>
      </c>
      <c r="G1608">
        <v>72615</v>
      </c>
      <c r="H1608">
        <v>54119</v>
      </c>
      <c r="I1608">
        <v>60707</v>
      </c>
      <c r="J1608">
        <v>54242</v>
      </c>
      <c r="K1608">
        <v>51745</v>
      </c>
      <c r="L1608">
        <v>47426</v>
      </c>
      <c r="M1608">
        <v>59133</v>
      </c>
      <c r="N1608">
        <v>51762</v>
      </c>
      <c r="O1608">
        <v>64504</v>
      </c>
      <c r="P1608">
        <v>70880</v>
      </c>
      <c r="Q1608">
        <v>62872</v>
      </c>
      <c r="R1608">
        <v>68474</v>
      </c>
    </row>
    <row r="1609" spans="4:19" x14ac:dyDescent="0.25">
      <c r="D1609" t="s">
        <v>63</v>
      </c>
      <c r="E1609">
        <v>2014</v>
      </c>
      <c r="F1609" t="s">
        <v>26</v>
      </c>
      <c r="G1609">
        <v>68134</v>
      </c>
      <c r="H1609">
        <v>60704</v>
      </c>
      <c r="I1609">
        <v>59244</v>
      </c>
      <c r="J1609">
        <v>53751</v>
      </c>
      <c r="K1609">
        <v>49644</v>
      </c>
      <c r="L1609">
        <v>54070</v>
      </c>
      <c r="M1609">
        <v>61163</v>
      </c>
      <c r="N1609">
        <v>50067</v>
      </c>
      <c r="O1609">
        <v>69701</v>
      </c>
      <c r="P1609">
        <v>70473</v>
      </c>
      <c r="Q1609">
        <v>64045</v>
      </c>
      <c r="R1609">
        <v>68347</v>
      </c>
    </row>
    <row r="1610" spans="4:19" x14ac:dyDescent="0.25">
      <c r="D1610" t="s">
        <v>63</v>
      </c>
      <c r="E1610">
        <v>2015</v>
      </c>
      <c r="F1610" t="s">
        <v>26</v>
      </c>
      <c r="G1610">
        <v>67803</v>
      </c>
      <c r="H1610">
        <v>63809</v>
      </c>
      <c r="I1610">
        <v>68648</v>
      </c>
      <c r="J1610">
        <v>57046</v>
      </c>
      <c r="K1610">
        <v>52770</v>
      </c>
      <c r="L1610">
        <v>67396</v>
      </c>
      <c r="M1610">
        <v>70590</v>
      </c>
    </row>
    <row r="1611" spans="4:19" x14ac:dyDescent="0.25">
      <c r="D1611" t="s">
        <v>63</v>
      </c>
      <c r="E1611">
        <v>2013</v>
      </c>
      <c r="F1611" t="s">
        <v>27</v>
      </c>
      <c r="S1611">
        <v>757764</v>
      </c>
    </row>
    <row r="1612" spans="4:19" x14ac:dyDescent="0.25">
      <c r="D1612" t="s">
        <v>63</v>
      </c>
      <c r="E1612">
        <v>2014</v>
      </c>
      <c r="F1612" t="s">
        <v>27</v>
      </c>
      <c r="S1612">
        <v>764013</v>
      </c>
    </row>
    <row r="1613" spans="4:19" x14ac:dyDescent="0.25">
      <c r="D1613" t="s">
        <v>63</v>
      </c>
      <c r="E1613">
        <v>2015</v>
      </c>
      <c r="F1613" t="s">
        <v>27</v>
      </c>
      <c r="S1613">
        <v>809643</v>
      </c>
    </row>
    <row r="1614" spans="4:19" x14ac:dyDescent="0.25">
      <c r="D1614" t="s">
        <v>63</v>
      </c>
      <c r="E1614">
        <v>2013</v>
      </c>
      <c r="F1614" t="s">
        <v>28</v>
      </c>
      <c r="G1614">
        <v>130632</v>
      </c>
      <c r="H1614">
        <v>107072</v>
      </c>
      <c r="I1614">
        <v>115478</v>
      </c>
      <c r="J1614">
        <v>104655</v>
      </c>
      <c r="K1614">
        <v>98113</v>
      </c>
      <c r="L1614">
        <v>87560</v>
      </c>
      <c r="M1614">
        <v>114254</v>
      </c>
      <c r="N1614">
        <v>98930</v>
      </c>
      <c r="O1614">
        <v>113696</v>
      </c>
      <c r="P1614">
        <v>131783</v>
      </c>
      <c r="Q1614">
        <v>112744</v>
      </c>
      <c r="R1614">
        <v>126643</v>
      </c>
    </row>
    <row r="1615" spans="4:19" x14ac:dyDescent="0.25">
      <c r="D1615" t="s">
        <v>63</v>
      </c>
      <c r="E1615">
        <v>2014</v>
      </c>
      <c r="F1615" t="s">
        <v>28</v>
      </c>
      <c r="G1615">
        <v>126275</v>
      </c>
      <c r="H1615">
        <v>115809</v>
      </c>
      <c r="I1615">
        <v>113692</v>
      </c>
      <c r="J1615">
        <v>100570</v>
      </c>
      <c r="K1615">
        <v>93008</v>
      </c>
      <c r="L1615">
        <v>103236</v>
      </c>
      <c r="M1615">
        <v>111423</v>
      </c>
      <c r="N1615">
        <v>91493</v>
      </c>
      <c r="O1615">
        <v>122049</v>
      </c>
      <c r="P1615">
        <v>121948</v>
      </c>
      <c r="Q1615">
        <v>110310</v>
      </c>
      <c r="R1615">
        <v>115574</v>
      </c>
    </row>
    <row r="1616" spans="4:19" x14ac:dyDescent="0.25">
      <c r="D1616" t="s">
        <v>63</v>
      </c>
      <c r="E1616">
        <v>2015</v>
      </c>
      <c r="F1616" t="s">
        <v>28</v>
      </c>
      <c r="G1616">
        <v>117965</v>
      </c>
      <c r="H1616">
        <v>114825</v>
      </c>
      <c r="I1616">
        <v>130393</v>
      </c>
      <c r="J1616">
        <v>105042</v>
      </c>
      <c r="K1616">
        <v>94656</v>
      </c>
      <c r="L1616">
        <v>122520</v>
      </c>
      <c r="M1616">
        <v>124242</v>
      </c>
    </row>
    <row r="1617" spans="4:19" x14ac:dyDescent="0.25">
      <c r="D1617" t="s">
        <v>63</v>
      </c>
      <c r="E1617">
        <v>2013</v>
      </c>
      <c r="F1617" t="s">
        <v>29</v>
      </c>
      <c r="S1617">
        <v>58607</v>
      </c>
    </row>
    <row r="1618" spans="4:19" x14ac:dyDescent="0.25">
      <c r="D1618" t="s">
        <v>63</v>
      </c>
      <c r="E1618">
        <v>2014</v>
      </c>
      <c r="F1618" t="s">
        <v>29</v>
      </c>
      <c r="S1618">
        <v>50010</v>
      </c>
    </row>
    <row r="1619" spans="4:19" x14ac:dyDescent="0.25">
      <c r="D1619" t="s">
        <v>63</v>
      </c>
      <c r="E1619">
        <v>2015</v>
      </c>
      <c r="F1619" t="s">
        <v>29</v>
      </c>
      <c r="S1619">
        <v>45872</v>
      </c>
    </row>
    <row r="1620" spans="4:19" x14ac:dyDescent="0.25">
      <c r="D1620" t="s">
        <v>63</v>
      </c>
      <c r="E1620">
        <v>2013</v>
      </c>
      <c r="F1620" t="s">
        <v>30</v>
      </c>
      <c r="G1620">
        <v>10477</v>
      </c>
      <c r="H1620">
        <v>7497</v>
      </c>
      <c r="I1620">
        <v>8797</v>
      </c>
      <c r="J1620">
        <v>7763</v>
      </c>
      <c r="K1620">
        <v>8164</v>
      </c>
      <c r="L1620">
        <v>7130</v>
      </c>
      <c r="M1620">
        <v>8779</v>
      </c>
      <c r="N1620">
        <v>6640</v>
      </c>
      <c r="O1620">
        <v>10811</v>
      </c>
      <c r="P1620">
        <v>10186</v>
      </c>
      <c r="Q1620">
        <v>8170</v>
      </c>
      <c r="R1620">
        <v>7916</v>
      </c>
    </row>
    <row r="1621" spans="4:19" x14ac:dyDescent="0.25">
      <c r="D1621" t="s">
        <v>63</v>
      </c>
      <c r="E1621">
        <v>2014</v>
      </c>
      <c r="F1621" t="s">
        <v>30</v>
      </c>
      <c r="G1621">
        <v>9884</v>
      </c>
      <c r="H1621">
        <v>8807</v>
      </c>
      <c r="I1621">
        <v>7082</v>
      </c>
      <c r="J1621">
        <v>6676</v>
      </c>
      <c r="K1621">
        <v>5938</v>
      </c>
      <c r="L1621">
        <v>6108</v>
      </c>
      <c r="M1621">
        <v>5515</v>
      </c>
      <c r="N1621">
        <v>5442</v>
      </c>
      <c r="O1621">
        <v>8420</v>
      </c>
      <c r="P1621">
        <v>7832</v>
      </c>
      <c r="Q1621">
        <v>6979</v>
      </c>
      <c r="R1621">
        <v>7112</v>
      </c>
    </row>
    <row r="1622" spans="4:19" x14ac:dyDescent="0.25">
      <c r="D1622" t="s">
        <v>63</v>
      </c>
      <c r="E1622">
        <v>2015</v>
      </c>
      <c r="F1622" t="s">
        <v>30</v>
      </c>
      <c r="G1622">
        <v>8082</v>
      </c>
      <c r="H1622">
        <v>8359</v>
      </c>
      <c r="I1622">
        <v>7461</v>
      </c>
      <c r="J1622">
        <v>5977</v>
      </c>
      <c r="K1622">
        <v>4940</v>
      </c>
      <c r="L1622">
        <v>6496</v>
      </c>
      <c r="M1622">
        <v>4557</v>
      </c>
    </row>
    <row r="1623" spans="4:19" x14ac:dyDescent="0.25">
      <c r="D1623" t="s">
        <v>63</v>
      </c>
      <c r="E1623">
        <v>2013</v>
      </c>
      <c r="F1623" t="s">
        <v>31</v>
      </c>
      <c r="S1623">
        <v>0.88016867686364353</v>
      </c>
    </row>
    <row r="1624" spans="4:19" x14ac:dyDescent="0.25">
      <c r="D1624" t="s">
        <v>63</v>
      </c>
      <c r="E1624">
        <v>2014</v>
      </c>
      <c r="F1624" t="s">
        <v>31</v>
      </c>
      <c r="S1624">
        <v>0.9289329201053963</v>
      </c>
    </row>
    <row r="1625" spans="4:19" x14ac:dyDescent="0.25">
      <c r="D1625" t="s">
        <v>63</v>
      </c>
      <c r="E1625">
        <v>2015</v>
      </c>
      <c r="F1625" t="s">
        <v>31</v>
      </c>
      <c r="S1625">
        <v>0.88515933094601329</v>
      </c>
    </row>
    <row r="1626" spans="4:19" x14ac:dyDescent="0.25">
      <c r="D1626" t="s">
        <v>63</v>
      </c>
      <c r="E1626">
        <v>2013</v>
      </c>
      <c r="F1626" t="s">
        <v>32</v>
      </c>
      <c r="G1626">
        <v>0.8812535330695308</v>
      </c>
      <c r="H1626">
        <v>0.83486547462706673</v>
      </c>
      <c r="I1626">
        <v>0.89436757731352645</v>
      </c>
      <c r="J1626">
        <v>0.89244322631166795</v>
      </c>
      <c r="K1626">
        <v>0.84206138087108429</v>
      </c>
      <c r="L1626">
        <v>0.90362434245451473</v>
      </c>
      <c r="M1626">
        <v>0.9282749675745785</v>
      </c>
      <c r="N1626">
        <v>0.91186747767568266</v>
      </c>
      <c r="O1626">
        <v>0.85475358390984946</v>
      </c>
      <c r="P1626">
        <v>0.88722949215210067</v>
      </c>
      <c r="Q1626">
        <v>0.94532329218840516</v>
      </c>
      <c r="R1626">
        <v>0.91891558334704626</v>
      </c>
    </row>
    <row r="1627" spans="4:19" x14ac:dyDescent="0.25">
      <c r="D1627" t="s">
        <v>63</v>
      </c>
      <c r="E1627">
        <v>2014</v>
      </c>
      <c r="F1627" t="s">
        <v>32</v>
      </c>
      <c r="G1627">
        <v>0.96472474612506676</v>
      </c>
      <c r="H1627">
        <v>0.84234056541748847</v>
      </c>
      <c r="I1627">
        <v>0.94877276326207438</v>
      </c>
      <c r="J1627">
        <v>0.95306197286395311</v>
      </c>
      <c r="K1627">
        <v>0.98601433406330874</v>
      </c>
      <c r="L1627">
        <v>0.9065378158885713</v>
      </c>
      <c r="M1627">
        <v>0.92685305591677503</v>
      </c>
      <c r="N1627">
        <v>0.93643978616828727</v>
      </c>
      <c r="O1627">
        <v>0.95365204981837048</v>
      </c>
      <c r="P1627">
        <v>0.93706215531375769</v>
      </c>
      <c r="Q1627">
        <v>0.9609375</v>
      </c>
      <c r="R1627">
        <v>0.91247875697984948</v>
      </c>
    </row>
    <row r="1628" spans="4:19" x14ac:dyDescent="0.25">
      <c r="D1628" t="s">
        <v>63</v>
      </c>
      <c r="E1628">
        <v>2015</v>
      </c>
      <c r="F1628" t="s">
        <v>32</v>
      </c>
      <c r="G1628">
        <v>0.9362270317669098</v>
      </c>
      <c r="H1628">
        <v>0.83672022684310021</v>
      </c>
      <c r="I1628">
        <v>0.91822689262191959</v>
      </c>
      <c r="J1628">
        <v>0.88414234175139395</v>
      </c>
      <c r="K1628">
        <v>0.82694578149123599</v>
      </c>
      <c r="L1628">
        <v>0.89094754653130293</v>
      </c>
      <c r="M1628">
        <v>0.90257137072281834</v>
      </c>
    </row>
    <row r="1629" spans="4:19" x14ac:dyDescent="0.25">
      <c r="D1629" t="s">
        <v>63</v>
      </c>
      <c r="E1629">
        <v>2013</v>
      </c>
      <c r="F1629" t="s">
        <v>33</v>
      </c>
      <c r="S1629">
        <v>0.878681244689549</v>
      </c>
    </row>
    <row r="1630" spans="4:19" x14ac:dyDescent="0.25">
      <c r="D1630" t="s">
        <v>63</v>
      </c>
      <c r="E1630">
        <v>2014</v>
      </c>
      <c r="F1630" t="s">
        <v>33</v>
      </c>
      <c r="S1630">
        <v>0.92468082153760756</v>
      </c>
    </row>
    <row r="1631" spans="4:19" x14ac:dyDescent="0.25">
      <c r="D1631" t="s">
        <v>63</v>
      </c>
      <c r="E1631">
        <v>2015</v>
      </c>
      <c r="F1631" t="s">
        <v>33</v>
      </c>
      <c r="S1631">
        <v>0.88218284145741444</v>
      </c>
    </row>
    <row r="1632" spans="4:19" x14ac:dyDescent="0.25">
      <c r="D1632" t="s">
        <v>63</v>
      </c>
      <c r="E1632">
        <v>2013</v>
      </c>
      <c r="F1632" t="s">
        <v>34</v>
      </c>
      <c r="G1632">
        <v>0.83722394420767143</v>
      </c>
      <c r="H1632">
        <v>0.82012483449971629</v>
      </c>
      <c r="I1632">
        <v>0.93058580763498799</v>
      </c>
      <c r="J1632">
        <v>0.90821312238250351</v>
      </c>
      <c r="K1632">
        <v>0.85380957646798628</v>
      </c>
      <c r="L1632">
        <v>0.91775106082036773</v>
      </c>
      <c r="M1632">
        <v>0.91462656890766747</v>
      </c>
      <c r="N1632">
        <v>0.87306616961789374</v>
      </c>
      <c r="O1632">
        <v>0.80003927536943398</v>
      </c>
      <c r="P1632">
        <v>0.84498480243161089</v>
      </c>
      <c r="Q1632">
        <v>0.92250852595680177</v>
      </c>
      <c r="R1632">
        <v>0.88571262901542391</v>
      </c>
    </row>
    <row r="1633" spans="4:19" x14ac:dyDescent="0.25">
      <c r="D1633" t="s">
        <v>63</v>
      </c>
      <c r="E1633">
        <v>2014</v>
      </c>
      <c r="F1633" t="s">
        <v>34</v>
      </c>
      <c r="G1633">
        <v>0.95072665737607009</v>
      </c>
      <c r="H1633">
        <v>0.78410011704330607</v>
      </c>
      <c r="I1633">
        <v>0.92832613271297215</v>
      </c>
      <c r="J1633">
        <v>0.93310687222367394</v>
      </c>
      <c r="K1633">
        <v>0.98025992272567619</v>
      </c>
      <c r="L1633">
        <v>0.98420888055034395</v>
      </c>
      <c r="M1633">
        <v>0.99230219823823507</v>
      </c>
      <c r="N1633">
        <v>0.99595448798988617</v>
      </c>
      <c r="O1633">
        <v>0.98337425464749206</v>
      </c>
      <c r="P1633">
        <v>0.96583311045734155</v>
      </c>
      <c r="Q1633">
        <v>0.99484873262469342</v>
      </c>
      <c r="R1633">
        <v>0.91156462585034015</v>
      </c>
    </row>
    <row r="1634" spans="4:19" x14ac:dyDescent="0.25">
      <c r="D1634" t="s">
        <v>63</v>
      </c>
      <c r="E1634">
        <v>2015</v>
      </c>
      <c r="F1634" t="s">
        <v>34</v>
      </c>
      <c r="G1634">
        <v>0.95332696593441579</v>
      </c>
      <c r="H1634">
        <v>0.80392057798211491</v>
      </c>
      <c r="I1634">
        <v>0.94356330213529116</v>
      </c>
      <c r="J1634">
        <v>0.88868263102530787</v>
      </c>
      <c r="K1634">
        <v>0.79330919817645484</v>
      </c>
      <c r="L1634">
        <v>0.8944342662202287</v>
      </c>
      <c r="M1634">
        <v>0.90546083835405722</v>
      </c>
    </row>
    <row r="1635" spans="4:19" x14ac:dyDescent="0.25">
      <c r="D1635" t="s">
        <v>64</v>
      </c>
      <c r="E1635">
        <v>2013</v>
      </c>
      <c r="F1635" t="s">
        <v>17</v>
      </c>
      <c r="S1635">
        <v>0.85468662450972543</v>
      </c>
    </row>
    <row r="1636" spans="4:19" x14ac:dyDescent="0.25">
      <c r="D1636" t="s">
        <v>64</v>
      </c>
      <c r="E1636">
        <v>2014</v>
      </c>
      <c r="F1636" t="s">
        <v>17</v>
      </c>
      <c r="S1636">
        <v>0.99970350290143595</v>
      </c>
    </row>
    <row r="1637" spans="4:19" x14ac:dyDescent="0.25">
      <c r="D1637" t="s">
        <v>64</v>
      </c>
      <c r="E1637">
        <v>2015</v>
      </c>
      <c r="F1637" t="s">
        <v>17</v>
      </c>
      <c r="S1637">
        <v>0.99802617025983087</v>
      </c>
    </row>
    <row r="1638" spans="4:19" x14ac:dyDescent="0.25">
      <c r="D1638" t="s">
        <v>64</v>
      </c>
      <c r="E1638">
        <v>2013</v>
      </c>
      <c r="F1638" t="s">
        <v>18</v>
      </c>
      <c r="G1638">
        <v>0.83385766516452686</v>
      </c>
      <c r="H1638">
        <v>0.80477885104219626</v>
      </c>
      <c r="I1638">
        <v>0.74637761309589645</v>
      </c>
      <c r="J1638">
        <v>0.70881135422826724</v>
      </c>
      <c r="K1638">
        <v>0.96626216828910516</v>
      </c>
      <c r="L1638">
        <v>0.97597473915431077</v>
      </c>
      <c r="M1638">
        <v>0.99767171129220023</v>
      </c>
      <c r="N1638">
        <v>0.99885321100917435</v>
      </c>
      <c r="O1638">
        <v>0.99907594086021501</v>
      </c>
      <c r="P1638">
        <v>0.99879028773870215</v>
      </c>
      <c r="Q1638">
        <v>0.99952047568811742</v>
      </c>
      <c r="R1638">
        <v>0.99975093399750936</v>
      </c>
    </row>
    <row r="1639" spans="4:19" x14ac:dyDescent="0.25">
      <c r="D1639" t="s">
        <v>64</v>
      </c>
      <c r="E1639">
        <v>2014</v>
      </c>
      <c r="F1639" t="s">
        <v>18</v>
      </c>
      <c r="G1639">
        <v>0.9989341641387226</v>
      </c>
      <c r="H1639">
        <v>0.99965141612200437</v>
      </c>
      <c r="I1639">
        <v>0.99971234058874292</v>
      </c>
      <c r="J1639">
        <v>1</v>
      </c>
      <c r="K1639">
        <v>0.99989172802078818</v>
      </c>
      <c r="L1639">
        <v>1</v>
      </c>
      <c r="M1639">
        <v>1</v>
      </c>
      <c r="N1639">
        <v>1</v>
      </c>
      <c r="O1639">
        <v>0.99980939674068425</v>
      </c>
      <c r="P1639">
        <v>0.99961553248750479</v>
      </c>
      <c r="Q1639">
        <v>0.99859763935958867</v>
      </c>
      <c r="R1639">
        <v>0.99869890491163393</v>
      </c>
    </row>
    <row r="1640" spans="4:19" x14ac:dyDescent="0.25">
      <c r="D1640" t="s">
        <v>64</v>
      </c>
      <c r="E1640">
        <v>2015</v>
      </c>
      <c r="F1640" t="s">
        <v>18</v>
      </c>
      <c r="G1640">
        <v>0.99895898396835314</v>
      </c>
      <c r="H1640">
        <v>0.99787188763566714</v>
      </c>
      <c r="I1640">
        <v>0.99845320959010053</v>
      </c>
      <c r="J1640">
        <v>0.99662406558958283</v>
      </c>
      <c r="K1640">
        <v>0.99741007194244602</v>
      </c>
      <c r="L1640">
        <v>0.99786121673003803</v>
      </c>
      <c r="M1640">
        <v>0.9988658916926566</v>
      </c>
    </row>
    <row r="1641" spans="4:19" x14ac:dyDescent="0.25">
      <c r="D1641" t="s">
        <v>64</v>
      </c>
      <c r="E1641">
        <v>2013</v>
      </c>
      <c r="F1641" t="s">
        <v>19</v>
      </c>
      <c r="S1641">
        <v>0.62215217975897885</v>
      </c>
    </row>
    <row r="1642" spans="4:19" x14ac:dyDescent="0.25">
      <c r="D1642" t="s">
        <v>64</v>
      </c>
      <c r="E1642">
        <v>2014</v>
      </c>
      <c r="F1642" t="s">
        <v>19</v>
      </c>
      <c r="S1642">
        <v>0.98314263710031269</v>
      </c>
    </row>
    <row r="1643" spans="4:19" x14ac:dyDescent="0.25">
      <c r="D1643" t="s">
        <v>64</v>
      </c>
      <c r="E1643">
        <v>2015</v>
      </c>
      <c r="F1643" t="s">
        <v>19</v>
      </c>
      <c r="S1643">
        <v>0.97320403450187454</v>
      </c>
    </row>
    <row r="1644" spans="4:19" x14ac:dyDescent="0.25">
      <c r="D1644" t="s">
        <v>64</v>
      </c>
      <c r="E1644">
        <v>2013</v>
      </c>
      <c r="F1644" t="s">
        <v>20</v>
      </c>
      <c r="G1644">
        <v>0.54573318008428695</v>
      </c>
      <c r="H1644">
        <v>0.66132496282834963</v>
      </c>
      <c r="I1644">
        <v>0.58041773929323659</v>
      </c>
      <c r="J1644">
        <v>0.5198707856018242</v>
      </c>
      <c r="K1644">
        <v>0.46224890325559914</v>
      </c>
      <c r="L1644">
        <v>0.660167520590344</v>
      </c>
      <c r="M1644">
        <v>0.94864266461301505</v>
      </c>
      <c r="N1644">
        <v>0.76148612705434382</v>
      </c>
      <c r="O1644">
        <v>0.66899662263263648</v>
      </c>
      <c r="P1644">
        <v>0.74395178109618754</v>
      </c>
      <c r="Q1644">
        <v>0.60516794759264414</v>
      </c>
      <c r="R1644">
        <v>0.93134225883968413</v>
      </c>
    </row>
    <row r="1645" spans="4:19" x14ac:dyDescent="0.25">
      <c r="D1645" t="s">
        <v>64</v>
      </c>
      <c r="E1645">
        <v>2014</v>
      </c>
      <c r="F1645" t="s">
        <v>20</v>
      </c>
      <c r="G1645">
        <v>0.9612896825396825</v>
      </c>
      <c r="H1645">
        <v>0.98837971515404321</v>
      </c>
      <c r="I1645">
        <v>0.98538949469032855</v>
      </c>
      <c r="J1645">
        <v>0.9811922716523136</v>
      </c>
      <c r="K1645">
        <v>0.98483250689941437</v>
      </c>
      <c r="L1645">
        <v>0.9909097107015431</v>
      </c>
      <c r="M1645">
        <v>0.99146555021034199</v>
      </c>
      <c r="N1645">
        <v>0.97476222571706728</v>
      </c>
      <c r="O1645">
        <v>0.99832846641828621</v>
      </c>
      <c r="P1645">
        <v>0.99554776038855908</v>
      </c>
      <c r="Q1645">
        <v>0.99139177148281588</v>
      </c>
      <c r="R1645">
        <v>0.99660328817783495</v>
      </c>
    </row>
    <row r="1646" spans="4:19" x14ac:dyDescent="0.25">
      <c r="D1646" t="s">
        <v>64</v>
      </c>
      <c r="E1646">
        <v>2015</v>
      </c>
      <c r="F1646" t="s">
        <v>20</v>
      </c>
      <c r="G1646">
        <v>0.98463250490170107</v>
      </c>
      <c r="H1646">
        <v>0.930704854007811</v>
      </c>
      <c r="I1646">
        <v>0.96966934111354242</v>
      </c>
      <c r="J1646">
        <v>0.98840677028815205</v>
      </c>
      <c r="K1646">
        <v>0.98212483459304278</v>
      </c>
      <c r="L1646">
        <v>0.98405385618113961</v>
      </c>
      <c r="M1646">
        <v>0.97500234940325159</v>
      </c>
    </row>
    <row r="1647" spans="4:19" x14ac:dyDescent="0.25">
      <c r="D1647" t="s">
        <v>64</v>
      </c>
      <c r="E1647">
        <v>2013</v>
      </c>
      <c r="F1647" t="s">
        <v>21</v>
      </c>
      <c r="S1647">
        <v>0.84342800242445237</v>
      </c>
    </row>
    <row r="1648" spans="4:19" x14ac:dyDescent="0.25">
      <c r="D1648" t="s">
        <v>64</v>
      </c>
      <c r="E1648">
        <v>2014</v>
      </c>
      <c r="F1648" t="s">
        <v>21</v>
      </c>
      <c r="S1648">
        <v>0.99752057919270054</v>
      </c>
    </row>
    <row r="1649" spans="4:19" x14ac:dyDescent="0.25">
      <c r="D1649" t="s">
        <v>64</v>
      </c>
      <c r="E1649">
        <v>2015</v>
      </c>
      <c r="F1649" t="s">
        <v>21</v>
      </c>
      <c r="S1649">
        <v>0.99580032276995301</v>
      </c>
    </row>
    <row r="1650" spans="4:19" x14ac:dyDescent="0.25">
      <c r="D1650" t="s">
        <v>64</v>
      </c>
      <c r="E1650">
        <v>2013</v>
      </c>
      <c r="F1650" t="s">
        <v>22</v>
      </c>
      <c r="G1650">
        <v>0.79324763822208455</v>
      </c>
      <c r="H1650">
        <v>0.81988144094847237</v>
      </c>
      <c r="I1650">
        <v>0.86400530064601622</v>
      </c>
      <c r="J1650">
        <v>0.67007715531700773</v>
      </c>
      <c r="K1650">
        <v>0.7514712539610684</v>
      </c>
      <c r="L1650">
        <v>0.97396257119609442</v>
      </c>
      <c r="M1650">
        <v>0.98798882681564248</v>
      </c>
      <c r="N1650">
        <v>0.99382207578253712</v>
      </c>
      <c r="O1650">
        <v>0.99076177495077999</v>
      </c>
      <c r="P1650">
        <v>0.98604588756205558</v>
      </c>
      <c r="Q1650">
        <v>0.9843969418005929</v>
      </c>
      <c r="R1650">
        <v>0.99189157882543733</v>
      </c>
    </row>
    <row r="1651" spans="4:19" x14ac:dyDescent="0.25">
      <c r="D1651" t="s">
        <v>64</v>
      </c>
      <c r="E1651">
        <v>2014</v>
      </c>
      <c r="F1651" t="s">
        <v>22</v>
      </c>
      <c r="G1651">
        <v>0.99422545819733865</v>
      </c>
      <c r="H1651">
        <v>0.99787460148777896</v>
      </c>
      <c r="I1651">
        <v>0.99723076923076925</v>
      </c>
      <c r="J1651">
        <v>0.99780814853017019</v>
      </c>
      <c r="K1651">
        <v>0.99643797429146663</v>
      </c>
      <c r="L1651">
        <v>0.9994494150034412</v>
      </c>
      <c r="M1651">
        <v>0.99961948249619481</v>
      </c>
      <c r="N1651">
        <v>0.99863574351978168</v>
      </c>
      <c r="O1651">
        <v>0.99985654855831296</v>
      </c>
      <c r="P1651">
        <v>0.99774707119255035</v>
      </c>
      <c r="Q1651">
        <v>0.99931377594784698</v>
      </c>
      <c r="R1651">
        <v>0.99927971188475395</v>
      </c>
    </row>
    <row r="1652" spans="4:19" x14ac:dyDescent="0.25">
      <c r="D1652" t="s">
        <v>64</v>
      </c>
      <c r="E1652">
        <v>2015</v>
      </c>
      <c r="F1652" t="s">
        <v>22</v>
      </c>
      <c r="G1652">
        <v>0.99777227722772277</v>
      </c>
      <c r="H1652">
        <v>0.99612617598229114</v>
      </c>
      <c r="I1652">
        <v>0.99597217136580007</v>
      </c>
      <c r="J1652">
        <v>0.99594114662607813</v>
      </c>
      <c r="K1652">
        <v>0.99570610687022898</v>
      </c>
      <c r="L1652">
        <v>0.99537507050197405</v>
      </c>
      <c r="M1652">
        <v>0.99374217772215268</v>
      </c>
    </row>
    <row r="1653" spans="4:19" x14ac:dyDescent="0.25">
      <c r="D1653" t="s">
        <v>64</v>
      </c>
      <c r="E1653">
        <v>2013</v>
      </c>
      <c r="F1653" t="s">
        <v>23</v>
      </c>
      <c r="S1653">
        <v>112579</v>
      </c>
    </row>
    <row r="1654" spans="4:19" x14ac:dyDescent="0.25">
      <c r="D1654" t="s">
        <v>64</v>
      </c>
      <c r="E1654">
        <v>2014</v>
      </c>
      <c r="F1654" t="s">
        <v>23</v>
      </c>
      <c r="S1654">
        <v>99499</v>
      </c>
    </row>
    <row r="1655" spans="4:19" x14ac:dyDescent="0.25">
      <c r="D1655" t="s">
        <v>64</v>
      </c>
      <c r="E1655">
        <v>2015</v>
      </c>
      <c r="F1655" t="s">
        <v>23</v>
      </c>
      <c r="S1655">
        <v>89316</v>
      </c>
    </row>
    <row r="1656" spans="4:19" x14ac:dyDescent="0.25">
      <c r="D1656" t="s">
        <v>64</v>
      </c>
      <c r="E1656">
        <v>2013</v>
      </c>
      <c r="F1656" t="s">
        <v>24</v>
      </c>
      <c r="G1656">
        <v>18491</v>
      </c>
      <c r="H1656">
        <v>16175</v>
      </c>
      <c r="I1656">
        <v>15358</v>
      </c>
      <c r="J1656">
        <v>15654</v>
      </c>
      <c r="K1656">
        <v>18568</v>
      </c>
      <c r="L1656">
        <v>14597</v>
      </c>
      <c r="M1656">
        <v>13736</v>
      </c>
      <c r="N1656">
        <v>13649</v>
      </c>
      <c r="O1656">
        <v>15822</v>
      </c>
      <c r="P1656">
        <v>16198</v>
      </c>
      <c r="Q1656">
        <v>14742</v>
      </c>
      <c r="R1656">
        <v>15136</v>
      </c>
    </row>
    <row r="1657" spans="4:19" x14ac:dyDescent="0.25">
      <c r="D1657" t="s">
        <v>64</v>
      </c>
      <c r="E1657">
        <v>2014</v>
      </c>
      <c r="F1657" t="s">
        <v>24</v>
      </c>
      <c r="G1657">
        <v>15938</v>
      </c>
      <c r="H1657">
        <v>15605</v>
      </c>
      <c r="I1657">
        <v>14000</v>
      </c>
      <c r="J1657">
        <v>12904</v>
      </c>
      <c r="K1657">
        <v>13077</v>
      </c>
      <c r="L1657">
        <v>13721</v>
      </c>
      <c r="M1657">
        <v>14254</v>
      </c>
      <c r="N1657">
        <v>13850</v>
      </c>
      <c r="O1657">
        <v>16512</v>
      </c>
      <c r="P1657">
        <v>13713</v>
      </c>
      <c r="Q1657">
        <v>12379</v>
      </c>
      <c r="R1657">
        <v>13591</v>
      </c>
    </row>
    <row r="1658" spans="4:19" x14ac:dyDescent="0.25">
      <c r="D1658" t="s">
        <v>64</v>
      </c>
      <c r="E1658">
        <v>2015</v>
      </c>
      <c r="F1658" t="s">
        <v>24</v>
      </c>
      <c r="G1658">
        <v>14296</v>
      </c>
      <c r="H1658">
        <v>13410</v>
      </c>
      <c r="I1658">
        <v>13051</v>
      </c>
      <c r="J1658">
        <v>12072</v>
      </c>
      <c r="K1658">
        <v>10247</v>
      </c>
      <c r="L1658">
        <v>12169</v>
      </c>
      <c r="M1658">
        <v>14071</v>
      </c>
    </row>
    <row r="1659" spans="4:19" x14ac:dyDescent="0.25">
      <c r="D1659" t="s">
        <v>64</v>
      </c>
      <c r="E1659">
        <v>2013</v>
      </c>
      <c r="F1659" t="s">
        <v>25</v>
      </c>
      <c r="S1659">
        <v>282937</v>
      </c>
    </row>
    <row r="1660" spans="4:19" x14ac:dyDescent="0.25">
      <c r="D1660" t="s">
        <v>64</v>
      </c>
      <c r="E1660">
        <v>2014</v>
      </c>
      <c r="F1660" t="s">
        <v>25</v>
      </c>
      <c r="S1660">
        <v>282311</v>
      </c>
    </row>
    <row r="1661" spans="4:19" x14ac:dyDescent="0.25">
      <c r="D1661" t="s">
        <v>64</v>
      </c>
      <c r="E1661">
        <v>2015</v>
      </c>
      <c r="F1661" t="s">
        <v>25</v>
      </c>
      <c r="S1661">
        <v>321822</v>
      </c>
    </row>
    <row r="1662" spans="4:19" x14ac:dyDescent="0.25">
      <c r="D1662" t="s">
        <v>64</v>
      </c>
      <c r="E1662">
        <v>2013</v>
      </c>
      <c r="F1662" t="s">
        <v>26</v>
      </c>
      <c r="G1662">
        <v>47757</v>
      </c>
      <c r="H1662">
        <v>41460</v>
      </c>
      <c r="I1662">
        <v>35662</v>
      </c>
      <c r="J1662">
        <v>36431</v>
      </c>
      <c r="K1662">
        <v>36668</v>
      </c>
      <c r="L1662">
        <v>41709</v>
      </c>
      <c r="M1662">
        <v>43250</v>
      </c>
      <c r="N1662">
        <v>37524</v>
      </c>
      <c r="O1662">
        <v>47210</v>
      </c>
      <c r="P1662">
        <v>56415</v>
      </c>
      <c r="Q1662">
        <v>48560</v>
      </c>
      <c r="R1662">
        <v>50496</v>
      </c>
    </row>
    <row r="1663" spans="4:19" x14ac:dyDescent="0.25">
      <c r="D1663" t="s">
        <v>64</v>
      </c>
      <c r="E1663">
        <v>2014</v>
      </c>
      <c r="F1663" t="s">
        <v>26</v>
      </c>
      <c r="G1663">
        <v>46413</v>
      </c>
      <c r="H1663">
        <v>42054</v>
      </c>
      <c r="I1663">
        <v>36050</v>
      </c>
      <c r="J1663">
        <v>40195</v>
      </c>
      <c r="K1663">
        <v>37096</v>
      </c>
      <c r="L1663">
        <v>38092</v>
      </c>
      <c r="M1663">
        <v>42411</v>
      </c>
      <c r="N1663">
        <v>37910</v>
      </c>
      <c r="O1663">
        <v>47006</v>
      </c>
      <c r="P1663">
        <v>45463</v>
      </c>
      <c r="Q1663">
        <v>44160</v>
      </c>
      <c r="R1663">
        <v>52709</v>
      </c>
    </row>
    <row r="1664" spans="4:19" x14ac:dyDescent="0.25">
      <c r="D1664" t="s">
        <v>64</v>
      </c>
      <c r="E1664">
        <v>2015</v>
      </c>
      <c r="F1664" t="s">
        <v>26</v>
      </c>
      <c r="G1664">
        <v>48772</v>
      </c>
      <c r="H1664">
        <v>42782</v>
      </c>
      <c r="I1664">
        <v>47091</v>
      </c>
      <c r="J1664">
        <v>45316</v>
      </c>
      <c r="K1664">
        <v>38235</v>
      </c>
      <c r="L1664">
        <v>46721</v>
      </c>
      <c r="M1664">
        <v>52905</v>
      </c>
    </row>
    <row r="1665" spans="4:19" x14ac:dyDescent="0.25">
      <c r="D1665" t="s">
        <v>64</v>
      </c>
      <c r="E1665">
        <v>2013</v>
      </c>
      <c r="F1665" t="s">
        <v>27</v>
      </c>
      <c r="S1665">
        <v>499692</v>
      </c>
    </row>
    <row r="1666" spans="4:19" x14ac:dyDescent="0.25">
      <c r="D1666" t="s">
        <v>64</v>
      </c>
      <c r="E1666">
        <v>2014</v>
      </c>
      <c r="F1666" t="s">
        <v>27</v>
      </c>
      <c r="S1666">
        <v>502937</v>
      </c>
    </row>
    <row r="1667" spans="4:19" x14ac:dyDescent="0.25">
      <c r="D1667" t="s">
        <v>64</v>
      </c>
      <c r="E1667">
        <v>2015</v>
      </c>
      <c r="F1667" t="s">
        <v>27</v>
      </c>
      <c r="S1667">
        <v>572588</v>
      </c>
    </row>
    <row r="1668" spans="4:19" x14ac:dyDescent="0.25">
      <c r="D1668" t="s">
        <v>64</v>
      </c>
      <c r="E1668">
        <v>2013</v>
      </c>
      <c r="F1668" t="s">
        <v>28</v>
      </c>
      <c r="G1668">
        <v>84004</v>
      </c>
      <c r="H1668">
        <v>74521</v>
      </c>
      <c r="I1668">
        <v>63165</v>
      </c>
      <c r="J1668">
        <v>63544</v>
      </c>
      <c r="K1668">
        <v>63688</v>
      </c>
      <c r="L1668">
        <v>74212</v>
      </c>
      <c r="M1668">
        <v>76558</v>
      </c>
      <c r="N1668">
        <v>64771</v>
      </c>
      <c r="O1668">
        <v>78643</v>
      </c>
      <c r="P1668">
        <v>96042</v>
      </c>
      <c r="Q1668">
        <v>80022</v>
      </c>
      <c r="R1668">
        <v>86949</v>
      </c>
    </row>
    <row r="1669" spans="4:19" x14ac:dyDescent="0.25">
      <c r="D1669" t="s">
        <v>64</v>
      </c>
      <c r="E1669">
        <v>2014</v>
      </c>
      <c r="F1669" t="s">
        <v>28</v>
      </c>
      <c r="G1669">
        <v>82506</v>
      </c>
      <c r="H1669">
        <v>75104</v>
      </c>
      <c r="I1669">
        <v>64697</v>
      </c>
      <c r="J1669">
        <v>73138</v>
      </c>
      <c r="K1669">
        <v>65124</v>
      </c>
      <c r="L1669">
        <v>66807</v>
      </c>
      <c r="M1669">
        <v>75561</v>
      </c>
      <c r="N1669">
        <v>65448</v>
      </c>
      <c r="O1669">
        <v>79951</v>
      </c>
      <c r="P1669">
        <v>79366</v>
      </c>
      <c r="Q1669">
        <v>77004</v>
      </c>
      <c r="R1669">
        <v>90315</v>
      </c>
    </row>
    <row r="1670" spans="4:19" x14ac:dyDescent="0.25">
      <c r="D1670" t="s">
        <v>64</v>
      </c>
      <c r="E1670">
        <v>2015</v>
      </c>
      <c r="F1670" t="s">
        <v>28</v>
      </c>
      <c r="G1670">
        <v>87263</v>
      </c>
      <c r="H1670">
        <v>77296</v>
      </c>
      <c r="I1670">
        <v>86201</v>
      </c>
      <c r="J1670">
        <v>80418</v>
      </c>
      <c r="K1670">
        <v>66917</v>
      </c>
      <c r="L1670">
        <v>83839</v>
      </c>
      <c r="M1670">
        <v>90654</v>
      </c>
    </row>
    <row r="1671" spans="4:19" x14ac:dyDescent="0.25">
      <c r="D1671" t="s">
        <v>64</v>
      </c>
      <c r="E1671">
        <v>2013</v>
      </c>
      <c r="F1671" t="s">
        <v>29</v>
      </c>
      <c r="S1671">
        <v>62465</v>
      </c>
    </row>
    <row r="1672" spans="4:19" x14ac:dyDescent="0.25">
      <c r="D1672" t="s">
        <v>64</v>
      </c>
      <c r="E1672">
        <v>2014</v>
      </c>
      <c r="F1672" t="s">
        <v>29</v>
      </c>
      <c r="S1672">
        <v>70827</v>
      </c>
    </row>
    <row r="1673" spans="4:19" x14ac:dyDescent="0.25">
      <c r="D1673" t="s">
        <v>64</v>
      </c>
      <c r="E1673">
        <v>2015</v>
      </c>
      <c r="F1673" t="s">
        <v>29</v>
      </c>
      <c r="S1673">
        <v>58769</v>
      </c>
    </row>
    <row r="1674" spans="4:19" x14ac:dyDescent="0.25">
      <c r="D1674" t="s">
        <v>64</v>
      </c>
      <c r="E1674">
        <v>2013</v>
      </c>
      <c r="F1674" t="s">
        <v>30</v>
      </c>
      <c r="G1674">
        <v>11761</v>
      </c>
      <c r="H1674">
        <v>9835</v>
      </c>
      <c r="I1674">
        <v>9041</v>
      </c>
      <c r="J1674">
        <v>8455</v>
      </c>
      <c r="K1674">
        <v>7499</v>
      </c>
      <c r="L1674">
        <v>7284</v>
      </c>
      <c r="M1674">
        <v>8590</v>
      </c>
      <c r="N1674">
        <v>8720</v>
      </c>
      <c r="O1674">
        <v>11904</v>
      </c>
      <c r="P1674">
        <v>11573</v>
      </c>
      <c r="Q1674">
        <v>10427</v>
      </c>
      <c r="R1674">
        <v>12045</v>
      </c>
    </row>
    <row r="1675" spans="4:19" x14ac:dyDescent="0.25">
      <c r="D1675" t="s">
        <v>64</v>
      </c>
      <c r="E1675">
        <v>2014</v>
      </c>
      <c r="F1675" t="s">
        <v>30</v>
      </c>
      <c r="G1675">
        <v>12197</v>
      </c>
      <c r="H1675">
        <v>11475</v>
      </c>
      <c r="I1675">
        <v>10429</v>
      </c>
      <c r="J1675">
        <v>10145</v>
      </c>
      <c r="K1675">
        <v>9236</v>
      </c>
      <c r="L1675">
        <v>8679</v>
      </c>
      <c r="M1675">
        <v>8666</v>
      </c>
      <c r="N1675">
        <v>8029</v>
      </c>
      <c r="O1675">
        <v>10493</v>
      </c>
      <c r="P1675">
        <v>10404</v>
      </c>
      <c r="Q1675">
        <v>8557</v>
      </c>
      <c r="R1675">
        <v>9223</v>
      </c>
    </row>
    <row r="1676" spans="4:19" x14ac:dyDescent="0.25">
      <c r="D1676" t="s">
        <v>64</v>
      </c>
      <c r="E1676">
        <v>2015</v>
      </c>
      <c r="F1676" t="s">
        <v>30</v>
      </c>
      <c r="G1676">
        <v>9606</v>
      </c>
      <c r="H1676">
        <v>9398</v>
      </c>
      <c r="I1676">
        <v>9051</v>
      </c>
      <c r="J1676">
        <v>8294</v>
      </c>
      <c r="K1676">
        <v>6950</v>
      </c>
      <c r="L1676">
        <v>8416</v>
      </c>
      <c r="M1676">
        <v>7054</v>
      </c>
    </row>
    <row r="1677" spans="4:19" x14ac:dyDescent="0.25">
      <c r="D1677" t="s">
        <v>64</v>
      </c>
      <c r="E1677">
        <v>2013</v>
      </c>
      <c r="F1677" t="s">
        <v>31</v>
      </c>
      <c r="S1677">
        <v>0.81834089839135182</v>
      </c>
    </row>
    <row r="1678" spans="4:19" x14ac:dyDescent="0.25">
      <c r="D1678" t="s">
        <v>64</v>
      </c>
      <c r="E1678">
        <v>2014</v>
      </c>
      <c r="F1678" t="s">
        <v>31</v>
      </c>
      <c r="S1678">
        <v>0.91262223740942117</v>
      </c>
    </row>
    <row r="1679" spans="4:19" x14ac:dyDescent="0.25">
      <c r="D1679" t="s">
        <v>64</v>
      </c>
      <c r="E1679">
        <v>2015</v>
      </c>
      <c r="F1679" t="s">
        <v>31</v>
      </c>
      <c r="S1679">
        <v>0.88981817367548932</v>
      </c>
    </row>
    <row r="1680" spans="4:19" x14ac:dyDescent="0.25">
      <c r="D1680" t="s">
        <v>64</v>
      </c>
      <c r="E1680">
        <v>2013</v>
      </c>
      <c r="F1680" t="s">
        <v>32</v>
      </c>
      <c r="G1680">
        <v>0.78989778811313616</v>
      </c>
      <c r="H1680">
        <v>0.79666151468315305</v>
      </c>
      <c r="I1680">
        <v>0.83311629118374786</v>
      </c>
      <c r="J1680">
        <v>0.83295004471700529</v>
      </c>
      <c r="K1680">
        <v>0.75231581214993537</v>
      </c>
      <c r="L1680">
        <v>0.80249366308145509</v>
      </c>
      <c r="M1680">
        <v>0.95508153756552128</v>
      </c>
      <c r="N1680">
        <v>0.95215766722836837</v>
      </c>
      <c r="O1680">
        <v>0.94406522563519146</v>
      </c>
      <c r="P1680">
        <v>0.97567600938387455</v>
      </c>
      <c r="Q1680">
        <v>0.96140279473612811</v>
      </c>
      <c r="R1680">
        <v>0.96762684989429171</v>
      </c>
    </row>
    <row r="1681" spans="4:19" x14ac:dyDescent="0.25">
      <c r="D1681" t="s">
        <v>64</v>
      </c>
      <c r="E1681">
        <v>2014</v>
      </c>
      <c r="F1681" t="s">
        <v>32</v>
      </c>
      <c r="G1681">
        <v>0.93468440205797465</v>
      </c>
      <c r="H1681">
        <v>0.89702018583787246</v>
      </c>
      <c r="I1681">
        <v>0.93042857142857138</v>
      </c>
      <c r="J1681">
        <v>0.94877557346559205</v>
      </c>
      <c r="K1681">
        <v>0.93844153857918478</v>
      </c>
      <c r="L1681">
        <v>0.87697689672764378</v>
      </c>
      <c r="M1681">
        <v>0.86544127964080253</v>
      </c>
      <c r="N1681">
        <v>0.90411552346570401</v>
      </c>
      <c r="O1681">
        <v>0.90921753875968991</v>
      </c>
      <c r="P1681">
        <v>0.92459709764457088</v>
      </c>
      <c r="Q1681">
        <v>0.93804022942079324</v>
      </c>
      <c r="R1681">
        <v>0.92598042822456039</v>
      </c>
    </row>
    <row r="1682" spans="4:19" x14ac:dyDescent="0.25">
      <c r="D1682" t="s">
        <v>64</v>
      </c>
      <c r="E1682">
        <v>2015</v>
      </c>
      <c r="F1682" t="s">
        <v>32</v>
      </c>
      <c r="G1682">
        <v>0.90724678231673195</v>
      </c>
      <c r="H1682">
        <v>0.89172259507829976</v>
      </c>
      <c r="I1682">
        <v>0.9034556738947207</v>
      </c>
      <c r="J1682">
        <v>0.90092776673293573</v>
      </c>
      <c r="K1682">
        <v>0.90319117790572856</v>
      </c>
      <c r="L1682">
        <v>0.90130659873448926</v>
      </c>
      <c r="M1682">
        <v>0.82844147537488455</v>
      </c>
    </row>
    <row r="1683" spans="4:19" x14ac:dyDescent="0.25">
      <c r="D1683" t="s">
        <v>64</v>
      </c>
      <c r="E1683">
        <v>2013</v>
      </c>
      <c r="F1683" t="s">
        <v>33</v>
      </c>
      <c r="S1683">
        <v>0.82093999729107414</v>
      </c>
    </row>
    <row r="1684" spans="4:19" x14ac:dyDescent="0.25">
      <c r="D1684" t="s">
        <v>64</v>
      </c>
      <c r="E1684">
        <v>2014</v>
      </c>
      <c r="F1684" t="s">
        <v>33</v>
      </c>
      <c r="S1684">
        <v>0.89479634505188166</v>
      </c>
    </row>
    <row r="1685" spans="4:19" x14ac:dyDescent="0.25">
      <c r="D1685" t="s">
        <v>64</v>
      </c>
      <c r="E1685">
        <v>2015</v>
      </c>
      <c r="F1685" t="s">
        <v>33</v>
      </c>
      <c r="S1685">
        <v>0.89329559589695517</v>
      </c>
    </row>
    <row r="1686" spans="4:19" x14ac:dyDescent="0.25">
      <c r="D1686" t="s">
        <v>64</v>
      </c>
      <c r="E1686">
        <v>2013</v>
      </c>
      <c r="F1686" t="s">
        <v>34</v>
      </c>
      <c r="G1686">
        <v>0.77048778494975079</v>
      </c>
      <c r="H1686">
        <v>0.78677063726808283</v>
      </c>
      <c r="I1686">
        <v>0.85992816829143148</v>
      </c>
      <c r="J1686">
        <v>0.847568578553616</v>
      </c>
      <c r="K1686">
        <v>0.74526692126432115</v>
      </c>
      <c r="L1686">
        <v>0.83005001531080946</v>
      </c>
      <c r="M1686">
        <v>0.95536212476286131</v>
      </c>
      <c r="N1686">
        <v>0.92513185049300617</v>
      </c>
      <c r="O1686">
        <v>0.91669020050833094</v>
      </c>
      <c r="P1686">
        <v>0.96319133034379667</v>
      </c>
      <c r="Q1686">
        <v>0.94144283214984048</v>
      </c>
      <c r="R1686">
        <v>0.95257911545533724</v>
      </c>
    </row>
    <row r="1687" spans="4:19" x14ac:dyDescent="0.25">
      <c r="D1687" t="s">
        <v>64</v>
      </c>
      <c r="E1687">
        <v>2014</v>
      </c>
      <c r="F1687" t="s">
        <v>34</v>
      </c>
      <c r="G1687">
        <v>0.90667861945315997</v>
      </c>
      <c r="H1687">
        <v>0.84992528950317514</v>
      </c>
      <c r="I1687">
        <v>0.90059195754235555</v>
      </c>
      <c r="J1687">
        <v>0.92630170587579441</v>
      </c>
      <c r="K1687">
        <v>0.90889542779538257</v>
      </c>
      <c r="L1687">
        <v>0.87487424547283699</v>
      </c>
      <c r="M1687">
        <v>0.90072706935123048</v>
      </c>
      <c r="N1687">
        <v>0.94500987391766667</v>
      </c>
      <c r="O1687">
        <v>0.89877213021130786</v>
      </c>
      <c r="P1687">
        <v>0.95300929042682103</v>
      </c>
      <c r="Q1687">
        <v>0.95617469879518069</v>
      </c>
      <c r="R1687">
        <v>0.9432615070763738</v>
      </c>
    </row>
    <row r="1688" spans="4:19" x14ac:dyDescent="0.25">
      <c r="D1688" t="s">
        <v>64</v>
      </c>
      <c r="E1688">
        <v>2015</v>
      </c>
      <c r="F1688" t="s">
        <v>34</v>
      </c>
      <c r="G1688">
        <v>0.91183937225940459</v>
      </c>
      <c r="H1688">
        <v>0.89340455178820255</v>
      </c>
      <c r="I1688">
        <v>0.92661661419229835</v>
      </c>
      <c r="J1688">
        <v>0.91213333333333335</v>
      </c>
      <c r="K1688">
        <v>0.90903267136450994</v>
      </c>
      <c r="L1688">
        <v>0.91633103806677929</v>
      </c>
      <c r="M1688">
        <v>0.79279491405698144</v>
      </c>
    </row>
    <row r="1689" spans="4:19" x14ac:dyDescent="0.25">
      <c r="D1689" t="s">
        <v>65</v>
      </c>
      <c r="E1689">
        <v>2013</v>
      </c>
      <c r="F1689" t="s">
        <v>17</v>
      </c>
      <c r="S1689">
        <v>0.90803218444989664</v>
      </c>
    </row>
    <row r="1690" spans="4:19" x14ac:dyDescent="0.25">
      <c r="D1690" t="s">
        <v>65</v>
      </c>
      <c r="E1690">
        <v>2014</v>
      </c>
      <c r="F1690" t="s">
        <v>17</v>
      </c>
      <c r="S1690">
        <v>1</v>
      </c>
    </row>
    <row r="1691" spans="4:19" x14ac:dyDescent="0.25">
      <c r="D1691" t="s">
        <v>65</v>
      </c>
      <c r="E1691">
        <v>2015</v>
      </c>
      <c r="F1691" t="s">
        <v>17</v>
      </c>
      <c r="S1691">
        <v>0.97910075735787561</v>
      </c>
    </row>
    <row r="1692" spans="4:19" x14ac:dyDescent="0.25">
      <c r="D1692" t="s">
        <v>65</v>
      </c>
      <c r="E1692">
        <v>2013</v>
      </c>
      <c r="F1692" t="s">
        <v>18</v>
      </c>
      <c r="G1692">
        <v>0.91113273647333592</v>
      </c>
      <c r="H1692">
        <v>0.92132505175983437</v>
      </c>
      <c r="I1692">
        <v>0.93250628483987319</v>
      </c>
      <c r="J1692">
        <v>0.9098525276869226</v>
      </c>
      <c r="K1692">
        <v>0.81466218414488667</v>
      </c>
    </row>
    <row r="1693" spans="4:19" x14ac:dyDescent="0.25">
      <c r="D1693" t="s">
        <v>65</v>
      </c>
      <c r="E1693">
        <v>2014</v>
      </c>
      <c r="F1693" t="s">
        <v>18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</row>
    <row r="1694" spans="4:19" x14ac:dyDescent="0.25">
      <c r="D1694" t="s">
        <v>65</v>
      </c>
      <c r="E1694">
        <v>2015</v>
      </c>
      <c r="F1694" t="s">
        <v>18</v>
      </c>
      <c r="G1694">
        <v>1</v>
      </c>
      <c r="H1694">
        <v>1</v>
      </c>
      <c r="I1694">
        <v>1</v>
      </c>
      <c r="J1694">
        <v>1</v>
      </c>
      <c r="K1694">
        <v>0.75227272727272732</v>
      </c>
      <c r="L1694">
        <v>1</v>
      </c>
      <c r="M1694">
        <v>1</v>
      </c>
    </row>
    <row r="1695" spans="4:19" x14ac:dyDescent="0.25">
      <c r="D1695" t="s">
        <v>65</v>
      </c>
      <c r="E1695">
        <v>2013</v>
      </c>
      <c r="F1695" t="s">
        <v>19</v>
      </c>
      <c r="S1695">
        <v>0.77400509353056524</v>
      </c>
    </row>
    <row r="1696" spans="4:19" x14ac:dyDescent="0.25">
      <c r="D1696" t="s">
        <v>65</v>
      </c>
      <c r="E1696">
        <v>2014</v>
      </c>
      <c r="F1696" t="s">
        <v>19</v>
      </c>
      <c r="S1696">
        <v>0.88992106940288862</v>
      </c>
    </row>
    <row r="1697" spans="4:19" x14ac:dyDescent="0.25">
      <c r="D1697" t="s">
        <v>65</v>
      </c>
      <c r="E1697">
        <v>2015</v>
      </c>
      <c r="F1697" t="s">
        <v>19</v>
      </c>
      <c r="S1697">
        <v>0.938660828645134</v>
      </c>
    </row>
    <row r="1698" spans="4:19" x14ac:dyDescent="0.25">
      <c r="D1698" t="s">
        <v>65</v>
      </c>
      <c r="E1698">
        <v>2013</v>
      </c>
      <c r="F1698" t="s">
        <v>20</v>
      </c>
      <c r="G1698">
        <v>0.74321311728543993</v>
      </c>
      <c r="H1698">
        <v>0.742111643736584</v>
      </c>
      <c r="I1698">
        <v>0.84592042273785539</v>
      </c>
      <c r="J1698">
        <v>0.74450691923465351</v>
      </c>
      <c r="K1698">
        <v>0.59895306229279355</v>
      </c>
      <c r="L1698">
        <v>0.7925472169065646</v>
      </c>
      <c r="M1698">
        <v>0.95337147986087734</v>
      </c>
      <c r="N1698">
        <v>0.95843289174171842</v>
      </c>
      <c r="O1698">
        <v>0.9518503011369126</v>
      </c>
      <c r="P1698">
        <v>0.92355511836418758</v>
      </c>
      <c r="Q1698">
        <v>0.87014925373134333</v>
      </c>
      <c r="R1698">
        <v>0.94900152282619266</v>
      </c>
    </row>
    <row r="1699" spans="4:19" x14ac:dyDescent="0.25">
      <c r="D1699" t="s">
        <v>65</v>
      </c>
      <c r="E1699">
        <v>2014</v>
      </c>
      <c r="F1699" t="s">
        <v>20</v>
      </c>
      <c r="G1699">
        <v>0.84900559301127054</v>
      </c>
      <c r="H1699">
        <v>0.90241446725317698</v>
      </c>
      <c r="I1699">
        <v>0.89112056902985071</v>
      </c>
      <c r="J1699">
        <v>0.97435589598290395</v>
      </c>
      <c r="K1699">
        <v>0.85655917116591274</v>
      </c>
      <c r="L1699">
        <v>0.8565039918362447</v>
      </c>
      <c r="M1699">
        <v>0.91114904152755372</v>
      </c>
      <c r="N1699">
        <v>0.89510818438381934</v>
      </c>
      <c r="O1699">
        <v>0.84388896538875879</v>
      </c>
      <c r="P1699">
        <v>0.90312840860589005</v>
      </c>
      <c r="Q1699">
        <v>0.85527163963592301</v>
      </c>
      <c r="R1699">
        <v>0.89941336035034969</v>
      </c>
    </row>
    <row r="1700" spans="4:19" x14ac:dyDescent="0.25">
      <c r="D1700" t="s">
        <v>65</v>
      </c>
      <c r="E1700">
        <v>2015</v>
      </c>
      <c r="F1700" t="s">
        <v>20</v>
      </c>
      <c r="G1700">
        <v>0.847422531480991</v>
      </c>
      <c r="H1700">
        <v>0.95650470219435735</v>
      </c>
      <c r="I1700">
        <v>0.94152430492422745</v>
      </c>
      <c r="J1700">
        <v>0.95362779607130688</v>
      </c>
      <c r="K1700">
        <v>0.95297895584811132</v>
      </c>
      <c r="L1700">
        <v>0.96615783410138245</v>
      </c>
      <c r="M1700">
        <v>0.96535999008633155</v>
      </c>
    </row>
    <row r="1701" spans="4:19" x14ac:dyDescent="0.25">
      <c r="D1701" t="s">
        <v>65</v>
      </c>
      <c r="E1701">
        <v>2013</v>
      </c>
      <c r="F1701" t="s">
        <v>21</v>
      </c>
      <c r="S1701">
        <v>0.95547266189468028</v>
      </c>
    </row>
    <row r="1702" spans="4:19" x14ac:dyDescent="0.25">
      <c r="D1702" t="s">
        <v>65</v>
      </c>
      <c r="E1702">
        <v>2014</v>
      </c>
      <c r="F1702" t="s">
        <v>21</v>
      </c>
      <c r="S1702">
        <v>0.91186621196759754</v>
      </c>
    </row>
    <row r="1703" spans="4:19" x14ac:dyDescent="0.25">
      <c r="D1703" t="s">
        <v>65</v>
      </c>
      <c r="E1703">
        <v>2015</v>
      </c>
      <c r="F1703" t="s">
        <v>21</v>
      </c>
      <c r="S1703">
        <v>0.9004388500800925</v>
      </c>
    </row>
    <row r="1704" spans="4:19" x14ac:dyDescent="0.25">
      <c r="D1704" t="s">
        <v>65</v>
      </c>
      <c r="E1704">
        <v>2013</v>
      </c>
      <c r="F1704" t="s">
        <v>22</v>
      </c>
      <c r="G1704">
        <v>0.92269635126777982</v>
      </c>
      <c r="H1704">
        <v>0.97082751253184318</v>
      </c>
      <c r="I1704">
        <v>0.96004643513591947</v>
      </c>
      <c r="J1704">
        <v>0.9466008691168889</v>
      </c>
      <c r="K1704">
        <v>0.93174321238264401</v>
      </c>
      <c r="L1704">
        <v>0.9841674389867161</v>
      </c>
      <c r="M1704">
        <v>0.97511540680900177</v>
      </c>
      <c r="N1704">
        <v>0.9231968810916179</v>
      </c>
      <c r="O1704">
        <v>0.77620019522584083</v>
      </c>
      <c r="P1704">
        <v>0.73384903607904761</v>
      </c>
      <c r="Q1704">
        <v>0.947864430226526</v>
      </c>
      <c r="R1704">
        <v>0.96184431312468077</v>
      </c>
    </row>
    <row r="1705" spans="4:19" x14ac:dyDescent="0.25">
      <c r="D1705" t="s">
        <v>65</v>
      </c>
      <c r="E1705">
        <v>2014</v>
      </c>
      <c r="F1705" t="s">
        <v>22</v>
      </c>
      <c r="G1705">
        <v>0.94838545639460969</v>
      </c>
      <c r="H1705">
        <v>0.93911606774060308</v>
      </c>
      <c r="I1705">
        <v>0.89423516852218998</v>
      </c>
      <c r="J1705">
        <v>0.89333611284830794</v>
      </c>
      <c r="K1705">
        <v>0.90544366254145436</v>
      </c>
      <c r="L1705">
        <v>0.89959303957339321</v>
      </c>
      <c r="M1705">
        <v>0.9021669853409815</v>
      </c>
      <c r="N1705">
        <v>0.8890029074739183</v>
      </c>
      <c r="O1705">
        <v>0.9405784003615002</v>
      </c>
      <c r="P1705">
        <v>0.94662645072454266</v>
      </c>
      <c r="Q1705">
        <v>0.92504599632029438</v>
      </c>
      <c r="R1705">
        <v>0.94707379134860048</v>
      </c>
    </row>
    <row r="1706" spans="4:19" x14ac:dyDescent="0.25">
      <c r="D1706" t="s">
        <v>65</v>
      </c>
      <c r="E1706">
        <v>2015</v>
      </c>
      <c r="F1706" t="s">
        <v>22</v>
      </c>
      <c r="G1706">
        <v>0.7602352669818937</v>
      </c>
      <c r="H1706">
        <v>0.92516001969473161</v>
      </c>
      <c r="I1706">
        <v>0.92675933428909807</v>
      </c>
      <c r="J1706">
        <v>0.92144373673036095</v>
      </c>
      <c r="K1706">
        <v>0.89877967235038447</v>
      </c>
      <c r="L1706">
        <v>0.92477325271207544</v>
      </c>
      <c r="M1706">
        <v>0.96539027982326953</v>
      </c>
    </row>
    <row r="1707" spans="4:19" x14ac:dyDescent="0.25">
      <c r="D1707" t="s">
        <v>65</v>
      </c>
      <c r="E1707">
        <v>2013</v>
      </c>
      <c r="F1707" t="s">
        <v>23</v>
      </c>
      <c r="S1707">
        <v>221699</v>
      </c>
    </row>
    <row r="1708" spans="4:19" x14ac:dyDescent="0.25">
      <c r="D1708" t="s">
        <v>65</v>
      </c>
      <c r="E1708">
        <v>2014</v>
      </c>
      <c r="F1708" t="s">
        <v>23</v>
      </c>
      <c r="S1708">
        <v>205783</v>
      </c>
    </row>
    <row r="1709" spans="4:19" x14ac:dyDescent="0.25">
      <c r="D1709" t="s">
        <v>65</v>
      </c>
      <c r="E1709">
        <v>2015</v>
      </c>
      <c r="F1709" t="s">
        <v>23</v>
      </c>
      <c r="S1709">
        <v>185800</v>
      </c>
    </row>
    <row r="1710" spans="4:19" x14ac:dyDescent="0.25">
      <c r="D1710" t="s">
        <v>65</v>
      </c>
      <c r="E1710">
        <v>2013</v>
      </c>
      <c r="F1710" t="s">
        <v>24</v>
      </c>
      <c r="G1710">
        <v>46910</v>
      </c>
      <c r="H1710">
        <v>42386</v>
      </c>
      <c r="I1710">
        <v>31133</v>
      </c>
      <c r="J1710">
        <v>24601</v>
      </c>
      <c r="K1710">
        <v>23990</v>
      </c>
      <c r="L1710">
        <v>24947</v>
      </c>
      <c r="M1710">
        <v>27732</v>
      </c>
      <c r="N1710">
        <v>27511</v>
      </c>
      <c r="O1710">
        <v>34897</v>
      </c>
      <c r="P1710">
        <v>35828</v>
      </c>
      <c r="Q1710">
        <v>31643</v>
      </c>
      <c r="R1710">
        <v>27219</v>
      </c>
    </row>
    <row r="1711" spans="4:19" x14ac:dyDescent="0.25">
      <c r="D1711" t="s">
        <v>65</v>
      </c>
      <c r="E1711">
        <v>2014</v>
      </c>
      <c r="F1711" t="s">
        <v>24</v>
      </c>
      <c r="G1711">
        <v>32436</v>
      </c>
      <c r="H1711">
        <v>32426</v>
      </c>
      <c r="I1711">
        <v>27535</v>
      </c>
      <c r="J1711">
        <v>26240</v>
      </c>
      <c r="K1711">
        <v>26884</v>
      </c>
      <c r="L1711">
        <v>29955</v>
      </c>
      <c r="M1711">
        <v>30307</v>
      </c>
      <c r="N1711">
        <v>30086</v>
      </c>
      <c r="O1711">
        <v>39038</v>
      </c>
      <c r="P1711">
        <v>35338</v>
      </c>
      <c r="Q1711">
        <v>27880</v>
      </c>
      <c r="R1711">
        <v>29282</v>
      </c>
    </row>
    <row r="1712" spans="4:19" x14ac:dyDescent="0.25">
      <c r="D1712" t="s">
        <v>65</v>
      </c>
      <c r="E1712">
        <v>2015</v>
      </c>
      <c r="F1712" t="s">
        <v>24</v>
      </c>
      <c r="G1712">
        <v>29102</v>
      </c>
      <c r="H1712">
        <v>27592</v>
      </c>
      <c r="I1712">
        <v>26786</v>
      </c>
      <c r="J1712">
        <v>23290</v>
      </c>
      <c r="K1712">
        <v>22431</v>
      </c>
      <c r="L1712">
        <v>27661</v>
      </c>
      <c r="M1712">
        <v>28938</v>
      </c>
    </row>
    <row r="1713" spans="4:19" x14ac:dyDescent="0.25">
      <c r="D1713" t="s">
        <v>65</v>
      </c>
      <c r="E1713">
        <v>2013</v>
      </c>
      <c r="F1713" t="s">
        <v>25</v>
      </c>
      <c r="S1713">
        <v>486621</v>
      </c>
    </row>
    <row r="1714" spans="4:19" x14ac:dyDescent="0.25">
      <c r="D1714" t="s">
        <v>65</v>
      </c>
      <c r="E1714">
        <v>2014</v>
      </c>
      <c r="F1714" t="s">
        <v>25</v>
      </c>
      <c r="S1714">
        <v>506901</v>
      </c>
    </row>
    <row r="1715" spans="4:19" x14ac:dyDescent="0.25">
      <c r="D1715" t="s">
        <v>65</v>
      </c>
      <c r="E1715">
        <v>2015</v>
      </c>
      <c r="F1715" t="s">
        <v>25</v>
      </c>
      <c r="S1715">
        <v>537104</v>
      </c>
    </row>
    <row r="1716" spans="4:19" x14ac:dyDescent="0.25">
      <c r="D1716" t="s">
        <v>65</v>
      </c>
      <c r="E1716">
        <v>2013</v>
      </c>
      <c r="F1716" t="s">
        <v>26</v>
      </c>
      <c r="G1716">
        <v>83265</v>
      </c>
      <c r="H1716">
        <v>72294</v>
      </c>
      <c r="I1716">
        <v>63733</v>
      </c>
      <c r="J1716">
        <v>62308</v>
      </c>
      <c r="K1716">
        <v>63231</v>
      </c>
      <c r="L1716">
        <v>69292</v>
      </c>
      <c r="M1716">
        <v>72498</v>
      </c>
      <c r="N1716">
        <v>64901</v>
      </c>
      <c r="O1716">
        <v>103067</v>
      </c>
      <c r="P1716">
        <v>98027</v>
      </c>
      <c r="Q1716">
        <v>84910</v>
      </c>
      <c r="R1716">
        <v>91298</v>
      </c>
    </row>
    <row r="1717" spans="4:19" x14ac:dyDescent="0.25">
      <c r="D1717" t="s">
        <v>65</v>
      </c>
      <c r="E1717">
        <v>2014</v>
      </c>
      <c r="F1717" t="s">
        <v>26</v>
      </c>
      <c r="G1717">
        <v>88135</v>
      </c>
      <c r="H1717">
        <v>76267</v>
      </c>
      <c r="I1717">
        <v>70293</v>
      </c>
      <c r="J1717">
        <v>65134</v>
      </c>
      <c r="K1717">
        <v>60006</v>
      </c>
      <c r="L1717">
        <v>70035</v>
      </c>
      <c r="M1717">
        <v>77031</v>
      </c>
      <c r="N1717">
        <v>65991</v>
      </c>
      <c r="O1717">
        <v>103141</v>
      </c>
      <c r="P1717">
        <v>97552</v>
      </c>
      <c r="Q1717">
        <v>95873</v>
      </c>
      <c r="R1717">
        <v>97048</v>
      </c>
    </row>
    <row r="1718" spans="4:19" x14ac:dyDescent="0.25">
      <c r="D1718" t="s">
        <v>65</v>
      </c>
      <c r="E1718">
        <v>2015</v>
      </c>
      <c r="F1718" t="s">
        <v>26</v>
      </c>
      <c r="G1718">
        <v>83829</v>
      </c>
      <c r="H1718">
        <v>73799</v>
      </c>
      <c r="I1718">
        <v>78605</v>
      </c>
      <c r="J1718">
        <v>60397</v>
      </c>
      <c r="K1718">
        <v>70092</v>
      </c>
      <c r="L1718">
        <v>82076</v>
      </c>
      <c r="M1718">
        <v>88306</v>
      </c>
    </row>
    <row r="1719" spans="4:19" x14ac:dyDescent="0.25">
      <c r="D1719" t="s">
        <v>65</v>
      </c>
      <c r="E1719">
        <v>2013</v>
      </c>
      <c r="F1719" t="s">
        <v>27</v>
      </c>
      <c r="S1719">
        <v>867845</v>
      </c>
    </row>
    <row r="1720" spans="4:19" x14ac:dyDescent="0.25">
      <c r="D1720" t="s">
        <v>65</v>
      </c>
      <c r="E1720">
        <v>2014</v>
      </c>
      <c r="F1720" t="s">
        <v>27</v>
      </c>
      <c r="S1720">
        <v>900283</v>
      </c>
    </row>
    <row r="1721" spans="4:19" x14ac:dyDescent="0.25">
      <c r="D1721" t="s">
        <v>65</v>
      </c>
      <c r="E1721">
        <v>2015</v>
      </c>
      <c r="F1721" t="s">
        <v>27</v>
      </c>
      <c r="S1721">
        <v>942675</v>
      </c>
    </row>
    <row r="1722" spans="4:19" x14ac:dyDescent="0.25">
      <c r="D1722" t="s">
        <v>65</v>
      </c>
      <c r="E1722">
        <v>2013</v>
      </c>
      <c r="F1722" t="s">
        <v>28</v>
      </c>
      <c r="G1722">
        <v>147223</v>
      </c>
      <c r="H1722">
        <v>130579</v>
      </c>
      <c r="I1722">
        <v>114141</v>
      </c>
      <c r="J1722">
        <v>109460</v>
      </c>
      <c r="K1722">
        <v>114125</v>
      </c>
      <c r="L1722">
        <v>124231</v>
      </c>
      <c r="M1722">
        <v>128086</v>
      </c>
      <c r="N1722">
        <v>115710</v>
      </c>
      <c r="O1722">
        <v>175665</v>
      </c>
      <c r="P1722">
        <v>174790</v>
      </c>
      <c r="Q1722">
        <v>148183</v>
      </c>
      <c r="R1722">
        <v>154481</v>
      </c>
    </row>
    <row r="1723" spans="4:19" x14ac:dyDescent="0.25">
      <c r="D1723" t="s">
        <v>65</v>
      </c>
      <c r="E1723">
        <v>2014</v>
      </c>
      <c r="F1723" t="s">
        <v>28</v>
      </c>
      <c r="G1723">
        <v>155190</v>
      </c>
      <c r="H1723">
        <v>137214</v>
      </c>
      <c r="I1723">
        <v>126501</v>
      </c>
      <c r="J1723">
        <v>117543</v>
      </c>
      <c r="K1723">
        <v>104326</v>
      </c>
      <c r="L1723">
        <v>124095</v>
      </c>
      <c r="M1723">
        <v>135414</v>
      </c>
      <c r="N1723">
        <v>113525</v>
      </c>
      <c r="O1723">
        <v>179921</v>
      </c>
      <c r="P1723">
        <v>170569</v>
      </c>
      <c r="Q1723">
        <v>156663</v>
      </c>
      <c r="R1723">
        <v>167353</v>
      </c>
    </row>
    <row r="1724" spans="4:19" x14ac:dyDescent="0.25">
      <c r="D1724" t="s">
        <v>65</v>
      </c>
      <c r="E1724">
        <v>2015</v>
      </c>
      <c r="F1724" t="s">
        <v>28</v>
      </c>
      <c r="G1724">
        <v>145636</v>
      </c>
      <c r="H1724">
        <v>131206</v>
      </c>
      <c r="I1724">
        <v>141511</v>
      </c>
      <c r="J1724">
        <v>106926</v>
      </c>
      <c r="K1724">
        <v>117147</v>
      </c>
      <c r="L1724">
        <v>147323</v>
      </c>
      <c r="M1724">
        <v>152926</v>
      </c>
    </row>
    <row r="1725" spans="4:19" x14ac:dyDescent="0.25">
      <c r="D1725" t="s">
        <v>65</v>
      </c>
      <c r="E1725">
        <v>2013</v>
      </c>
      <c r="F1725" t="s">
        <v>29</v>
      </c>
      <c r="S1725">
        <v>93337</v>
      </c>
    </row>
    <row r="1726" spans="4:19" x14ac:dyDescent="0.25">
      <c r="D1726" t="s">
        <v>65</v>
      </c>
      <c r="E1726">
        <v>2014</v>
      </c>
      <c r="F1726" t="s">
        <v>29</v>
      </c>
      <c r="S1726">
        <v>87589</v>
      </c>
    </row>
    <row r="1727" spans="4:19" x14ac:dyDescent="0.25">
      <c r="D1727" t="s">
        <v>65</v>
      </c>
      <c r="E1727">
        <v>2015</v>
      </c>
      <c r="F1727" t="s">
        <v>29</v>
      </c>
      <c r="S1727">
        <v>10431</v>
      </c>
    </row>
    <row r="1728" spans="4:19" x14ac:dyDescent="0.25">
      <c r="D1728" t="s">
        <v>65</v>
      </c>
      <c r="E1728">
        <v>2013</v>
      </c>
      <c r="F1728" t="s">
        <v>30</v>
      </c>
      <c r="G1728">
        <v>25690</v>
      </c>
      <c r="H1728">
        <v>22701</v>
      </c>
      <c r="I1728">
        <v>18298</v>
      </c>
      <c r="J1728">
        <v>17427</v>
      </c>
      <c r="K1728">
        <v>9221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</row>
    <row r="1729" spans="4:19" x14ac:dyDescent="0.25">
      <c r="D1729" t="s">
        <v>65</v>
      </c>
      <c r="E1729">
        <v>2014</v>
      </c>
      <c r="F1729" t="s">
        <v>30</v>
      </c>
      <c r="G1729">
        <v>0</v>
      </c>
      <c r="H1729">
        <v>0</v>
      </c>
      <c r="I1729">
        <v>18298</v>
      </c>
      <c r="J1729">
        <v>17427</v>
      </c>
      <c r="K1729">
        <v>17357</v>
      </c>
      <c r="L1729">
        <v>17288</v>
      </c>
      <c r="M1729">
        <v>17219</v>
      </c>
      <c r="N1729">
        <v>17150</v>
      </c>
      <c r="O1729">
        <v>17081</v>
      </c>
      <c r="P1729">
        <v>17013</v>
      </c>
      <c r="Q1729">
        <v>16945</v>
      </c>
      <c r="R1729">
        <v>16877</v>
      </c>
    </row>
    <row r="1730" spans="4:19" x14ac:dyDescent="0.25">
      <c r="D1730" t="s">
        <v>65</v>
      </c>
      <c r="E1730">
        <v>2015</v>
      </c>
      <c r="F1730" t="s">
        <v>30</v>
      </c>
      <c r="G1730">
        <v>1956</v>
      </c>
      <c r="H1730">
        <v>1584</v>
      </c>
      <c r="I1730">
        <v>1879</v>
      </c>
      <c r="J1730">
        <v>1052</v>
      </c>
      <c r="K1730">
        <v>880</v>
      </c>
      <c r="L1730">
        <v>1732</v>
      </c>
      <c r="M1730">
        <v>1348</v>
      </c>
    </row>
    <row r="1731" spans="4:19" x14ac:dyDescent="0.25">
      <c r="D1731" t="s">
        <v>65</v>
      </c>
      <c r="E1731">
        <v>2013</v>
      </c>
      <c r="F1731" t="s">
        <v>31</v>
      </c>
      <c r="S1731">
        <v>0.71739610913896767</v>
      </c>
    </row>
    <row r="1732" spans="4:19" x14ac:dyDescent="0.25">
      <c r="D1732" t="s">
        <v>65</v>
      </c>
      <c r="E1732">
        <v>2014</v>
      </c>
      <c r="F1732" t="s">
        <v>31</v>
      </c>
      <c r="S1732">
        <v>0.90994882959233758</v>
      </c>
    </row>
    <row r="1733" spans="4:19" x14ac:dyDescent="0.25">
      <c r="D1733" t="s">
        <v>65</v>
      </c>
      <c r="E1733">
        <v>2015</v>
      </c>
      <c r="F1733" t="s">
        <v>31</v>
      </c>
      <c r="S1733">
        <v>0.88185683530678149</v>
      </c>
    </row>
    <row r="1734" spans="4:19" x14ac:dyDescent="0.25">
      <c r="D1734" t="s">
        <v>65</v>
      </c>
      <c r="E1734">
        <v>2013</v>
      </c>
      <c r="F1734" t="s">
        <v>32</v>
      </c>
      <c r="G1734">
        <v>0.49006608399062035</v>
      </c>
      <c r="H1734">
        <v>0.50132119095927896</v>
      </c>
      <c r="I1734">
        <v>0.88105868371181706</v>
      </c>
      <c r="J1734">
        <v>0.87240356083086057</v>
      </c>
      <c r="K1734">
        <v>0.86194247603167984</v>
      </c>
      <c r="L1734">
        <v>0.77027297871487554</v>
      </c>
      <c r="M1734">
        <v>0.93833838165296413</v>
      </c>
      <c r="N1734">
        <v>0.90661917051361274</v>
      </c>
      <c r="O1734">
        <v>0.86571911625641174</v>
      </c>
      <c r="P1734">
        <v>0.93619515462766556</v>
      </c>
      <c r="Q1734">
        <v>0.90130518598110165</v>
      </c>
      <c r="R1734">
        <v>0.90069436790477242</v>
      </c>
    </row>
    <row r="1735" spans="4:19" x14ac:dyDescent="0.25">
      <c r="D1735" t="s">
        <v>65</v>
      </c>
      <c r="E1735">
        <v>2014</v>
      </c>
      <c r="F1735" t="s">
        <v>32</v>
      </c>
      <c r="G1735">
        <v>0.91176470588235292</v>
      </c>
      <c r="H1735">
        <v>0.94399555911922528</v>
      </c>
      <c r="I1735">
        <v>0.9522426003268567</v>
      </c>
      <c r="J1735">
        <v>0.94889481707317069</v>
      </c>
      <c r="K1735">
        <v>0.86337598571641128</v>
      </c>
      <c r="L1735">
        <v>0.85408112168252381</v>
      </c>
      <c r="M1735">
        <v>0.89596462863364901</v>
      </c>
      <c r="N1735">
        <v>0.9102905005650469</v>
      </c>
      <c r="O1735">
        <v>0.92161483682565704</v>
      </c>
      <c r="P1735">
        <v>0.93202784537891226</v>
      </c>
      <c r="Q1735">
        <v>0.93131276901004301</v>
      </c>
      <c r="R1735">
        <v>0.92305853425312478</v>
      </c>
    </row>
    <row r="1736" spans="4:19" x14ac:dyDescent="0.25">
      <c r="D1736" t="s">
        <v>65</v>
      </c>
      <c r="E1736">
        <v>2015</v>
      </c>
      <c r="F1736" t="s">
        <v>32</v>
      </c>
      <c r="G1736">
        <v>0.91571026046319837</v>
      </c>
      <c r="H1736">
        <v>0.88739489707161501</v>
      </c>
      <c r="I1736">
        <v>0.87676398118420074</v>
      </c>
      <c r="J1736">
        <v>0.90901674538428512</v>
      </c>
      <c r="K1736">
        <v>0.8842227274753689</v>
      </c>
      <c r="L1736">
        <v>0.89960594338599476</v>
      </c>
      <c r="M1736">
        <v>0.80658649526574056</v>
      </c>
    </row>
    <row r="1737" spans="4:19" x14ac:dyDescent="0.25">
      <c r="D1737" t="s">
        <v>65</v>
      </c>
      <c r="E1737">
        <v>2013</v>
      </c>
      <c r="F1737" t="s">
        <v>33</v>
      </c>
      <c r="S1737">
        <v>0.66386312332543373</v>
      </c>
    </row>
    <row r="1738" spans="4:19" x14ac:dyDescent="0.25">
      <c r="D1738" t="s">
        <v>65</v>
      </c>
      <c r="E1738">
        <v>2014</v>
      </c>
      <c r="F1738" t="s">
        <v>33</v>
      </c>
      <c r="S1738">
        <v>0.89754049279961678</v>
      </c>
    </row>
    <row r="1739" spans="4:19" x14ac:dyDescent="0.25">
      <c r="D1739" t="s">
        <v>65</v>
      </c>
      <c r="E1739">
        <v>2015</v>
      </c>
      <c r="F1739" t="s">
        <v>33</v>
      </c>
      <c r="S1739">
        <v>0.88471667432570966</v>
      </c>
    </row>
    <row r="1740" spans="4:19" x14ac:dyDescent="0.25">
      <c r="D1740" t="s">
        <v>65</v>
      </c>
      <c r="E1740">
        <v>2013</v>
      </c>
      <c r="F1740" t="s">
        <v>34</v>
      </c>
      <c r="G1740">
        <v>0.36055276381909546</v>
      </c>
      <c r="H1740">
        <v>0.37706198145436798</v>
      </c>
      <c r="I1740">
        <v>0.90077782861624944</v>
      </c>
      <c r="J1740">
        <v>0.90706614596045887</v>
      </c>
      <c r="K1740">
        <v>0.92299741602067187</v>
      </c>
      <c r="L1740">
        <v>0.89162047079617579</v>
      </c>
      <c r="M1740">
        <v>0.9328188833408988</v>
      </c>
      <c r="N1740">
        <v>0.85636007827788652</v>
      </c>
      <c r="O1740">
        <v>0.81213919178960869</v>
      </c>
      <c r="P1740">
        <v>0.89396047870860007</v>
      </c>
      <c r="Q1740">
        <v>0.84286001811411893</v>
      </c>
      <c r="R1740">
        <v>0.85661998726925526</v>
      </c>
    </row>
    <row r="1741" spans="4:19" x14ac:dyDescent="0.25">
      <c r="D1741" t="s">
        <v>65</v>
      </c>
      <c r="E1741">
        <v>2014</v>
      </c>
      <c r="F1741" t="s">
        <v>34</v>
      </c>
      <c r="G1741">
        <v>0.87596428880991595</v>
      </c>
      <c r="H1741">
        <v>0.91906947724943178</v>
      </c>
      <c r="I1741">
        <v>0.93211852157753461</v>
      </c>
      <c r="J1741">
        <v>0.92728554386725948</v>
      </c>
      <c r="K1741">
        <v>0.80087823918464707</v>
      </c>
      <c r="L1741">
        <v>0.89042318909588714</v>
      </c>
      <c r="M1741">
        <v>0.94404524284763802</v>
      </c>
      <c r="N1741">
        <v>0.95441278665740092</v>
      </c>
      <c r="O1741">
        <v>0.93627822839470154</v>
      </c>
      <c r="P1741">
        <v>0.96878269008423723</v>
      </c>
      <c r="Q1741">
        <v>0.95008874689385869</v>
      </c>
      <c r="R1741">
        <v>0.94438420817654189</v>
      </c>
    </row>
    <row r="1742" spans="4:19" x14ac:dyDescent="0.25">
      <c r="D1742" t="s">
        <v>65</v>
      </c>
      <c r="E1742">
        <v>2015</v>
      </c>
      <c r="F1742" t="s">
        <v>34</v>
      </c>
      <c r="G1742">
        <v>0.93420446695832371</v>
      </c>
      <c r="H1742">
        <v>0.89071318624935869</v>
      </c>
      <c r="I1742">
        <v>0.88750587130108027</v>
      </c>
      <c r="J1742">
        <v>0.93176371070069086</v>
      </c>
      <c r="K1742">
        <v>0.88522206876499232</v>
      </c>
      <c r="L1742">
        <v>0.91771568928461777</v>
      </c>
      <c r="M1742">
        <v>0.75375375375375375</v>
      </c>
    </row>
    <row r="1743" spans="4:19" x14ac:dyDescent="0.25">
      <c r="D1743" t="s">
        <v>66</v>
      </c>
      <c r="E1743">
        <v>2013</v>
      </c>
      <c r="F1743" t="s">
        <v>17</v>
      </c>
      <c r="S1743">
        <v>0.86738954782919775</v>
      </c>
    </row>
    <row r="1744" spans="4:19" x14ac:dyDescent="0.25">
      <c r="D1744" t="s">
        <v>66</v>
      </c>
      <c r="E1744">
        <v>2014</v>
      </c>
      <c r="F1744" t="s">
        <v>17</v>
      </c>
      <c r="S1744">
        <v>0.8986558874757633</v>
      </c>
    </row>
    <row r="1745" spans="4:19" x14ac:dyDescent="0.25">
      <c r="D1745" t="s">
        <v>66</v>
      </c>
      <c r="E1745">
        <v>2015</v>
      </c>
      <c r="F1745" t="s">
        <v>17</v>
      </c>
      <c r="S1745">
        <v>0.89762075998915314</v>
      </c>
    </row>
    <row r="1746" spans="4:19" x14ac:dyDescent="0.25">
      <c r="D1746" t="s">
        <v>66</v>
      </c>
      <c r="E1746">
        <v>2013</v>
      </c>
      <c r="F1746" t="s">
        <v>18</v>
      </c>
      <c r="G1746">
        <v>0.86971625219141613</v>
      </c>
      <c r="H1746">
        <v>0.86215972031268417</v>
      </c>
      <c r="I1746">
        <v>0.86617255163224516</v>
      </c>
      <c r="J1746">
        <v>0.9069240048250905</v>
      </c>
      <c r="K1746">
        <v>0.8919681298559905</v>
      </c>
      <c r="L1746">
        <v>0.72475788172264577</v>
      </c>
      <c r="M1746">
        <v>0.93914458391445843</v>
      </c>
      <c r="N1746">
        <v>0.94547787042976272</v>
      </c>
      <c r="O1746">
        <v>0.93712394705174484</v>
      </c>
      <c r="P1746">
        <v>0.89974619289340096</v>
      </c>
      <c r="Q1746">
        <v>0.89489365603226989</v>
      </c>
      <c r="R1746">
        <v>0.89651593773165306</v>
      </c>
    </row>
    <row r="1747" spans="4:19" x14ac:dyDescent="0.25">
      <c r="D1747" t="s">
        <v>66</v>
      </c>
      <c r="E1747">
        <v>2014</v>
      </c>
      <c r="F1747" t="s">
        <v>18</v>
      </c>
      <c r="G1747">
        <v>0.84632468835076657</v>
      </c>
      <c r="H1747">
        <v>0.86878585086042071</v>
      </c>
      <c r="I1747">
        <v>0.90196753566158383</v>
      </c>
      <c r="J1747">
        <v>0.93648857826352083</v>
      </c>
      <c r="K1747">
        <v>0.90253795976538942</v>
      </c>
      <c r="L1747">
        <v>0.93985569403098035</v>
      </c>
      <c r="M1747">
        <v>0.92180900381168229</v>
      </c>
      <c r="N1747">
        <v>0.92347649137838705</v>
      </c>
      <c r="O1747">
        <v>0.89372937293729371</v>
      </c>
      <c r="P1747">
        <v>0.8563330380868025</v>
      </c>
      <c r="Q1747">
        <v>0.85912132129322039</v>
      </c>
      <c r="R1747">
        <v>0.87545481159299066</v>
      </c>
    </row>
    <row r="1748" spans="4:19" x14ac:dyDescent="0.25">
      <c r="D1748" t="s">
        <v>66</v>
      </c>
      <c r="E1748">
        <v>2015</v>
      </c>
      <c r="F1748" t="s">
        <v>18</v>
      </c>
      <c r="G1748">
        <v>0.84821187973976975</v>
      </c>
      <c r="H1748">
        <v>0.85733411430005857</v>
      </c>
      <c r="I1748">
        <v>0.86554982817869419</v>
      </c>
      <c r="J1748">
        <v>0.9007289135716765</v>
      </c>
      <c r="K1748">
        <v>0.89945857833148979</v>
      </c>
      <c r="L1748">
        <v>0.94310557672696049</v>
      </c>
      <c r="M1748">
        <v>0.96305204441942582</v>
      </c>
    </row>
    <row r="1749" spans="4:19" x14ac:dyDescent="0.25">
      <c r="D1749" t="s">
        <v>66</v>
      </c>
      <c r="E1749">
        <v>2013</v>
      </c>
      <c r="F1749" t="s">
        <v>19</v>
      </c>
      <c r="S1749">
        <v>0.69437173367630678</v>
      </c>
    </row>
    <row r="1750" spans="4:19" x14ac:dyDescent="0.25">
      <c r="D1750" t="s">
        <v>66</v>
      </c>
      <c r="E1750">
        <v>2014</v>
      </c>
      <c r="F1750" t="s">
        <v>19</v>
      </c>
      <c r="S1750">
        <v>0.95914635123853309</v>
      </c>
    </row>
    <row r="1751" spans="4:19" x14ac:dyDescent="0.25">
      <c r="D1751" t="s">
        <v>66</v>
      </c>
      <c r="E1751">
        <v>2015</v>
      </c>
      <c r="F1751" t="s">
        <v>19</v>
      </c>
      <c r="S1751">
        <v>0.93662307912570397</v>
      </c>
    </row>
    <row r="1752" spans="4:19" x14ac:dyDescent="0.25">
      <c r="D1752" t="s">
        <v>66</v>
      </c>
      <c r="E1752">
        <v>2013</v>
      </c>
      <c r="F1752" t="s">
        <v>20</v>
      </c>
      <c r="G1752">
        <v>0.75914441679973266</v>
      </c>
      <c r="H1752">
        <v>0.56315866054168662</v>
      </c>
      <c r="I1752">
        <v>0.51298299207397624</v>
      </c>
      <c r="J1752">
        <v>0.64081225424027233</v>
      </c>
      <c r="K1752">
        <v>0.50136002853830375</v>
      </c>
      <c r="L1752">
        <v>0.88552848155590791</v>
      </c>
      <c r="M1752">
        <v>0.99283791797819443</v>
      </c>
      <c r="N1752">
        <v>0.86604603745237962</v>
      </c>
      <c r="O1752">
        <v>0.7539328506163262</v>
      </c>
      <c r="P1752">
        <v>0.75169222860080542</v>
      </c>
      <c r="Q1752">
        <v>0.65536223531632865</v>
      </c>
      <c r="R1752">
        <v>0.80505870000954471</v>
      </c>
    </row>
    <row r="1753" spans="4:19" x14ac:dyDescent="0.25">
      <c r="D1753" t="s">
        <v>66</v>
      </c>
      <c r="E1753">
        <v>2014</v>
      </c>
      <c r="F1753" t="s">
        <v>20</v>
      </c>
      <c r="G1753">
        <v>0.97981469703977797</v>
      </c>
      <c r="H1753">
        <v>0.99588944871783758</v>
      </c>
      <c r="I1753">
        <v>0.90449986873195065</v>
      </c>
      <c r="J1753">
        <v>0.97920771756978653</v>
      </c>
      <c r="K1753">
        <v>0.90836874795684863</v>
      </c>
      <c r="L1753">
        <v>0.95028594861791504</v>
      </c>
      <c r="M1753">
        <v>0.98525191930785805</v>
      </c>
      <c r="N1753">
        <v>0.89961553910598502</v>
      </c>
      <c r="O1753">
        <v>0.96220187293114667</v>
      </c>
      <c r="P1753">
        <v>0.9690346711711324</v>
      </c>
      <c r="Q1753">
        <v>0.95959732060363412</v>
      </c>
      <c r="R1753">
        <v>0.99383523088376824</v>
      </c>
    </row>
    <row r="1754" spans="4:19" x14ac:dyDescent="0.25">
      <c r="D1754" t="s">
        <v>66</v>
      </c>
      <c r="E1754">
        <v>2015</v>
      </c>
      <c r="F1754" t="s">
        <v>20</v>
      </c>
      <c r="G1754">
        <v>0.97169997570161581</v>
      </c>
      <c r="H1754">
        <v>0.93016032153822747</v>
      </c>
      <c r="I1754">
        <v>0.9271392408821979</v>
      </c>
      <c r="J1754">
        <v>0.945657800430039</v>
      </c>
      <c r="K1754">
        <v>0.77067900531078337</v>
      </c>
      <c r="L1754">
        <v>0.96916955503900337</v>
      </c>
      <c r="M1754">
        <v>0.99601746958718895</v>
      </c>
    </row>
    <row r="1755" spans="4:19" x14ac:dyDescent="0.25">
      <c r="D1755" t="s">
        <v>66</v>
      </c>
      <c r="E1755">
        <v>2013</v>
      </c>
      <c r="F1755" t="s">
        <v>21</v>
      </c>
      <c r="S1755">
        <v>0.85273762327453551</v>
      </c>
    </row>
    <row r="1756" spans="4:19" x14ac:dyDescent="0.25">
      <c r="D1756" t="s">
        <v>66</v>
      </c>
      <c r="E1756">
        <v>2014</v>
      </c>
      <c r="F1756" t="s">
        <v>21</v>
      </c>
      <c r="S1756">
        <v>0.99276748356246269</v>
      </c>
    </row>
    <row r="1757" spans="4:19" x14ac:dyDescent="0.25">
      <c r="D1757" t="s">
        <v>66</v>
      </c>
      <c r="E1757">
        <v>2015</v>
      </c>
      <c r="F1757" t="s">
        <v>21</v>
      </c>
      <c r="S1757">
        <v>0.98118822845436171</v>
      </c>
    </row>
    <row r="1758" spans="4:19" x14ac:dyDescent="0.25">
      <c r="D1758" t="s">
        <v>66</v>
      </c>
      <c r="E1758">
        <v>2013</v>
      </c>
      <c r="F1758" t="s">
        <v>22</v>
      </c>
      <c r="G1758">
        <v>0.76916372310656456</v>
      </c>
      <c r="H1758">
        <v>0.72116509637292936</v>
      </c>
      <c r="I1758">
        <v>0.68423655063291144</v>
      </c>
      <c r="J1758">
        <v>0.85744296252870189</v>
      </c>
      <c r="K1758">
        <v>0.9727195780975324</v>
      </c>
      <c r="L1758">
        <v>0.99350223872447307</v>
      </c>
      <c r="M1758">
        <v>0.99871906543013778</v>
      </c>
      <c r="N1758">
        <v>0.98708412226129294</v>
      </c>
      <c r="O1758">
        <v>0.7897922914584028</v>
      </c>
      <c r="P1758">
        <v>0.84200312396459509</v>
      </c>
      <c r="Q1758">
        <v>0.72649709379832561</v>
      </c>
      <c r="R1758">
        <v>0.70432467775079399</v>
      </c>
    </row>
    <row r="1759" spans="4:19" x14ac:dyDescent="0.25">
      <c r="D1759" t="s">
        <v>66</v>
      </c>
      <c r="E1759">
        <v>2014</v>
      </c>
      <c r="F1759" t="s">
        <v>22</v>
      </c>
      <c r="G1759">
        <v>0.997393417274133</v>
      </c>
      <c r="H1759">
        <v>0.99890871391935399</v>
      </c>
      <c r="I1759">
        <v>0.98844711177794453</v>
      </c>
      <c r="J1759">
        <v>0.99061613109951474</v>
      </c>
      <c r="K1759">
        <v>0.981004866037404</v>
      </c>
      <c r="L1759">
        <v>0.99753785547211626</v>
      </c>
      <c r="M1759">
        <v>0.99498139167700461</v>
      </c>
      <c r="N1759">
        <v>0.97552657973921764</v>
      </c>
      <c r="O1759">
        <v>0.98231594143122292</v>
      </c>
      <c r="P1759">
        <v>0.98599682402194311</v>
      </c>
      <c r="Q1759">
        <v>0.98453392052007971</v>
      </c>
      <c r="R1759">
        <v>0.99450675211718931</v>
      </c>
    </row>
    <row r="1760" spans="4:19" x14ac:dyDescent="0.25">
      <c r="D1760" t="s">
        <v>66</v>
      </c>
      <c r="E1760">
        <v>2015</v>
      </c>
      <c r="F1760" t="s">
        <v>22</v>
      </c>
      <c r="G1760">
        <v>0.98990853265770606</v>
      </c>
      <c r="H1760">
        <v>0.97250947066653015</v>
      </c>
      <c r="I1760">
        <v>0.97695591566474993</v>
      </c>
      <c r="J1760">
        <v>0.98010384597711708</v>
      </c>
      <c r="K1760">
        <v>0.94472885032537957</v>
      </c>
      <c r="L1760">
        <v>0.98818845968765034</v>
      </c>
      <c r="M1760">
        <v>0.99658687943262414</v>
      </c>
    </row>
    <row r="1761" spans="4:19" x14ac:dyDescent="0.25">
      <c r="D1761" t="s">
        <v>66</v>
      </c>
      <c r="E1761">
        <v>2013</v>
      </c>
      <c r="F1761" t="s">
        <v>23</v>
      </c>
      <c r="S1761">
        <v>230077</v>
      </c>
    </row>
    <row r="1762" spans="4:19" x14ac:dyDescent="0.25">
      <c r="D1762" t="s">
        <v>66</v>
      </c>
      <c r="E1762">
        <v>2014</v>
      </c>
      <c r="F1762" t="s">
        <v>23</v>
      </c>
      <c r="S1762">
        <v>201302</v>
      </c>
    </row>
    <row r="1763" spans="4:19" x14ac:dyDescent="0.25">
      <c r="D1763" t="s">
        <v>66</v>
      </c>
      <c r="E1763">
        <v>2015</v>
      </c>
      <c r="F1763" t="s">
        <v>23</v>
      </c>
      <c r="S1763">
        <v>191202</v>
      </c>
    </row>
    <row r="1764" spans="4:19" x14ac:dyDescent="0.25">
      <c r="D1764" t="s">
        <v>66</v>
      </c>
      <c r="E1764">
        <v>2013</v>
      </c>
      <c r="F1764" t="s">
        <v>24</v>
      </c>
      <c r="G1764">
        <v>42399</v>
      </c>
      <c r="H1764">
        <v>43250</v>
      </c>
      <c r="I1764">
        <v>39182</v>
      </c>
      <c r="J1764">
        <v>30590</v>
      </c>
      <c r="K1764">
        <v>27644</v>
      </c>
      <c r="L1764">
        <v>22348</v>
      </c>
      <c r="M1764">
        <v>24664</v>
      </c>
      <c r="N1764">
        <v>26504</v>
      </c>
      <c r="O1764">
        <v>31574</v>
      </c>
      <c r="P1764">
        <v>29019</v>
      </c>
      <c r="Q1764">
        <v>29574</v>
      </c>
      <c r="R1764">
        <v>26467</v>
      </c>
    </row>
    <row r="1765" spans="4:19" x14ac:dyDescent="0.25">
      <c r="D1765" t="s">
        <v>66</v>
      </c>
      <c r="E1765">
        <v>2014</v>
      </c>
      <c r="F1765" t="s">
        <v>24</v>
      </c>
      <c r="G1765">
        <v>35737</v>
      </c>
      <c r="H1765">
        <v>33705</v>
      </c>
      <c r="I1765">
        <v>29405</v>
      </c>
      <c r="J1765">
        <v>25654</v>
      </c>
      <c r="K1765">
        <v>24835</v>
      </c>
      <c r="L1765">
        <v>24738</v>
      </c>
      <c r="M1765">
        <v>27228</v>
      </c>
      <c r="N1765">
        <v>25546</v>
      </c>
      <c r="O1765">
        <v>35063</v>
      </c>
      <c r="P1765">
        <v>31107</v>
      </c>
      <c r="Q1765">
        <v>25923</v>
      </c>
      <c r="R1765">
        <v>28813</v>
      </c>
    </row>
    <row r="1766" spans="4:19" x14ac:dyDescent="0.25">
      <c r="D1766" t="s">
        <v>66</v>
      </c>
      <c r="E1766">
        <v>2015</v>
      </c>
      <c r="F1766" t="s">
        <v>24</v>
      </c>
      <c r="G1766">
        <v>28797</v>
      </c>
      <c r="H1766">
        <v>29492</v>
      </c>
      <c r="I1766">
        <v>28296</v>
      </c>
      <c r="J1766">
        <v>26010</v>
      </c>
      <c r="K1766">
        <v>22838</v>
      </c>
      <c r="L1766">
        <v>27004</v>
      </c>
      <c r="M1766">
        <v>28765</v>
      </c>
    </row>
    <row r="1767" spans="4:19" x14ac:dyDescent="0.25">
      <c r="D1767" t="s">
        <v>66</v>
      </c>
      <c r="E1767">
        <v>2013</v>
      </c>
      <c r="F1767" t="s">
        <v>25</v>
      </c>
      <c r="S1767">
        <v>525490</v>
      </c>
    </row>
    <row r="1768" spans="4:19" x14ac:dyDescent="0.25">
      <c r="D1768" t="s">
        <v>66</v>
      </c>
      <c r="E1768">
        <v>2014</v>
      </c>
      <c r="F1768" t="s">
        <v>25</v>
      </c>
      <c r="S1768">
        <v>572700</v>
      </c>
    </row>
    <row r="1769" spans="4:19" x14ac:dyDescent="0.25">
      <c r="D1769" t="s">
        <v>66</v>
      </c>
      <c r="E1769">
        <v>2015</v>
      </c>
      <c r="F1769" t="s">
        <v>25</v>
      </c>
      <c r="S1769">
        <v>608798</v>
      </c>
    </row>
    <row r="1770" spans="4:19" x14ac:dyDescent="0.25">
      <c r="D1770" t="s">
        <v>66</v>
      </c>
      <c r="E1770">
        <v>2013</v>
      </c>
      <c r="F1770" t="s">
        <v>26</v>
      </c>
      <c r="G1770">
        <v>94870</v>
      </c>
      <c r="H1770">
        <v>76880</v>
      </c>
      <c r="I1770">
        <v>73120</v>
      </c>
      <c r="J1770">
        <v>67533</v>
      </c>
      <c r="K1770">
        <v>61187</v>
      </c>
      <c r="L1770">
        <v>71449</v>
      </c>
      <c r="M1770">
        <v>80451</v>
      </c>
      <c r="N1770">
        <v>75625</v>
      </c>
      <c r="O1770">
        <v>90032</v>
      </c>
      <c r="P1770">
        <v>96267</v>
      </c>
      <c r="Q1770">
        <v>90118</v>
      </c>
      <c r="R1770">
        <v>84448</v>
      </c>
    </row>
    <row r="1771" spans="4:19" x14ac:dyDescent="0.25">
      <c r="D1771" t="s">
        <v>66</v>
      </c>
      <c r="E1771">
        <v>2014</v>
      </c>
      <c r="F1771" t="s">
        <v>26</v>
      </c>
      <c r="G1771">
        <v>105355</v>
      </c>
      <c r="H1771">
        <v>88047</v>
      </c>
      <c r="I1771">
        <v>72996</v>
      </c>
      <c r="J1771">
        <v>77866</v>
      </c>
      <c r="K1771">
        <v>70037</v>
      </c>
      <c r="L1771">
        <v>72875</v>
      </c>
      <c r="M1771">
        <v>85524</v>
      </c>
      <c r="N1771">
        <v>82615</v>
      </c>
      <c r="O1771">
        <v>94473</v>
      </c>
      <c r="P1771">
        <v>101758</v>
      </c>
      <c r="Q1771">
        <v>89412</v>
      </c>
      <c r="R1771">
        <v>100156</v>
      </c>
    </row>
    <row r="1772" spans="4:19" x14ac:dyDescent="0.25">
      <c r="D1772" t="s">
        <v>66</v>
      </c>
      <c r="E1772">
        <v>2015</v>
      </c>
      <c r="F1772" t="s">
        <v>26</v>
      </c>
      <c r="G1772">
        <v>102431</v>
      </c>
      <c r="H1772">
        <v>83035</v>
      </c>
      <c r="I1772">
        <v>86605</v>
      </c>
      <c r="J1772">
        <v>83615</v>
      </c>
      <c r="K1772">
        <v>70140</v>
      </c>
      <c r="L1772">
        <v>88691</v>
      </c>
      <c r="M1772">
        <v>94281</v>
      </c>
    </row>
    <row r="1773" spans="4:19" x14ac:dyDescent="0.25">
      <c r="D1773" t="s">
        <v>66</v>
      </c>
      <c r="E1773">
        <v>2013</v>
      </c>
      <c r="F1773" t="s">
        <v>27</v>
      </c>
      <c r="S1773">
        <v>924545</v>
      </c>
    </row>
    <row r="1774" spans="4:19" x14ac:dyDescent="0.25">
      <c r="D1774" t="s">
        <v>66</v>
      </c>
      <c r="E1774">
        <v>2014</v>
      </c>
      <c r="F1774" t="s">
        <v>27</v>
      </c>
      <c r="S1774">
        <v>980468</v>
      </c>
    </row>
    <row r="1775" spans="4:19" x14ac:dyDescent="0.25">
      <c r="D1775" t="s">
        <v>66</v>
      </c>
      <c r="E1775">
        <v>2015</v>
      </c>
      <c r="F1775" t="s">
        <v>27</v>
      </c>
      <c r="S1775">
        <v>1040791</v>
      </c>
    </row>
    <row r="1776" spans="4:19" x14ac:dyDescent="0.25">
      <c r="D1776" t="s">
        <v>66</v>
      </c>
      <c r="E1776">
        <v>2013</v>
      </c>
      <c r="F1776" t="s">
        <v>28</v>
      </c>
      <c r="G1776">
        <v>173022</v>
      </c>
      <c r="H1776">
        <v>136588</v>
      </c>
      <c r="I1776">
        <v>135085</v>
      </c>
      <c r="J1776">
        <v>117201</v>
      </c>
      <c r="K1776">
        <v>105627</v>
      </c>
      <c r="L1776">
        <v>124144</v>
      </c>
      <c r="M1776">
        <v>132878</v>
      </c>
      <c r="N1776">
        <v>121808</v>
      </c>
      <c r="O1776">
        <v>150050</v>
      </c>
      <c r="P1776">
        <v>165612</v>
      </c>
      <c r="Q1776">
        <v>147788</v>
      </c>
      <c r="R1776">
        <v>141243</v>
      </c>
    </row>
    <row r="1777" spans="4:19" x14ac:dyDescent="0.25">
      <c r="D1777" t="s">
        <v>66</v>
      </c>
      <c r="E1777">
        <v>2014</v>
      </c>
      <c r="F1777" t="s">
        <v>28</v>
      </c>
      <c r="G1777">
        <v>182525</v>
      </c>
      <c r="H1777">
        <v>157150</v>
      </c>
      <c r="I1777">
        <v>128160</v>
      </c>
      <c r="J1777">
        <v>135314</v>
      </c>
      <c r="K1777">
        <v>113671</v>
      </c>
      <c r="L1777">
        <v>123640</v>
      </c>
      <c r="M1777">
        <v>140008</v>
      </c>
      <c r="N1777">
        <v>128529</v>
      </c>
      <c r="O1777">
        <v>154817</v>
      </c>
      <c r="P1777">
        <v>174844</v>
      </c>
      <c r="Q1777">
        <v>146786</v>
      </c>
      <c r="R1777">
        <v>168836</v>
      </c>
    </row>
    <row r="1778" spans="4:19" x14ac:dyDescent="0.25">
      <c r="D1778" t="s">
        <v>66</v>
      </c>
      <c r="E1778">
        <v>2015</v>
      </c>
      <c r="F1778" t="s">
        <v>28</v>
      </c>
      <c r="G1778">
        <v>171814</v>
      </c>
      <c r="H1778">
        <v>145585</v>
      </c>
      <c r="I1778">
        <v>153154</v>
      </c>
      <c r="J1778">
        <v>144330</v>
      </c>
      <c r="K1778">
        <v>117502</v>
      </c>
      <c r="L1778">
        <v>148676</v>
      </c>
      <c r="M1778">
        <v>159730</v>
      </c>
    </row>
    <row r="1779" spans="4:19" x14ac:dyDescent="0.25">
      <c r="D1779" t="s">
        <v>66</v>
      </c>
      <c r="E1779">
        <v>2013</v>
      </c>
      <c r="F1779" t="s">
        <v>29</v>
      </c>
      <c r="S1779">
        <v>162129</v>
      </c>
    </row>
    <row r="1780" spans="4:19" x14ac:dyDescent="0.25">
      <c r="D1780" t="s">
        <v>66</v>
      </c>
      <c r="E1780">
        <v>2014</v>
      </c>
      <c r="F1780" t="s">
        <v>29</v>
      </c>
      <c r="S1780">
        <v>152145</v>
      </c>
    </row>
    <row r="1781" spans="4:19" x14ac:dyDescent="0.25">
      <c r="D1781" t="s">
        <v>66</v>
      </c>
      <c r="E1781">
        <v>2015</v>
      </c>
      <c r="F1781" t="s">
        <v>29</v>
      </c>
      <c r="S1781">
        <v>169634</v>
      </c>
    </row>
    <row r="1782" spans="4:19" x14ac:dyDescent="0.25">
      <c r="D1782" t="s">
        <v>66</v>
      </c>
      <c r="E1782">
        <v>2013</v>
      </c>
      <c r="F1782" t="s">
        <v>30</v>
      </c>
      <c r="G1782">
        <v>30802</v>
      </c>
      <c r="H1782">
        <v>25457</v>
      </c>
      <c r="I1782">
        <v>24016</v>
      </c>
      <c r="J1782">
        <v>20725</v>
      </c>
      <c r="K1782">
        <v>20207</v>
      </c>
      <c r="L1782">
        <v>19412</v>
      </c>
      <c r="M1782">
        <v>21510</v>
      </c>
      <c r="N1782">
        <v>17149</v>
      </c>
      <c r="O1782">
        <v>26592</v>
      </c>
      <c r="P1782">
        <v>25216</v>
      </c>
      <c r="Q1782">
        <v>21816</v>
      </c>
      <c r="R1782">
        <v>20235</v>
      </c>
    </row>
    <row r="1783" spans="4:19" x14ac:dyDescent="0.25">
      <c r="D1783" t="s">
        <v>66</v>
      </c>
      <c r="E1783">
        <v>2014</v>
      </c>
      <c r="F1783" t="s">
        <v>30</v>
      </c>
      <c r="G1783">
        <v>27916</v>
      </c>
      <c r="H1783">
        <v>25104</v>
      </c>
      <c r="I1783">
        <v>20330</v>
      </c>
      <c r="J1783">
        <v>21319</v>
      </c>
      <c r="K1783">
        <v>18243</v>
      </c>
      <c r="L1783">
        <v>19819</v>
      </c>
      <c r="M1783">
        <v>19414</v>
      </c>
      <c r="N1783">
        <v>18674</v>
      </c>
      <c r="O1783">
        <v>27270</v>
      </c>
      <c r="P1783">
        <v>22580</v>
      </c>
      <c r="Q1783">
        <v>21373</v>
      </c>
      <c r="R1783">
        <v>23911</v>
      </c>
    </row>
    <row r="1784" spans="4:19" x14ac:dyDescent="0.25">
      <c r="D1784" t="s">
        <v>66</v>
      </c>
      <c r="E1784">
        <v>2015</v>
      </c>
      <c r="F1784" t="s">
        <v>30</v>
      </c>
      <c r="G1784">
        <v>25977</v>
      </c>
      <c r="H1784">
        <v>23902</v>
      </c>
      <c r="I1784">
        <v>25608</v>
      </c>
      <c r="J1784">
        <v>20167</v>
      </c>
      <c r="K1784">
        <v>17177</v>
      </c>
      <c r="L1784">
        <v>37262</v>
      </c>
      <c r="M1784">
        <v>19541</v>
      </c>
    </row>
    <row r="1785" spans="4:19" x14ac:dyDescent="0.25">
      <c r="D1785" t="s">
        <v>66</v>
      </c>
      <c r="E1785">
        <v>2013</v>
      </c>
      <c r="F1785" t="s">
        <v>31</v>
      </c>
      <c r="S1785">
        <v>0.85374461593292683</v>
      </c>
    </row>
    <row r="1786" spans="4:19" x14ac:dyDescent="0.25">
      <c r="D1786" t="s">
        <v>66</v>
      </c>
      <c r="E1786">
        <v>2014</v>
      </c>
      <c r="F1786" t="s">
        <v>31</v>
      </c>
      <c r="S1786">
        <v>0.93287697091931521</v>
      </c>
    </row>
    <row r="1787" spans="4:19" x14ac:dyDescent="0.25">
      <c r="D1787" t="s">
        <v>66</v>
      </c>
      <c r="E1787">
        <v>2015</v>
      </c>
      <c r="F1787" t="s">
        <v>31</v>
      </c>
      <c r="S1787">
        <v>0.91150720180751243</v>
      </c>
    </row>
    <row r="1788" spans="4:19" x14ac:dyDescent="0.25">
      <c r="D1788" t="s">
        <v>66</v>
      </c>
      <c r="E1788">
        <v>2013</v>
      </c>
      <c r="F1788" t="s">
        <v>32</v>
      </c>
      <c r="G1788">
        <v>0.8563881223613764</v>
      </c>
      <c r="H1788">
        <v>0.82450867052023125</v>
      </c>
      <c r="I1788">
        <v>0.85276402429687104</v>
      </c>
      <c r="J1788">
        <v>0.82621771820856493</v>
      </c>
      <c r="K1788">
        <v>0.83743307770221387</v>
      </c>
      <c r="L1788">
        <v>0.86710220153928763</v>
      </c>
      <c r="M1788">
        <v>0.94234511839117741</v>
      </c>
      <c r="N1788">
        <v>0.91876697856927259</v>
      </c>
      <c r="O1788">
        <v>0.9359282954329512</v>
      </c>
      <c r="P1788">
        <v>0.95554636617388611</v>
      </c>
      <c r="Q1788">
        <v>0.94390342868736055</v>
      </c>
      <c r="R1788">
        <v>0.95303585597158724</v>
      </c>
    </row>
    <row r="1789" spans="4:19" x14ac:dyDescent="0.25">
      <c r="D1789" t="s">
        <v>66</v>
      </c>
      <c r="E1789">
        <v>2014</v>
      </c>
      <c r="F1789" t="s">
        <v>32</v>
      </c>
      <c r="G1789">
        <v>0.94870862131684253</v>
      </c>
      <c r="H1789">
        <v>0.93363002521881022</v>
      </c>
      <c r="I1789">
        <v>0.93800374086039784</v>
      </c>
      <c r="J1789">
        <v>0.95657597255788573</v>
      </c>
      <c r="K1789">
        <v>0.94713106502919264</v>
      </c>
      <c r="L1789">
        <v>0.91337214002748812</v>
      </c>
      <c r="M1789">
        <v>0.88801968561774647</v>
      </c>
      <c r="N1789">
        <v>0.89916229546700066</v>
      </c>
      <c r="O1789">
        <v>0.92527735789863963</v>
      </c>
      <c r="P1789">
        <v>0.91947150159128166</v>
      </c>
      <c r="Q1789">
        <v>0.92257840527716695</v>
      </c>
      <c r="R1789">
        <v>0.92173671606566476</v>
      </c>
    </row>
    <row r="1790" spans="4:19" x14ac:dyDescent="0.25">
      <c r="D1790" t="s">
        <v>66</v>
      </c>
      <c r="E1790">
        <v>2015</v>
      </c>
      <c r="F1790" t="s">
        <v>32</v>
      </c>
      <c r="G1790">
        <v>0.91641490433031214</v>
      </c>
      <c r="H1790">
        <v>0.91262037162620369</v>
      </c>
      <c r="I1790">
        <v>0.90853830930166812</v>
      </c>
      <c r="J1790">
        <v>0.92402921953094963</v>
      </c>
      <c r="K1790">
        <v>0.91360889745161578</v>
      </c>
      <c r="L1790">
        <v>0.90793956450896163</v>
      </c>
      <c r="M1790">
        <v>0.89873109681905095</v>
      </c>
    </row>
    <row r="1791" spans="4:19" x14ac:dyDescent="0.25">
      <c r="D1791" t="s">
        <v>66</v>
      </c>
      <c r="E1791">
        <v>2013</v>
      </c>
      <c r="F1791" t="s">
        <v>33</v>
      </c>
      <c r="S1791">
        <v>0.86152180823188806</v>
      </c>
    </row>
    <row r="1792" spans="4:19" x14ac:dyDescent="0.25">
      <c r="D1792" t="s">
        <v>66</v>
      </c>
      <c r="E1792">
        <v>2014</v>
      </c>
      <c r="F1792" t="s">
        <v>33</v>
      </c>
      <c r="S1792">
        <v>0.90941818501892435</v>
      </c>
    </row>
    <row r="1793" spans="4:19" x14ac:dyDescent="0.25">
      <c r="D1793" t="s">
        <v>66</v>
      </c>
      <c r="E1793">
        <v>2015</v>
      </c>
      <c r="F1793" t="s">
        <v>33</v>
      </c>
      <c r="S1793">
        <v>0.91276575460005716</v>
      </c>
    </row>
    <row r="1794" spans="4:19" x14ac:dyDescent="0.25">
      <c r="D1794" t="s">
        <v>66</v>
      </c>
      <c r="E1794">
        <v>2013</v>
      </c>
      <c r="F1794" t="s">
        <v>34</v>
      </c>
      <c r="G1794">
        <v>0.83491300042438821</v>
      </c>
      <c r="H1794">
        <v>0.78967416482215469</v>
      </c>
      <c r="I1794">
        <v>0.87721796925998452</v>
      </c>
      <c r="J1794">
        <v>0.85859765194266069</v>
      </c>
      <c r="K1794">
        <v>0.86843191196698766</v>
      </c>
      <c r="L1794">
        <v>0.91326935565336609</v>
      </c>
      <c r="M1794">
        <v>0.92264900662251659</v>
      </c>
      <c r="N1794">
        <v>0.84914517937219736</v>
      </c>
      <c r="O1794">
        <v>0.88579009766837913</v>
      </c>
      <c r="P1794">
        <v>0.92872534394165418</v>
      </c>
      <c r="Q1794">
        <v>0.89468672633784041</v>
      </c>
      <c r="R1794">
        <v>0.92398948205222287</v>
      </c>
    </row>
    <row r="1795" spans="4:19" x14ac:dyDescent="0.25">
      <c r="D1795" t="s">
        <v>66</v>
      </c>
      <c r="E1795">
        <v>2014</v>
      </c>
      <c r="F1795" t="s">
        <v>34</v>
      </c>
      <c r="G1795">
        <v>0.91551438053097345</v>
      </c>
      <c r="H1795">
        <v>0.88784156430183003</v>
      </c>
      <c r="I1795">
        <v>0.89220671712393562</v>
      </c>
      <c r="J1795">
        <v>0.92926085852171703</v>
      </c>
      <c r="K1795">
        <v>0.90479988399071931</v>
      </c>
      <c r="L1795">
        <v>0.91766556787533715</v>
      </c>
      <c r="M1795">
        <v>0.92834250965568244</v>
      </c>
      <c r="N1795">
        <v>0.93915796679787777</v>
      </c>
      <c r="O1795">
        <v>0.9240337315530569</v>
      </c>
      <c r="P1795">
        <v>0.92219306333782536</v>
      </c>
      <c r="Q1795">
        <v>0.92819853827001852</v>
      </c>
      <c r="R1795">
        <v>0.9284522168202598</v>
      </c>
    </row>
    <row r="1796" spans="4:19" x14ac:dyDescent="0.25">
      <c r="D1796" t="s">
        <v>66</v>
      </c>
      <c r="E1796">
        <v>2015</v>
      </c>
      <c r="F1796" t="s">
        <v>34</v>
      </c>
      <c r="G1796">
        <v>0.91048191983260318</v>
      </c>
      <c r="H1796">
        <v>0.90637088974854929</v>
      </c>
      <c r="I1796">
        <v>0.91668206170330691</v>
      </c>
      <c r="J1796">
        <v>0.93268270191347113</v>
      </c>
      <c r="K1796">
        <v>0.91379168382050224</v>
      </c>
      <c r="L1796">
        <v>0.91692150866462796</v>
      </c>
      <c r="M1796">
        <v>0.89649122807017545</v>
      </c>
    </row>
    <row r="1797" spans="4:19" x14ac:dyDescent="0.25">
      <c r="D1797" t="s">
        <v>67</v>
      </c>
      <c r="E1797">
        <v>2013</v>
      </c>
      <c r="F1797" t="s">
        <v>17</v>
      </c>
      <c r="S1797">
        <v>0.87439488758650374</v>
      </c>
    </row>
    <row r="1798" spans="4:19" x14ac:dyDescent="0.25">
      <c r="D1798" t="s">
        <v>67</v>
      </c>
      <c r="E1798">
        <v>2014</v>
      </c>
      <c r="F1798" t="s">
        <v>17</v>
      </c>
      <c r="S1798">
        <v>0.85946956494185489</v>
      </c>
    </row>
    <row r="1799" spans="4:19" x14ac:dyDescent="0.25">
      <c r="D1799" t="s">
        <v>67</v>
      </c>
      <c r="E1799">
        <v>2015</v>
      </c>
      <c r="F1799" t="s">
        <v>17</v>
      </c>
      <c r="S1799">
        <v>0.89746697795152219</v>
      </c>
    </row>
    <row r="1800" spans="4:19" x14ac:dyDescent="0.25">
      <c r="D1800" t="s">
        <v>67</v>
      </c>
      <c r="E1800">
        <v>2013</v>
      </c>
      <c r="F1800" t="s">
        <v>18</v>
      </c>
      <c r="G1800">
        <v>0.78778243008374149</v>
      </c>
      <c r="H1800">
        <v>0.8264730818143281</v>
      </c>
      <c r="I1800">
        <v>0.90261400927916713</v>
      </c>
      <c r="J1800">
        <v>0.89166545242605277</v>
      </c>
      <c r="K1800">
        <v>0.89036862629681401</v>
      </c>
      <c r="L1800">
        <v>0.9180573047858942</v>
      </c>
      <c r="M1800">
        <v>0.93379224030037544</v>
      </c>
      <c r="N1800">
        <v>0.86356692763032272</v>
      </c>
      <c r="O1800">
        <v>0.85664020947549302</v>
      </c>
      <c r="P1800">
        <v>0.86441135343326059</v>
      </c>
      <c r="Q1800">
        <v>0.80472789361036967</v>
      </c>
      <c r="R1800">
        <v>0.84646728483740363</v>
      </c>
    </row>
    <row r="1801" spans="4:19" x14ac:dyDescent="0.25">
      <c r="D1801" t="s">
        <v>67</v>
      </c>
      <c r="E1801">
        <v>2014</v>
      </c>
      <c r="F1801" t="s">
        <v>18</v>
      </c>
      <c r="G1801">
        <v>0.80052745145049153</v>
      </c>
      <c r="H1801">
        <v>0.82234008059660013</v>
      </c>
      <c r="I1801">
        <v>0.86439244431914297</v>
      </c>
      <c r="J1801">
        <v>0.9216451906807237</v>
      </c>
      <c r="K1801">
        <v>0.82234306373061639</v>
      </c>
      <c r="L1801">
        <v>0.89189451231336048</v>
      </c>
      <c r="M1801">
        <v>0.90805817203188077</v>
      </c>
      <c r="N1801">
        <v>0.81728760776271314</v>
      </c>
      <c r="O1801">
        <v>0.82780850890750834</v>
      </c>
      <c r="P1801">
        <v>0.80943183647191375</v>
      </c>
      <c r="Q1801">
        <v>0.78927392310291944</v>
      </c>
      <c r="R1801">
        <v>0.85207960353908829</v>
      </c>
    </row>
    <row r="1802" spans="4:19" x14ac:dyDescent="0.25">
      <c r="D1802" t="s">
        <v>67</v>
      </c>
      <c r="E1802">
        <v>2015</v>
      </c>
      <c r="F1802" t="s">
        <v>18</v>
      </c>
      <c r="G1802">
        <v>0.80379005397955672</v>
      </c>
      <c r="H1802">
        <v>0.88203224683911374</v>
      </c>
      <c r="I1802">
        <v>0.93239170527641579</v>
      </c>
      <c r="J1802">
        <v>0.92248292248292252</v>
      </c>
      <c r="K1802">
        <v>0.90680498780529695</v>
      </c>
      <c r="L1802">
        <v>0.92487702722446796</v>
      </c>
      <c r="M1802">
        <v>0.92430824159476344</v>
      </c>
    </row>
    <row r="1803" spans="4:19" x14ac:dyDescent="0.25">
      <c r="D1803" t="s">
        <v>67</v>
      </c>
      <c r="E1803">
        <v>2013</v>
      </c>
      <c r="F1803" t="s">
        <v>19</v>
      </c>
      <c r="S1803">
        <v>0.7038921807447468</v>
      </c>
    </row>
    <row r="1804" spans="4:19" x14ac:dyDescent="0.25">
      <c r="D1804" t="s">
        <v>67</v>
      </c>
      <c r="E1804">
        <v>2014</v>
      </c>
      <c r="F1804" t="s">
        <v>19</v>
      </c>
      <c r="S1804">
        <v>0.98479815806177129</v>
      </c>
    </row>
    <row r="1805" spans="4:19" x14ac:dyDescent="0.25">
      <c r="D1805" t="s">
        <v>67</v>
      </c>
      <c r="E1805">
        <v>2015</v>
      </c>
      <c r="F1805" t="s">
        <v>19</v>
      </c>
      <c r="S1805">
        <v>0.98473793650274311</v>
      </c>
    </row>
    <row r="1806" spans="4:19" x14ac:dyDescent="0.25">
      <c r="D1806" t="s">
        <v>67</v>
      </c>
      <c r="E1806">
        <v>2013</v>
      </c>
      <c r="F1806" t="s">
        <v>20</v>
      </c>
      <c r="G1806">
        <v>0.61377588224321256</v>
      </c>
      <c r="H1806">
        <v>0.71024130287473153</v>
      </c>
      <c r="I1806">
        <v>0.65315015974440893</v>
      </c>
      <c r="J1806">
        <v>0.56846701047114101</v>
      </c>
      <c r="K1806">
        <v>0.51175201380897584</v>
      </c>
      <c r="L1806">
        <v>0.86610017945014472</v>
      </c>
      <c r="M1806">
        <v>0.98700639192784523</v>
      </c>
      <c r="N1806">
        <v>0.9969168891411434</v>
      </c>
      <c r="O1806">
        <v>0.97541338124230625</v>
      </c>
      <c r="P1806">
        <v>0.82242230297770791</v>
      </c>
      <c r="Q1806">
        <v>0.62368614733549532</v>
      </c>
      <c r="R1806">
        <v>0.76121597188191759</v>
      </c>
    </row>
    <row r="1807" spans="4:19" x14ac:dyDescent="0.25">
      <c r="D1807" t="s">
        <v>67</v>
      </c>
      <c r="E1807">
        <v>2014</v>
      </c>
      <c r="F1807" t="s">
        <v>20</v>
      </c>
      <c r="G1807">
        <v>0.92686335124642782</v>
      </c>
      <c r="H1807">
        <v>0.99899414582224588</v>
      </c>
      <c r="I1807">
        <v>0.99872100254626095</v>
      </c>
      <c r="J1807">
        <v>0.99881623350235871</v>
      </c>
      <c r="K1807">
        <v>0.99380859181637482</v>
      </c>
      <c r="L1807">
        <v>0.99860597767006432</v>
      </c>
      <c r="M1807">
        <v>0.99589171626286765</v>
      </c>
      <c r="N1807">
        <v>0.99758740087121633</v>
      </c>
      <c r="O1807">
        <v>0.99951252931411561</v>
      </c>
      <c r="P1807">
        <v>0.99860059665105538</v>
      </c>
      <c r="Q1807">
        <v>0.99635395049988706</v>
      </c>
      <c r="R1807">
        <v>0.99216348946506838</v>
      </c>
    </row>
    <row r="1808" spans="4:19" x14ac:dyDescent="0.25">
      <c r="D1808" t="s">
        <v>67</v>
      </c>
      <c r="E1808">
        <v>2015</v>
      </c>
      <c r="F1808" t="s">
        <v>20</v>
      </c>
      <c r="G1808">
        <v>0.97360640915112395</v>
      </c>
      <c r="H1808">
        <v>0.9809046923064747</v>
      </c>
      <c r="I1808">
        <v>0.99275206346556788</v>
      </c>
      <c r="J1808">
        <v>0.98242988071662141</v>
      </c>
      <c r="K1808">
        <v>0.98957459624077504</v>
      </c>
      <c r="L1808">
        <v>0.98635746585995165</v>
      </c>
      <c r="M1808">
        <v>0.9882540400806813</v>
      </c>
    </row>
    <row r="1809" spans="4:19" x14ac:dyDescent="0.25">
      <c r="D1809" t="s">
        <v>67</v>
      </c>
      <c r="E1809">
        <v>2013</v>
      </c>
      <c r="F1809" t="s">
        <v>21</v>
      </c>
      <c r="S1809">
        <v>0.79762141751700133</v>
      </c>
    </row>
    <row r="1810" spans="4:19" x14ac:dyDescent="0.25">
      <c r="D1810" t="s">
        <v>67</v>
      </c>
      <c r="E1810">
        <v>2014</v>
      </c>
      <c r="F1810" t="s">
        <v>21</v>
      </c>
      <c r="S1810">
        <v>0.95261434113028731</v>
      </c>
    </row>
    <row r="1811" spans="4:19" x14ac:dyDescent="0.25">
      <c r="D1811" t="s">
        <v>67</v>
      </c>
      <c r="E1811">
        <v>2015</v>
      </c>
      <c r="F1811" t="s">
        <v>21</v>
      </c>
      <c r="S1811">
        <v>0.98244661310674186</v>
      </c>
    </row>
    <row r="1812" spans="4:19" x14ac:dyDescent="0.25">
      <c r="D1812" t="s">
        <v>67</v>
      </c>
      <c r="E1812">
        <v>2013</v>
      </c>
      <c r="F1812" t="s">
        <v>22</v>
      </c>
      <c r="G1812">
        <v>0.62751735367212269</v>
      </c>
      <c r="H1812">
        <v>0.73888988844908243</v>
      </c>
      <c r="I1812">
        <v>0.98933768791124344</v>
      </c>
      <c r="J1812">
        <v>0.8754134509371555</v>
      </c>
      <c r="K1812">
        <v>0.66335877862595416</v>
      </c>
      <c r="L1812">
        <v>0.69667989141783249</v>
      </c>
      <c r="M1812">
        <v>0.99594168636721825</v>
      </c>
      <c r="N1812">
        <v>0.98255613126079444</v>
      </c>
      <c r="O1812">
        <v>0.73234320397277908</v>
      </c>
      <c r="P1812">
        <v>0.68052018214092769</v>
      </c>
      <c r="Q1812">
        <v>0.66374388254486139</v>
      </c>
      <c r="R1812">
        <v>0.68382503375751869</v>
      </c>
    </row>
    <row r="1813" spans="4:19" x14ac:dyDescent="0.25">
      <c r="D1813" t="s">
        <v>67</v>
      </c>
      <c r="E1813">
        <v>2014</v>
      </c>
      <c r="F1813" t="s">
        <v>22</v>
      </c>
      <c r="G1813">
        <v>0.9333776180056268</v>
      </c>
      <c r="H1813">
        <v>0.96980907428668628</v>
      </c>
      <c r="I1813">
        <v>0.90366828656529241</v>
      </c>
      <c r="J1813">
        <v>0.9968864468864469</v>
      </c>
      <c r="K1813">
        <v>0.9818938493135877</v>
      </c>
      <c r="L1813">
        <v>0.88890685640362221</v>
      </c>
      <c r="M1813">
        <v>0.99559927517473468</v>
      </c>
      <c r="N1813">
        <v>0.99658127889060089</v>
      </c>
      <c r="O1813">
        <v>0.99126057188884409</v>
      </c>
      <c r="P1813">
        <v>0.96859997866363212</v>
      </c>
      <c r="Q1813">
        <v>0.94789475943173529</v>
      </c>
      <c r="R1813">
        <v>0.99474936992439089</v>
      </c>
    </row>
    <row r="1814" spans="4:19" x14ac:dyDescent="0.25">
      <c r="D1814" t="s">
        <v>67</v>
      </c>
      <c r="E1814">
        <v>2015</v>
      </c>
      <c r="F1814" t="s">
        <v>22</v>
      </c>
      <c r="G1814">
        <v>0.95762232644779299</v>
      </c>
      <c r="H1814">
        <v>0.97648055510731002</v>
      </c>
      <c r="I1814">
        <v>0.97822936792713222</v>
      </c>
      <c r="J1814">
        <v>0.98783743696232573</v>
      </c>
      <c r="K1814">
        <v>0.98927491821607516</v>
      </c>
      <c r="L1814">
        <v>0.99522821576763487</v>
      </c>
      <c r="M1814">
        <v>0.99542560199077801</v>
      </c>
    </row>
    <row r="1815" spans="4:19" x14ac:dyDescent="0.25">
      <c r="D1815" t="s">
        <v>67</v>
      </c>
      <c r="E1815">
        <v>2013</v>
      </c>
      <c r="F1815" t="s">
        <v>23</v>
      </c>
      <c r="S1815">
        <v>455487</v>
      </c>
    </row>
    <row r="1816" spans="4:19" x14ac:dyDescent="0.25">
      <c r="D1816" t="s">
        <v>67</v>
      </c>
      <c r="E1816">
        <v>2014</v>
      </c>
      <c r="F1816" t="s">
        <v>23</v>
      </c>
      <c r="S1816">
        <v>380161</v>
      </c>
    </row>
    <row r="1817" spans="4:19" x14ac:dyDescent="0.25">
      <c r="D1817" t="s">
        <v>67</v>
      </c>
      <c r="E1817">
        <v>2015</v>
      </c>
      <c r="F1817" t="s">
        <v>23</v>
      </c>
      <c r="S1817">
        <v>335566</v>
      </c>
    </row>
    <row r="1818" spans="4:19" x14ac:dyDescent="0.25">
      <c r="D1818" t="s">
        <v>67</v>
      </c>
      <c r="E1818">
        <v>2013</v>
      </c>
      <c r="F1818" t="s">
        <v>24</v>
      </c>
      <c r="G1818">
        <v>94165</v>
      </c>
      <c r="H1818">
        <v>91166</v>
      </c>
      <c r="I1818">
        <v>59856</v>
      </c>
      <c r="J1818">
        <v>53178</v>
      </c>
      <c r="K1818">
        <v>53829</v>
      </c>
      <c r="L1818">
        <v>47318</v>
      </c>
      <c r="M1818">
        <v>55975</v>
      </c>
      <c r="N1818">
        <v>54109</v>
      </c>
      <c r="O1818">
        <v>64126</v>
      </c>
      <c r="P1818">
        <v>67051</v>
      </c>
      <c r="Q1818">
        <v>67158</v>
      </c>
      <c r="R1818">
        <v>59578</v>
      </c>
    </row>
    <row r="1819" spans="4:19" x14ac:dyDescent="0.25">
      <c r="D1819" t="s">
        <v>67</v>
      </c>
      <c r="E1819">
        <v>2014</v>
      </c>
      <c r="F1819" t="s">
        <v>24</v>
      </c>
      <c r="G1819">
        <v>71710</v>
      </c>
      <c r="H1819">
        <v>66740</v>
      </c>
      <c r="I1819">
        <v>55324</v>
      </c>
      <c r="J1819">
        <v>42275</v>
      </c>
      <c r="K1819">
        <v>44773</v>
      </c>
      <c r="L1819">
        <v>46179</v>
      </c>
      <c r="M1819">
        <v>53160</v>
      </c>
      <c r="N1819">
        <v>49181</v>
      </c>
      <c r="O1819">
        <v>64951</v>
      </c>
      <c r="P1819">
        <v>57506</v>
      </c>
      <c r="Q1819">
        <v>52181</v>
      </c>
      <c r="R1819">
        <v>51067</v>
      </c>
    </row>
    <row r="1820" spans="4:19" x14ac:dyDescent="0.25">
      <c r="D1820" t="s">
        <v>67</v>
      </c>
      <c r="E1820">
        <v>2015</v>
      </c>
      <c r="F1820" t="s">
        <v>24</v>
      </c>
      <c r="G1820">
        <v>56472</v>
      </c>
      <c r="H1820">
        <v>52673</v>
      </c>
      <c r="I1820">
        <v>50924</v>
      </c>
      <c r="J1820">
        <v>43667</v>
      </c>
      <c r="K1820">
        <v>39406</v>
      </c>
      <c r="L1820">
        <v>44552</v>
      </c>
      <c r="M1820">
        <v>47872</v>
      </c>
    </row>
    <row r="1821" spans="4:19" x14ac:dyDescent="0.25">
      <c r="D1821" t="s">
        <v>67</v>
      </c>
      <c r="E1821">
        <v>2013</v>
      </c>
      <c r="F1821" t="s">
        <v>25</v>
      </c>
      <c r="S1821">
        <v>1013060</v>
      </c>
    </row>
    <row r="1822" spans="4:19" x14ac:dyDescent="0.25">
      <c r="D1822" t="s">
        <v>67</v>
      </c>
      <c r="E1822">
        <v>2014</v>
      </c>
      <c r="F1822" t="s">
        <v>25</v>
      </c>
      <c r="S1822">
        <v>1005495</v>
      </c>
    </row>
    <row r="1823" spans="4:19" x14ac:dyDescent="0.25">
      <c r="D1823" t="s">
        <v>67</v>
      </c>
      <c r="E1823">
        <v>2015</v>
      </c>
      <c r="F1823" t="s">
        <v>25</v>
      </c>
      <c r="S1823">
        <v>1121472</v>
      </c>
    </row>
    <row r="1824" spans="4:19" x14ac:dyDescent="0.25">
      <c r="D1824" t="s">
        <v>67</v>
      </c>
      <c r="E1824">
        <v>2013</v>
      </c>
      <c r="F1824" t="s">
        <v>26</v>
      </c>
      <c r="G1824">
        <v>192855</v>
      </c>
      <c r="H1824">
        <v>148555</v>
      </c>
      <c r="I1824">
        <v>133892</v>
      </c>
      <c r="J1824">
        <v>132438</v>
      </c>
      <c r="K1824">
        <v>118193</v>
      </c>
      <c r="L1824">
        <v>136687</v>
      </c>
      <c r="M1824">
        <v>150440</v>
      </c>
      <c r="N1824">
        <v>144783</v>
      </c>
      <c r="O1824">
        <v>184948</v>
      </c>
      <c r="P1824">
        <v>198737</v>
      </c>
      <c r="Q1824">
        <v>185757</v>
      </c>
      <c r="R1824">
        <v>192977</v>
      </c>
    </row>
    <row r="1825" spans="4:19" x14ac:dyDescent="0.25">
      <c r="D1825" t="s">
        <v>67</v>
      </c>
      <c r="E1825">
        <v>2014</v>
      </c>
      <c r="F1825" t="s">
        <v>26</v>
      </c>
      <c r="G1825">
        <v>184118</v>
      </c>
      <c r="H1825">
        <v>149291</v>
      </c>
      <c r="I1825">
        <v>133813</v>
      </c>
      <c r="J1825">
        <v>133322</v>
      </c>
      <c r="K1825">
        <v>119198</v>
      </c>
      <c r="L1825">
        <v>131885</v>
      </c>
      <c r="M1825">
        <v>153868</v>
      </c>
      <c r="N1825">
        <v>154848</v>
      </c>
      <c r="O1825">
        <v>196483</v>
      </c>
      <c r="P1825">
        <v>203468</v>
      </c>
      <c r="Q1825">
        <v>188074</v>
      </c>
      <c r="R1825">
        <v>201806</v>
      </c>
    </row>
    <row r="1826" spans="4:19" x14ac:dyDescent="0.25">
      <c r="D1826" t="s">
        <v>67</v>
      </c>
      <c r="E1826">
        <v>2015</v>
      </c>
      <c r="F1826" t="s">
        <v>26</v>
      </c>
      <c r="G1826">
        <v>184653</v>
      </c>
      <c r="H1826">
        <v>143241</v>
      </c>
      <c r="I1826">
        <v>157490</v>
      </c>
      <c r="J1826">
        <v>145990</v>
      </c>
      <c r="K1826">
        <v>151705</v>
      </c>
      <c r="L1826">
        <v>173607</v>
      </c>
      <c r="M1826">
        <v>164786</v>
      </c>
    </row>
    <row r="1827" spans="4:19" x14ac:dyDescent="0.25">
      <c r="D1827" t="s">
        <v>67</v>
      </c>
      <c r="E1827">
        <v>2013</v>
      </c>
      <c r="F1827" t="s">
        <v>27</v>
      </c>
      <c r="S1827">
        <v>1726322</v>
      </c>
    </row>
    <row r="1828" spans="4:19" x14ac:dyDescent="0.25">
      <c r="D1828" t="s">
        <v>67</v>
      </c>
      <c r="E1828">
        <v>2014</v>
      </c>
      <c r="F1828" t="s">
        <v>27</v>
      </c>
      <c r="S1828">
        <v>1631169</v>
      </c>
    </row>
    <row r="1829" spans="4:19" x14ac:dyDescent="0.25">
      <c r="D1829" t="s">
        <v>67</v>
      </c>
      <c r="E1829">
        <v>2015</v>
      </c>
      <c r="F1829" t="s">
        <v>27</v>
      </c>
      <c r="S1829">
        <v>1815974</v>
      </c>
    </row>
    <row r="1830" spans="4:19" x14ac:dyDescent="0.25">
      <c r="D1830" t="s">
        <v>67</v>
      </c>
      <c r="E1830">
        <v>2013</v>
      </c>
      <c r="F1830" t="s">
        <v>28</v>
      </c>
      <c r="G1830">
        <v>315906</v>
      </c>
      <c r="H1830">
        <v>261205</v>
      </c>
      <c r="I1830">
        <v>236495</v>
      </c>
      <c r="J1830">
        <v>231998</v>
      </c>
      <c r="K1830">
        <v>200364</v>
      </c>
      <c r="L1830">
        <v>221631</v>
      </c>
      <c r="M1830">
        <v>258723</v>
      </c>
      <c r="N1830">
        <v>237003</v>
      </c>
      <c r="O1830">
        <v>312443</v>
      </c>
      <c r="P1830">
        <v>331597</v>
      </c>
      <c r="Q1830">
        <v>292041</v>
      </c>
      <c r="R1830">
        <v>301186</v>
      </c>
    </row>
    <row r="1831" spans="4:19" x14ac:dyDescent="0.25">
      <c r="D1831" t="s">
        <v>67</v>
      </c>
      <c r="E1831">
        <v>2014</v>
      </c>
      <c r="F1831" t="s">
        <v>28</v>
      </c>
      <c r="G1831">
        <v>293297</v>
      </c>
      <c r="H1831">
        <v>248781</v>
      </c>
      <c r="I1831">
        <v>221326</v>
      </c>
      <c r="J1831">
        <v>219265</v>
      </c>
      <c r="K1831">
        <v>189872</v>
      </c>
      <c r="L1831">
        <v>211276</v>
      </c>
      <c r="M1831">
        <v>247352</v>
      </c>
      <c r="N1831">
        <v>240572</v>
      </c>
      <c r="O1831">
        <v>331135</v>
      </c>
      <c r="P1831">
        <v>325525</v>
      </c>
      <c r="Q1831">
        <v>294036</v>
      </c>
      <c r="R1831">
        <v>317918</v>
      </c>
    </row>
    <row r="1832" spans="4:19" x14ac:dyDescent="0.25">
      <c r="D1832" t="s">
        <v>67</v>
      </c>
      <c r="E1832">
        <v>2015</v>
      </c>
      <c r="F1832" t="s">
        <v>28</v>
      </c>
      <c r="G1832">
        <v>290733</v>
      </c>
      <c r="H1832">
        <v>235080</v>
      </c>
      <c r="I1832">
        <v>266475</v>
      </c>
      <c r="J1832">
        <v>239390</v>
      </c>
      <c r="K1832">
        <v>235461</v>
      </c>
      <c r="L1832">
        <v>279311</v>
      </c>
      <c r="M1832">
        <v>269524</v>
      </c>
    </row>
    <row r="1833" spans="4:19" x14ac:dyDescent="0.25">
      <c r="D1833" t="s">
        <v>67</v>
      </c>
      <c r="E1833">
        <v>2013</v>
      </c>
      <c r="F1833" t="s">
        <v>29</v>
      </c>
      <c r="S1833">
        <v>302010</v>
      </c>
    </row>
    <row r="1834" spans="4:19" x14ac:dyDescent="0.25">
      <c r="D1834" t="s">
        <v>67</v>
      </c>
      <c r="E1834">
        <v>2014</v>
      </c>
      <c r="F1834" t="s">
        <v>29</v>
      </c>
      <c r="S1834">
        <v>284031</v>
      </c>
    </row>
    <row r="1835" spans="4:19" x14ac:dyDescent="0.25">
      <c r="D1835" t="s">
        <v>67</v>
      </c>
      <c r="E1835">
        <v>2015</v>
      </c>
      <c r="F1835" t="s">
        <v>29</v>
      </c>
      <c r="S1835">
        <v>256571</v>
      </c>
    </row>
    <row r="1836" spans="4:19" x14ac:dyDescent="0.25">
      <c r="D1836" t="s">
        <v>67</v>
      </c>
      <c r="E1836">
        <v>2013</v>
      </c>
      <c r="F1836" t="s">
        <v>30</v>
      </c>
      <c r="G1836">
        <v>50632</v>
      </c>
      <c r="H1836">
        <v>47180</v>
      </c>
      <c r="I1836">
        <v>44185</v>
      </c>
      <c r="J1836">
        <v>41178</v>
      </c>
      <c r="K1836">
        <v>40773</v>
      </c>
      <c r="L1836">
        <v>38112</v>
      </c>
      <c r="M1836">
        <v>39950</v>
      </c>
      <c r="N1836">
        <v>31422</v>
      </c>
      <c r="O1836">
        <v>48884</v>
      </c>
      <c r="P1836">
        <v>40763</v>
      </c>
      <c r="Q1836">
        <v>41583</v>
      </c>
      <c r="R1836">
        <v>38285</v>
      </c>
    </row>
    <row r="1837" spans="4:19" x14ac:dyDescent="0.25">
      <c r="D1837" t="s">
        <v>67</v>
      </c>
      <c r="E1837">
        <v>2014</v>
      </c>
      <c r="F1837" t="s">
        <v>30</v>
      </c>
      <c r="G1837">
        <v>50052</v>
      </c>
      <c r="H1837">
        <v>43178</v>
      </c>
      <c r="I1837">
        <v>39017</v>
      </c>
      <c r="J1837">
        <v>38415</v>
      </c>
      <c r="K1837">
        <v>33469</v>
      </c>
      <c r="L1837">
        <v>41256</v>
      </c>
      <c r="M1837">
        <v>38644</v>
      </c>
      <c r="N1837">
        <v>26331</v>
      </c>
      <c r="O1837">
        <v>49172</v>
      </c>
      <c r="P1837">
        <v>37278</v>
      </c>
      <c r="Q1837">
        <v>38467</v>
      </c>
      <c r="R1837">
        <v>38541</v>
      </c>
    </row>
    <row r="1838" spans="4:19" x14ac:dyDescent="0.25">
      <c r="D1838" t="s">
        <v>67</v>
      </c>
      <c r="E1838">
        <v>2015</v>
      </c>
      <c r="F1838" t="s">
        <v>30</v>
      </c>
      <c r="G1838">
        <v>43535</v>
      </c>
      <c r="H1838">
        <v>34484</v>
      </c>
      <c r="I1838">
        <v>44462</v>
      </c>
      <c r="J1838">
        <v>30303</v>
      </c>
      <c r="K1838">
        <v>29111</v>
      </c>
      <c r="L1838">
        <v>41066</v>
      </c>
      <c r="M1838">
        <v>33610</v>
      </c>
    </row>
    <row r="1839" spans="4:19" x14ac:dyDescent="0.25">
      <c r="D1839" t="s">
        <v>67</v>
      </c>
      <c r="E1839">
        <v>2013</v>
      </c>
      <c r="F1839" t="s">
        <v>31</v>
      </c>
      <c r="S1839">
        <v>0.82295433239587523</v>
      </c>
    </row>
    <row r="1840" spans="4:19" x14ac:dyDescent="0.25">
      <c r="D1840" t="s">
        <v>67</v>
      </c>
      <c r="E1840">
        <v>2014</v>
      </c>
      <c r="F1840" t="s">
        <v>31</v>
      </c>
      <c r="S1840">
        <v>0.93246808588992558</v>
      </c>
    </row>
    <row r="1841" spans="4:19" x14ac:dyDescent="0.25">
      <c r="D1841" t="s">
        <v>67</v>
      </c>
      <c r="E1841">
        <v>2015</v>
      </c>
      <c r="F1841" t="s">
        <v>31</v>
      </c>
      <c r="S1841">
        <v>0.92409242891115306</v>
      </c>
    </row>
    <row r="1842" spans="4:19" x14ac:dyDescent="0.25">
      <c r="D1842" t="s">
        <v>67</v>
      </c>
      <c r="E1842">
        <v>2013</v>
      </c>
      <c r="F1842" t="s">
        <v>32</v>
      </c>
      <c r="G1842">
        <v>0.74247331811182504</v>
      </c>
      <c r="H1842">
        <v>0.73282802799289204</v>
      </c>
      <c r="I1842">
        <v>0.85321438118150228</v>
      </c>
      <c r="J1842">
        <v>0.87334988152995596</v>
      </c>
      <c r="K1842">
        <v>0.86823087926582321</v>
      </c>
      <c r="L1842">
        <v>0.89655099539287375</v>
      </c>
      <c r="M1842">
        <v>0.9191424743188924</v>
      </c>
      <c r="N1842">
        <v>0.93854996396163304</v>
      </c>
      <c r="O1842">
        <v>0.92575554377319647</v>
      </c>
      <c r="P1842">
        <v>0.93305096120863229</v>
      </c>
      <c r="Q1842">
        <v>0.88187557699752817</v>
      </c>
      <c r="R1842">
        <v>0.93965893450602567</v>
      </c>
    </row>
    <row r="1843" spans="4:19" x14ac:dyDescent="0.25">
      <c r="D1843" t="s">
        <v>67</v>
      </c>
      <c r="E1843">
        <v>2014</v>
      </c>
      <c r="F1843" t="s">
        <v>32</v>
      </c>
      <c r="G1843">
        <v>0.92539394784548878</v>
      </c>
      <c r="H1843">
        <v>0.93969133952652084</v>
      </c>
      <c r="I1843">
        <v>0.94852143735087846</v>
      </c>
      <c r="J1843">
        <v>0.95680662329982258</v>
      </c>
      <c r="K1843">
        <v>0.89779554642306747</v>
      </c>
      <c r="L1843">
        <v>0.93830529028346221</v>
      </c>
      <c r="M1843">
        <v>0.92101203912716323</v>
      </c>
      <c r="N1843">
        <v>0.90114068441064643</v>
      </c>
      <c r="O1843">
        <v>0.9276069652507275</v>
      </c>
      <c r="P1843">
        <v>0.94320592633812128</v>
      </c>
      <c r="Q1843">
        <v>0.93589620743182389</v>
      </c>
      <c r="R1843">
        <v>0.9372588951769244</v>
      </c>
    </row>
    <row r="1844" spans="4:19" x14ac:dyDescent="0.25">
      <c r="D1844" t="s">
        <v>67</v>
      </c>
      <c r="E1844">
        <v>2015</v>
      </c>
      <c r="F1844" t="s">
        <v>32</v>
      </c>
      <c r="G1844">
        <v>0.90699815837937381</v>
      </c>
      <c r="H1844">
        <v>0.88956391320031136</v>
      </c>
      <c r="I1844">
        <v>0.91263451417799069</v>
      </c>
      <c r="J1844">
        <v>0.94348134747062995</v>
      </c>
      <c r="K1844">
        <v>0.94429782266659901</v>
      </c>
      <c r="L1844">
        <v>0.95187645896929429</v>
      </c>
      <c r="M1844">
        <v>0.93426219919786091</v>
      </c>
    </row>
    <row r="1845" spans="4:19" x14ac:dyDescent="0.25">
      <c r="D1845" t="s">
        <v>67</v>
      </c>
      <c r="E1845">
        <v>2013</v>
      </c>
      <c r="F1845" t="s">
        <v>33</v>
      </c>
      <c r="S1845">
        <v>0.83475193438883943</v>
      </c>
    </row>
    <row r="1846" spans="4:19" x14ac:dyDescent="0.25">
      <c r="D1846" t="s">
        <v>67</v>
      </c>
      <c r="E1846">
        <v>2014</v>
      </c>
      <c r="F1846" t="s">
        <v>33</v>
      </c>
      <c r="S1846">
        <v>0.9100881753145601</v>
      </c>
    </row>
    <row r="1847" spans="4:19" x14ac:dyDescent="0.25">
      <c r="D1847" t="s">
        <v>67</v>
      </c>
      <c r="E1847">
        <v>2015</v>
      </c>
      <c r="F1847" t="s">
        <v>33</v>
      </c>
      <c r="S1847">
        <v>0.94632422424932017</v>
      </c>
    </row>
    <row r="1848" spans="4:19" x14ac:dyDescent="0.25">
      <c r="D1848" t="s">
        <v>67</v>
      </c>
      <c r="E1848">
        <v>2013</v>
      </c>
      <c r="F1848" t="s">
        <v>34</v>
      </c>
      <c r="G1848">
        <v>0.73598189590143326</v>
      </c>
      <c r="H1848">
        <v>0.70302470630979774</v>
      </c>
      <c r="I1848">
        <v>0.90294275252299727</v>
      </c>
      <c r="J1848">
        <v>0.91457662648798388</v>
      </c>
      <c r="K1848">
        <v>0.89968201090248334</v>
      </c>
      <c r="L1848">
        <v>0.94221091320327965</v>
      </c>
      <c r="M1848">
        <v>0.91150204958032399</v>
      </c>
      <c r="N1848">
        <v>0.91763388311952754</v>
      </c>
      <c r="O1848">
        <v>0.90462574273488672</v>
      </c>
      <c r="P1848">
        <v>0.91507077435470441</v>
      </c>
      <c r="Q1848">
        <v>0.84257136903521568</v>
      </c>
      <c r="R1848">
        <v>0.92975447731047178</v>
      </c>
    </row>
    <row r="1849" spans="4:19" x14ac:dyDescent="0.25">
      <c r="D1849" t="s">
        <v>67</v>
      </c>
      <c r="E1849">
        <v>2014</v>
      </c>
      <c r="F1849" t="s">
        <v>34</v>
      </c>
      <c r="G1849">
        <v>0.90403622834379349</v>
      </c>
      <c r="H1849">
        <v>0.90367101680593376</v>
      </c>
      <c r="I1849">
        <v>0.9302268606987113</v>
      </c>
      <c r="J1849">
        <v>0.94364545398432198</v>
      </c>
      <c r="K1849">
        <v>0.84777112441783098</v>
      </c>
      <c r="L1849">
        <v>0.91070365146528753</v>
      </c>
      <c r="M1849">
        <v>0.92882452626713907</v>
      </c>
      <c r="N1849">
        <v>0.94472207273006847</v>
      </c>
      <c r="O1849">
        <v>0.95309810671256456</v>
      </c>
      <c r="P1849">
        <v>0.98992188589761476</v>
      </c>
      <c r="Q1849">
        <v>0.96364855301873442</v>
      </c>
      <c r="R1849">
        <v>0.96787719176658116</v>
      </c>
    </row>
    <row r="1850" spans="4:19" x14ac:dyDescent="0.25">
      <c r="D1850" t="s">
        <v>67</v>
      </c>
      <c r="E1850">
        <v>2015</v>
      </c>
      <c r="F1850" t="s">
        <v>34</v>
      </c>
      <c r="G1850">
        <v>0.9117384046739001</v>
      </c>
      <c r="H1850">
        <v>0.87758581123168211</v>
      </c>
      <c r="I1850">
        <v>0.93899756228075393</v>
      </c>
      <c r="J1850">
        <v>0.98108027897314143</v>
      </c>
      <c r="K1850">
        <v>0.97530112623385656</v>
      </c>
      <c r="L1850">
        <v>0.99221671889214591</v>
      </c>
      <c r="M1850">
        <v>0.96420856734571803</v>
      </c>
    </row>
    <row r="1851" spans="4:19" x14ac:dyDescent="0.25">
      <c r="D1851" t="s">
        <v>68</v>
      </c>
      <c r="E1851">
        <v>2013</v>
      </c>
      <c r="F1851" t="s">
        <v>17</v>
      </c>
      <c r="S1851">
        <v>0.98315545243619484</v>
      </c>
    </row>
    <row r="1852" spans="4:19" x14ac:dyDescent="0.25">
      <c r="D1852" t="s">
        <v>68</v>
      </c>
      <c r="E1852">
        <v>2014</v>
      </c>
      <c r="F1852" t="s">
        <v>17</v>
      </c>
      <c r="S1852">
        <v>0.95815880736837367</v>
      </c>
    </row>
    <row r="1853" spans="4:19" x14ac:dyDescent="0.25">
      <c r="D1853" t="s">
        <v>68</v>
      </c>
      <c r="E1853">
        <v>2015</v>
      </c>
      <c r="F1853" t="s">
        <v>17</v>
      </c>
      <c r="S1853">
        <v>0.93781528452218188</v>
      </c>
    </row>
    <row r="1854" spans="4:19" x14ac:dyDescent="0.25">
      <c r="D1854" t="s">
        <v>68</v>
      </c>
      <c r="E1854">
        <v>2013</v>
      </c>
      <c r="F1854" t="s">
        <v>18</v>
      </c>
      <c r="G1854">
        <v>0.97938662644544994</v>
      </c>
      <c r="H1854">
        <v>0.98278890059711976</v>
      </c>
      <c r="I1854">
        <v>0.98958333333333337</v>
      </c>
      <c r="J1854">
        <v>0.97316176470588234</v>
      </c>
      <c r="K1854">
        <v>0.98296059637912669</v>
      </c>
      <c r="L1854">
        <v>0.99208063354931608</v>
      </c>
      <c r="M1854">
        <v>0.98229508196721316</v>
      </c>
      <c r="N1854">
        <v>0.96983169260082569</v>
      </c>
      <c r="O1854">
        <v>0.97801926401580641</v>
      </c>
      <c r="P1854">
        <v>0.97314743093209399</v>
      </c>
      <c r="Q1854">
        <v>0.96782334384858049</v>
      </c>
      <c r="R1854">
        <v>0.9850603941513032</v>
      </c>
    </row>
    <row r="1855" spans="4:19" x14ac:dyDescent="0.25">
      <c r="D1855" t="s">
        <v>68</v>
      </c>
      <c r="E1855">
        <v>2014</v>
      </c>
      <c r="F1855" t="s">
        <v>18</v>
      </c>
      <c r="G1855">
        <v>0.95797441921169413</v>
      </c>
      <c r="H1855">
        <v>0.97170809095716548</v>
      </c>
      <c r="I1855">
        <v>0.97645638394204648</v>
      </c>
      <c r="J1855">
        <v>0.97231726283048214</v>
      </c>
      <c r="K1855">
        <v>0.97185607410046315</v>
      </c>
      <c r="L1855">
        <v>0.93599717114568604</v>
      </c>
      <c r="M1855">
        <v>0.9035846724351051</v>
      </c>
      <c r="N1855">
        <v>0.87912973408541495</v>
      </c>
      <c r="O1855">
        <v>0.84355044699872284</v>
      </c>
      <c r="P1855">
        <v>0.89118020304568524</v>
      </c>
      <c r="Q1855">
        <v>0.8515997277059224</v>
      </c>
      <c r="R1855">
        <v>0.91477816789020105</v>
      </c>
    </row>
    <row r="1856" spans="4:19" x14ac:dyDescent="0.25">
      <c r="D1856" t="s">
        <v>68</v>
      </c>
      <c r="E1856">
        <v>2015</v>
      </c>
      <c r="F1856" t="s">
        <v>18</v>
      </c>
      <c r="G1856">
        <v>0.89715598965814425</v>
      </c>
      <c r="H1856">
        <v>0.94748223663886311</v>
      </c>
      <c r="I1856">
        <v>0.94379844961240311</v>
      </c>
      <c r="J1856">
        <v>0.95190713101160862</v>
      </c>
      <c r="K1856">
        <v>0.93889776357827481</v>
      </c>
      <c r="L1856">
        <v>0.92888587876735518</v>
      </c>
      <c r="M1856">
        <v>0.96679119966791205</v>
      </c>
    </row>
    <row r="1857" spans="4:19" x14ac:dyDescent="0.25">
      <c r="D1857" t="s">
        <v>68</v>
      </c>
      <c r="E1857">
        <v>2013</v>
      </c>
      <c r="F1857" t="s">
        <v>19</v>
      </c>
      <c r="S1857">
        <v>0.69447759191656722</v>
      </c>
    </row>
    <row r="1858" spans="4:19" x14ac:dyDescent="0.25">
      <c r="D1858" t="s">
        <v>68</v>
      </c>
      <c r="E1858">
        <v>2014</v>
      </c>
      <c r="F1858" t="s">
        <v>19</v>
      </c>
      <c r="S1858">
        <v>0.92266738210218802</v>
      </c>
    </row>
    <row r="1859" spans="4:19" x14ac:dyDescent="0.25">
      <c r="D1859" t="s">
        <v>68</v>
      </c>
      <c r="E1859">
        <v>2015</v>
      </c>
      <c r="F1859" t="s">
        <v>19</v>
      </c>
      <c r="S1859">
        <v>0.89840983113008732</v>
      </c>
    </row>
    <row r="1860" spans="4:19" x14ac:dyDescent="0.25">
      <c r="D1860" t="s">
        <v>68</v>
      </c>
      <c r="E1860">
        <v>2013</v>
      </c>
      <c r="F1860" t="s">
        <v>20</v>
      </c>
      <c r="G1860">
        <v>0.65769461215836289</v>
      </c>
      <c r="H1860">
        <v>0.69701651057255964</v>
      </c>
      <c r="I1860">
        <v>0.68548471251173959</v>
      </c>
      <c r="J1860">
        <v>0.66358160716909065</v>
      </c>
      <c r="K1860">
        <v>0.60546678725756209</v>
      </c>
      <c r="L1860">
        <v>0.73271770532397851</v>
      </c>
      <c r="M1860">
        <v>0.82127931560057033</v>
      </c>
      <c r="N1860">
        <v>0.98896551724137927</v>
      </c>
      <c r="O1860">
        <v>0.99426161165334248</v>
      </c>
      <c r="P1860">
        <v>0.83134815736277401</v>
      </c>
      <c r="Q1860">
        <v>0.66098091326407349</v>
      </c>
      <c r="R1860">
        <v>0.82253643680661304</v>
      </c>
    </row>
    <row r="1861" spans="4:19" x14ac:dyDescent="0.25">
      <c r="D1861" t="s">
        <v>68</v>
      </c>
      <c r="E1861">
        <v>2014</v>
      </c>
      <c r="F1861" t="s">
        <v>20</v>
      </c>
      <c r="G1861">
        <v>0.99311201846263097</v>
      </c>
      <c r="H1861">
        <v>0.99790633107277771</v>
      </c>
      <c r="I1861">
        <v>0.82034503271861992</v>
      </c>
      <c r="J1861">
        <v>0.75707066590594185</v>
      </c>
      <c r="K1861">
        <v>0.89113876141363491</v>
      </c>
      <c r="L1861">
        <v>0.98790422117995558</v>
      </c>
      <c r="M1861">
        <v>0.99033385093167703</v>
      </c>
      <c r="N1861">
        <v>0.99501596825704053</v>
      </c>
      <c r="O1861">
        <v>0.99750579792587402</v>
      </c>
      <c r="P1861">
        <v>0.99676150821188991</v>
      </c>
      <c r="Q1861">
        <v>0.998043235184495</v>
      </c>
      <c r="R1861">
        <v>0.99571270905849396</v>
      </c>
    </row>
    <row r="1862" spans="4:19" x14ac:dyDescent="0.25">
      <c r="D1862" t="s">
        <v>68</v>
      </c>
      <c r="E1862">
        <v>2015</v>
      </c>
      <c r="F1862" t="s">
        <v>20</v>
      </c>
      <c r="G1862">
        <v>0.94710202838984658</v>
      </c>
      <c r="H1862">
        <v>0.8442706998205588</v>
      </c>
      <c r="I1862">
        <v>0.78283926218708833</v>
      </c>
      <c r="J1862">
        <v>0.96206637395672645</v>
      </c>
      <c r="K1862">
        <v>0.8400559664201479</v>
      </c>
      <c r="L1862">
        <v>0.99009159924439538</v>
      </c>
      <c r="M1862">
        <v>0.93029766560994687</v>
      </c>
    </row>
    <row r="1863" spans="4:19" x14ac:dyDescent="0.25">
      <c r="D1863" t="s">
        <v>68</v>
      </c>
      <c r="E1863">
        <v>2013</v>
      </c>
      <c r="F1863" t="s">
        <v>21</v>
      </c>
      <c r="S1863">
        <v>0.868970893970894</v>
      </c>
    </row>
    <row r="1864" spans="4:19" x14ac:dyDescent="0.25">
      <c r="D1864" t="s">
        <v>68</v>
      </c>
      <c r="E1864">
        <v>2014</v>
      </c>
      <c r="F1864" t="s">
        <v>21</v>
      </c>
      <c r="S1864">
        <v>0.99462467890781081</v>
      </c>
    </row>
    <row r="1865" spans="4:19" x14ac:dyDescent="0.25">
      <c r="D1865" t="s">
        <v>68</v>
      </c>
      <c r="E1865">
        <v>2015</v>
      </c>
      <c r="F1865" t="s">
        <v>21</v>
      </c>
      <c r="S1865">
        <v>0.95262921348314611</v>
      </c>
    </row>
    <row r="1866" spans="4:19" x14ac:dyDescent="0.25">
      <c r="D1866" t="s">
        <v>68</v>
      </c>
      <c r="E1866">
        <v>2013</v>
      </c>
      <c r="F1866" t="s">
        <v>22</v>
      </c>
      <c r="G1866">
        <v>0.71947194719471952</v>
      </c>
      <c r="H1866">
        <v>0.93604421634425583</v>
      </c>
      <c r="I1866">
        <v>0.80459337349397586</v>
      </c>
      <c r="J1866">
        <v>0.83638113570741102</v>
      </c>
      <c r="K1866">
        <v>0.94255514705882348</v>
      </c>
      <c r="L1866">
        <v>0.967946328736489</v>
      </c>
      <c r="M1866">
        <v>0.93289569657184535</v>
      </c>
      <c r="N1866">
        <v>0.94891566265060245</v>
      </c>
      <c r="O1866">
        <v>0.93711467324290998</v>
      </c>
      <c r="P1866">
        <v>0.9818573185731857</v>
      </c>
      <c r="Q1866">
        <v>0.94242424242424239</v>
      </c>
      <c r="R1866">
        <v>0.98703917050691248</v>
      </c>
    </row>
    <row r="1867" spans="4:19" x14ac:dyDescent="0.25">
      <c r="D1867" t="s">
        <v>68</v>
      </c>
      <c r="E1867">
        <v>2014</v>
      </c>
      <c r="F1867" t="s">
        <v>22</v>
      </c>
      <c r="G1867">
        <v>0.99406276505513147</v>
      </c>
      <c r="H1867">
        <v>0.99723210755239222</v>
      </c>
      <c r="I1867">
        <v>0.98497780812564018</v>
      </c>
      <c r="J1867">
        <v>0.99453219927095993</v>
      </c>
      <c r="K1867">
        <v>0.99350649350649356</v>
      </c>
      <c r="L1867">
        <v>0.99778481012658227</v>
      </c>
      <c r="M1867">
        <v>0.99916036943744757</v>
      </c>
      <c r="N1867">
        <v>0.99803536345776034</v>
      </c>
      <c r="O1867">
        <v>0.97790449037776195</v>
      </c>
      <c r="P1867">
        <v>0.99756542909312229</v>
      </c>
      <c r="Q1867">
        <v>0.99630769230769234</v>
      </c>
      <c r="R1867">
        <v>0.99361806578301426</v>
      </c>
    </row>
    <row r="1868" spans="4:19" x14ac:dyDescent="0.25">
      <c r="D1868" t="s">
        <v>68</v>
      </c>
      <c r="E1868">
        <v>2015</v>
      </c>
      <c r="F1868" t="s">
        <v>22</v>
      </c>
      <c r="G1868">
        <v>0.96948034094033542</v>
      </c>
      <c r="H1868">
        <v>0.97959866220735781</v>
      </c>
      <c r="I1868">
        <v>0.95021430926475436</v>
      </c>
      <c r="J1868">
        <v>0.84175761056863874</v>
      </c>
      <c r="K1868">
        <v>0.98772064466615506</v>
      </c>
      <c r="L1868">
        <v>0.98794435857805252</v>
      </c>
      <c r="M1868">
        <v>0.96663605754514847</v>
      </c>
    </row>
    <row r="1869" spans="4:19" x14ac:dyDescent="0.25">
      <c r="D1869" t="s">
        <v>68</v>
      </c>
      <c r="E1869">
        <v>2013</v>
      </c>
      <c r="F1869" t="s">
        <v>23</v>
      </c>
      <c r="S1869">
        <v>50545</v>
      </c>
    </row>
    <row r="1870" spans="4:19" x14ac:dyDescent="0.25">
      <c r="D1870" t="s">
        <v>68</v>
      </c>
      <c r="E1870">
        <v>2014</v>
      </c>
      <c r="F1870" t="s">
        <v>23</v>
      </c>
      <c r="S1870">
        <v>43660</v>
      </c>
    </row>
    <row r="1871" spans="4:19" x14ac:dyDescent="0.25">
      <c r="D1871" t="s">
        <v>68</v>
      </c>
      <c r="E1871">
        <v>2015</v>
      </c>
      <c r="F1871" t="s">
        <v>23</v>
      </c>
      <c r="S1871">
        <v>41836</v>
      </c>
    </row>
    <row r="1872" spans="4:19" x14ac:dyDescent="0.25">
      <c r="D1872" t="s">
        <v>68</v>
      </c>
      <c r="E1872">
        <v>2013</v>
      </c>
      <c r="F1872" t="s">
        <v>24</v>
      </c>
      <c r="G1872">
        <v>8396</v>
      </c>
      <c r="H1872">
        <v>8668</v>
      </c>
      <c r="I1872">
        <v>8163</v>
      </c>
      <c r="J1872">
        <v>6820</v>
      </c>
      <c r="K1872">
        <v>6205</v>
      </c>
      <c r="L1872">
        <v>5718</v>
      </c>
      <c r="M1872">
        <v>6575</v>
      </c>
      <c r="N1872">
        <v>6405</v>
      </c>
      <c r="O1872">
        <v>7068</v>
      </c>
      <c r="P1872">
        <v>6439</v>
      </c>
      <c r="Q1872">
        <v>5939</v>
      </c>
      <c r="R1872">
        <v>5585</v>
      </c>
    </row>
    <row r="1873" spans="4:19" x14ac:dyDescent="0.25">
      <c r="D1873" t="s">
        <v>68</v>
      </c>
      <c r="E1873">
        <v>2014</v>
      </c>
      <c r="F1873" t="s">
        <v>24</v>
      </c>
      <c r="G1873">
        <v>7011</v>
      </c>
      <c r="H1873">
        <v>7727</v>
      </c>
      <c r="I1873">
        <v>6457</v>
      </c>
      <c r="J1873">
        <v>6041</v>
      </c>
      <c r="K1873">
        <v>5015</v>
      </c>
      <c r="L1873">
        <v>5228</v>
      </c>
      <c r="M1873">
        <v>6181</v>
      </c>
      <c r="N1873">
        <v>6530</v>
      </c>
      <c r="O1873">
        <v>8312</v>
      </c>
      <c r="P1873">
        <v>6563</v>
      </c>
      <c r="Q1873">
        <v>5451</v>
      </c>
      <c r="R1873">
        <v>6155</v>
      </c>
    </row>
    <row r="1874" spans="4:19" x14ac:dyDescent="0.25">
      <c r="D1874" t="s">
        <v>68</v>
      </c>
      <c r="E1874">
        <v>2015</v>
      </c>
      <c r="F1874" t="s">
        <v>24</v>
      </c>
      <c r="G1874">
        <v>6200</v>
      </c>
      <c r="H1874">
        <v>6612</v>
      </c>
      <c r="I1874">
        <v>6707</v>
      </c>
      <c r="J1874">
        <v>5790</v>
      </c>
      <c r="K1874">
        <v>4891</v>
      </c>
      <c r="L1874">
        <v>5830</v>
      </c>
      <c r="M1874">
        <v>5806</v>
      </c>
    </row>
    <row r="1875" spans="4:19" x14ac:dyDescent="0.25">
      <c r="D1875" t="s">
        <v>68</v>
      </c>
      <c r="E1875">
        <v>2013</v>
      </c>
      <c r="F1875" t="s">
        <v>25</v>
      </c>
      <c r="S1875">
        <v>123915</v>
      </c>
    </row>
    <row r="1876" spans="4:19" x14ac:dyDescent="0.25">
      <c r="D1876" t="s">
        <v>68</v>
      </c>
      <c r="E1876">
        <v>2014</v>
      </c>
      <c r="F1876" t="s">
        <v>25</v>
      </c>
      <c r="S1876">
        <v>120454</v>
      </c>
    </row>
    <row r="1877" spans="4:19" x14ac:dyDescent="0.25">
      <c r="D1877" t="s">
        <v>68</v>
      </c>
      <c r="E1877">
        <v>2015</v>
      </c>
      <c r="F1877" t="s">
        <v>25</v>
      </c>
      <c r="S1877">
        <v>121888</v>
      </c>
    </row>
    <row r="1878" spans="4:19" x14ac:dyDescent="0.25">
      <c r="D1878" t="s">
        <v>68</v>
      </c>
      <c r="E1878">
        <v>2013</v>
      </c>
      <c r="F1878" t="s">
        <v>26</v>
      </c>
      <c r="G1878">
        <v>20253</v>
      </c>
      <c r="H1878">
        <v>18966</v>
      </c>
      <c r="I1878">
        <v>16919</v>
      </c>
      <c r="J1878">
        <v>17057</v>
      </c>
      <c r="K1878">
        <v>15629</v>
      </c>
      <c r="L1878">
        <v>17208</v>
      </c>
      <c r="M1878">
        <v>17883</v>
      </c>
      <c r="N1878">
        <v>20689</v>
      </c>
      <c r="O1878">
        <v>20743</v>
      </c>
      <c r="P1878">
        <v>20613</v>
      </c>
      <c r="Q1878">
        <v>18803</v>
      </c>
      <c r="R1878">
        <v>21818</v>
      </c>
    </row>
    <row r="1879" spans="4:19" x14ac:dyDescent="0.25">
      <c r="D1879" t="s">
        <v>68</v>
      </c>
      <c r="E1879">
        <v>2014</v>
      </c>
      <c r="F1879" t="s">
        <v>26</v>
      </c>
      <c r="G1879">
        <v>19850</v>
      </c>
      <c r="H1879">
        <v>18307</v>
      </c>
      <c r="I1879">
        <v>16588</v>
      </c>
      <c r="J1879">
        <v>17197</v>
      </c>
      <c r="K1879">
        <v>14376</v>
      </c>
      <c r="L1879">
        <v>16459</v>
      </c>
      <c r="M1879">
        <v>17677</v>
      </c>
      <c r="N1879">
        <v>16662</v>
      </c>
      <c r="O1879">
        <v>18916</v>
      </c>
      <c r="P1879">
        <v>18924</v>
      </c>
      <c r="Q1879">
        <v>21744</v>
      </c>
      <c r="R1879">
        <v>19962</v>
      </c>
    </row>
    <row r="1880" spans="4:19" x14ac:dyDescent="0.25">
      <c r="D1880" t="s">
        <v>68</v>
      </c>
      <c r="E1880">
        <v>2015</v>
      </c>
      <c r="F1880" t="s">
        <v>26</v>
      </c>
      <c r="G1880">
        <v>19059</v>
      </c>
      <c r="H1880">
        <v>16161</v>
      </c>
      <c r="I1880">
        <v>18214</v>
      </c>
      <c r="J1880">
        <v>16696</v>
      </c>
      <c r="K1880">
        <v>15007</v>
      </c>
      <c r="L1880">
        <v>18077</v>
      </c>
      <c r="M1880">
        <v>18674</v>
      </c>
    </row>
    <row r="1881" spans="4:19" x14ac:dyDescent="0.25">
      <c r="D1881" t="s">
        <v>68</v>
      </c>
      <c r="E1881">
        <v>2013</v>
      </c>
      <c r="F1881" t="s">
        <v>27</v>
      </c>
      <c r="S1881">
        <v>229995</v>
      </c>
    </row>
    <row r="1882" spans="4:19" x14ac:dyDescent="0.25">
      <c r="D1882" t="s">
        <v>68</v>
      </c>
      <c r="E1882">
        <v>2014</v>
      </c>
      <c r="F1882" t="s">
        <v>27</v>
      </c>
      <c r="S1882">
        <v>216536</v>
      </c>
    </row>
    <row r="1883" spans="4:19" x14ac:dyDescent="0.25">
      <c r="D1883" t="s">
        <v>68</v>
      </c>
      <c r="E1883">
        <v>2015</v>
      </c>
      <c r="F1883" t="s">
        <v>27</v>
      </c>
      <c r="S1883">
        <v>231024</v>
      </c>
    </row>
    <row r="1884" spans="4:19" x14ac:dyDescent="0.25">
      <c r="D1884" t="s">
        <v>68</v>
      </c>
      <c r="E1884">
        <v>2013</v>
      </c>
      <c r="F1884" t="s">
        <v>28</v>
      </c>
      <c r="G1884">
        <v>40541</v>
      </c>
      <c r="H1884">
        <v>34827</v>
      </c>
      <c r="I1884">
        <v>30620</v>
      </c>
      <c r="J1884">
        <v>31697</v>
      </c>
      <c r="K1884">
        <v>29031</v>
      </c>
      <c r="L1884">
        <v>31202</v>
      </c>
      <c r="M1884">
        <v>32077</v>
      </c>
      <c r="N1884">
        <v>32311</v>
      </c>
      <c r="O1884">
        <v>35625</v>
      </c>
      <c r="P1884">
        <v>43512</v>
      </c>
      <c r="Q1884">
        <v>32026</v>
      </c>
      <c r="R1884">
        <v>35824</v>
      </c>
    </row>
    <row r="1885" spans="4:19" x14ac:dyDescent="0.25">
      <c r="D1885" t="s">
        <v>68</v>
      </c>
      <c r="E1885">
        <v>2014</v>
      </c>
      <c r="F1885" t="s">
        <v>28</v>
      </c>
      <c r="G1885">
        <v>35903</v>
      </c>
      <c r="H1885">
        <v>33628</v>
      </c>
      <c r="I1885">
        <v>30513</v>
      </c>
      <c r="J1885">
        <v>27155</v>
      </c>
      <c r="K1885">
        <v>26745</v>
      </c>
      <c r="L1885">
        <v>30242</v>
      </c>
      <c r="M1885">
        <v>32350</v>
      </c>
      <c r="N1885">
        <v>28939</v>
      </c>
      <c r="O1885">
        <v>33951</v>
      </c>
      <c r="P1885">
        <v>34309</v>
      </c>
      <c r="Q1885">
        <v>36057</v>
      </c>
      <c r="R1885">
        <v>35716</v>
      </c>
    </row>
    <row r="1886" spans="4:19" x14ac:dyDescent="0.25">
      <c r="D1886" t="s">
        <v>68</v>
      </c>
      <c r="E1886">
        <v>2015</v>
      </c>
      <c r="F1886" t="s">
        <v>28</v>
      </c>
      <c r="G1886">
        <v>34450</v>
      </c>
      <c r="H1886">
        <v>31054</v>
      </c>
      <c r="I1886">
        <v>34805</v>
      </c>
      <c r="J1886">
        <v>32486</v>
      </c>
      <c r="K1886">
        <v>29129</v>
      </c>
      <c r="L1886">
        <v>34474</v>
      </c>
      <c r="M1886">
        <v>34626</v>
      </c>
    </row>
    <row r="1887" spans="4:19" x14ac:dyDescent="0.25">
      <c r="D1887" t="s">
        <v>68</v>
      </c>
      <c r="E1887">
        <v>2013</v>
      </c>
      <c r="F1887" t="s">
        <v>29</v>
      </c>
      <c r="S1887">
        <v>21550</v>
      </c>
    </row>
    <row r="1888" spans="4:19" x14ac:dyDescent="0.25">
      <c r="D1888" t="s">
        <v>68</v>
      </c>
      <c r="E1888">
        <v>2014</v>
      </c>
      <c r="F1888" t="s">
        <v>29</v>
      </c>
      <c r="S1888">
        <v>22203</v>
      </c>
    </row>
    <row r="1889" spans="4:19" x14ac:dyDescent="0.25">
      <c r="D1889" t="s">
        <v>68</v>
      </c>
      <c r="E1889">
        <v>2015</v>
      </c>
      <c r="F1889" t="s">
        <v>29</v>
      </c>
      <c r="S1889">
        <v>21211</v>
      </c>
    </row>
    <row r="1890" spans="4:19" x14ac:dyDescent="0.25">
      <c r="D1890" t="s">
        <v>68</v>
      </c>
      <c r="E1890">
        <v>2013</v>
      </c>
      <c r="F1890" t="s">
        <v>30</v>
      </c>
      <c r="G1890">
        <v>3978</v>
      </c>
      <c r="H1890">
        <v>2847</v>
      </c>
      <c r="I1890">
        <v>3360</v>
      </c>
      <c r="J1890">
        <v>2720</v>
      </c>
      <c r="K1890">
        <v>2817</v>
      </c>
      <c r="L1890">
        <v>2778</v>
      </c>
      <c r="M1890">
        <v>3050</v>
      </c>
      <c r="N1890">
        <v>3149</v>
      </c>
      <c r="O1890">
        <v>4049</v>
      </c>
      <c r="P1890">
        <v>3873</v>
      </c>
      <c r="Q1890">
        <v>3170</v>
      </c>
      <c r="R1890">
        <v>3146</v>
      </c>
    </row>
    <row r="1891" spans="4:19" x14ac:dyDescent="0.25">
      <c r="D1891" t="s">
        <v>68</v>
      </c>
      <c r="E1891">
        <v>2014</v>
      </c>
      <c r="F1891" t="s">
        <v>30</v>
      </c>
      <c r="G1891">
        <v>3831</v>
      </c>
      <c r="H1891">
        <v>3782</v>
      </c>
      <c r="I1891">
        <v>3313</v>
      </c>
      <c r="J1891">
        <v>3215</v>
      </c>
      <c r="K1891">
        <v>2807</v>
      </c>
      <c r="L1891">
        <v>2828</v>
      </c>
      <c r="M1891">
        <v>2427</v>
      </c>
      <c r="N1891">
        <v>2482</v>
      </c>
      <c r="O1891">
        <v>3132</v>
      </c>
      <c r="P1891">
        <v>3152</v>
      </c>
      <c r="Q1891">
        <v>2938</v>
      </c>
      <c r="R1891">
        <v>3133</v>
      </c>
    </row>
    <row r="1892" spans="4:19" x14ac:dyDescent="0.25">
      <c r="D1892" t="s">
        <v>68</v>
      </c>
      <c r="E1892">
        <v>2015</v>
      </c>
      <c r="F1892" t="s">
        <v>30</v>
      </c>
      <c r="G1892">
        <v>3481</v>
      </c>
      <c r="H1892">
        <v>3237</v>
      </c>
      <c r="I1892">
        <v>3612</v>
      </c>
      <c r="J1892">
        <v>3015</v>
      </c>
      <c r="K1892">
        <v>2504</v>
      </c>
      <c r="L1892">
        <v>2953</v>
      </c>
      <c r="M1892">
        <v>2409</v>
      </c>
    </row>
    <row r="1893" spans="4:19" x14ac:dyDescent="0.25">
      <c r="D1893" t="s">
        <v>68</v>
      </c>
      <c r="E1893">
        <v>2013</v>
      </c>
      <c r="F1893" t="s">
        <v>31</v>
      </c>
      <c r="S1893">
        <v>0.80910080126619843</v>
      </c>
    </row>
    <row r="1894" spans="4:19" x14ac:dyDescent="0.25">
      <c r="D1894" t="s">
        <v>68</v>
      </c>
      <c r="E1894">
        <v>2014</v>
      </c>
      <c r="F1894" t="s">
        <v>31</v>
      </c>
      <c r="S1894">
        <v>0.93900595510765006</v>
      </c>
    </row>
    <row r="1895" spans="4:19" x14ac:dyDescent="0.25">
      <c r="D1895" t="s">
        <v>68</v>
      </c>
      <c r="E1895">
        <v>2015</v>
      </c>
      <c r="F1895" t="s">
        <v>31</v>
      </c>
      <c r="S1895">
        <v>0.89081174108423367</v>
      </c>
    </row>
    <row r="1896" spans="4:19" x14ac:dyDescent="0.25">
      <c r="D1896" t="s">
        <v>68</v>
      </c>
      <c r="E1896">
        <v>2013</v>
      </c>
      <c r="F1896" t="s">
        <v>32</v>
      </c>
      <c r="G1896">
        <v>0.77251071939018578</v>
      </c>
      <c r="H1896">
        <v>0.76880479926165202</v>
      </c>
      <c r="I1896">
        <v>0.74972436604189641</v>
      </c>
      <c r="J1896">
        <v>0.83592375366568916</v>
      </c>
      <c r="K1896">
        <v>0.8481869460112812</v>
      </c>
      <c r="L1896">
        <v>0.82686253934942289</v>
      </c>
      <c r="M1896">
        <v>0.90250950570342203</v>
      </c>
      <c r="N1896">
        <v>0.92427790788446529</v>
      </c>
      <c r="O1896">
        <v>0.93845500848896435</v>
      </c>
      <c r="P1896">
        <v>0.93290883677589687</v>
      </c>
      <c r="Q1896">
        <v>0.90200370432732779</v>
      </c>
      <c r="R1896">
        <v>0.96490599820948975</v>
      </c>
    </row>
    <row r="1897" spans="4:19" x14ac:dyDescent="0.25">
      <c r="D1897" t="s">
        <v>68</v>
      </c>
      <c r="E1897">
        <v>2014</v>
      </c>
      <c r="F1897" t="s">
        <v>32</v>
      </c>
      <c r="G1897">
        <v>0.9612038225645414</v>
      </c>
      <c r="H1897">
        <v>0.95030412838100164</v>
      </c>
      <c r="I1897">
        <v>0.94517577822518195</v>
      </c>
      <c r="J1897">
        <v>0.92401920211885447</v>
      </c>
      <c r="K1897">
        <v>0.93778664007976076</v>
      </c>
      <c r="L1897">
        <v>0.94605967865340479</v>
      </c>
      <c r="M1897">
        <v>0.90292832874939333</v>
      </c>
      <c r="N1897">
        <v>0.86753445635528326</v>
      </c>
      <c r="O1897">
        <v>0.8994225216554379</v>
      </c>
      <c r="P1897">
        <v>0.89318909035502059</v>
      </c>
      <c r="Q1897">
        <v>0.91267657310585215</v>
      </c>
      <c r="R1897">
        <v>0.90073111291632824</v>
      </c>
    </row>
    <row r="1898" spans="4:19" x14ac:dyDescent="0.25">
      <c r="D1898" t="s">
        <v>68</v>
      </c>
      <c r="E1898">
        <v>2015</v>
      </c>
      <c r="F1898" t="s">
        <v>32</v>
      </c>
      <c r="G1898">
        <v>0.8985483870967742</v>
      </c>
      <c r="H1898">
        <v>0.88883847549909256</v>
      </c>
      <c r="I1898">
        <v>0.88728194423736395</v>
      </c>
      <c r="J1898">
        <v>0.87426597582038001</v>
      </c>
      <c r="K1898">
        <v>0.891433244735228</v>
      </c>
      <c r="L1898">
        <v>0.89536878216123494</v>
      </c>
      <c r="M1898">
        <v>0.90027557698932137</v>
      </c>
    </row>
    <row r="1899" spans="4:19" x14ac:dyDescent="0.25">
      <c r="D1899" t="s">
        <v>68</v>
      </c>
      <c r="E1899">
        <v>2013</v>
      </c>
      <c r="F1899" t="s">
        <v>33</v>
      </c>
      <c r="S1899">
        <v>0.8159467655978565</v>
      </c>
    </row>
    <row r="1900" spans="4:19" x14ac:dyDescent="0.25">
      <c r="D1900" t="s">
        <v>68</v>
      </c>
      <c r="E1900">
        <v>2014</v>
      </c>
      <c r="F1900" t="s">
        <v>33</v>
      </c>
      <c r="S1900">
        <v>0.91579021175150754</v>
      </c>
    </row>
    <row r="1901" spans="4:19" x14ac:dyDescent="0.25">
      <c r="D1901" t="s">
        <v>68</v>
      </c>
      <c r="E1901">
        <v>2015</v>
      </c>
      <c r="F1901" t="s">
        <v>33</v>
      </c>
      <c r="S1901">
        <v>0.90135435617545989</v>
      </c>
    </row>
    <row r="1902" spans="4:19" x14ac:dyDescent="0.25">
      <c r="D1902" t="s">
        <v>68</v>
      </c>
      <c r="E1902">
        <v>2013</v>
      </c>
      <c r="F1902" t="s">
        <v>34</v>
      </c>
      <c r="G1902">
        <v>0.76736297089805394</v>
      </c>
      <c r="H1902">
        <v>0.76684112780685465</v>
      </c>
      <c r="I1902">
        <v>0.74086021505376343</v>
      </c>
      <c r="J1902">
        <v>0.86629042761015851</v>
      </c>
      <c r="K1902">
        <v>0.894287109375</v>
      </c>
      <c r="L1902">
        <v>0.85725388601036268</v>
      </c>
      <c r="M1902">
        <v>0.8787243947858473</v>
      </c>
      <c r="N1902">
        <v>0.88482545713607219</v>
      </c>
      <c r="O1902">
        <v>0.90766291657822118</v>
      </c>
      <c r="P1902">
        <v>0.90172884440400369</v>
      </c>
      <c r="Q1902">
        <v>0.85069266290405332</v>
      </c>
      <c r="R1902">
        <v>0.94759358288770057</v>
      </c>
    </row>
    <row r="1903" spans="4:19" x14ac:dyDescent="0.25">
      <c r="D1903" t="s">
        <v>68</v>
      </c>
      <c r="E1903">
        <v>2014</v>
      </c>
      <c r="F1903" t="s">
        <v>34</v>
      </c>
      <c r="G1903">
        <v>0.94205368555602897</v>
      </c>
      <c r="H1903">
        <v>0.92621060722521142</v>
      </c>
      <c r="I1903">
        <v>0.92059219380888291</v>
      </c>
      <c r="J1903">
        <v>0.89019138755980864</v>
      </c>
      <c r="K1903">
        <v>0.90599578186200658</v>
      </c>
      <c r="L1903">
        <v>0.91797556719022688</v>
      </c>
      <c r="M1903">
        <v>0.89507892293407609</v>
      </c>
      <c r="N1903">
        <v>0.8738961497703992</v>
      </c>
      <c r="O1903">
        <v>0.89201183431952658</v>
      </c>
      <c r="P1903">
        <v>0.9106529209621993</v>
      </c>
      <c r="Q1903">
        <v>0.92848814613291875</v>
      </c>
      <c r="R1903">
        <v>0.9117370892018779</v>
      </c>
    </row>
    <row r="1904" spans="4:19" x14ac:dyDescent="0.25">
      <c r="D1904" t="s">
        <v>68</v>
      </c>
      <c r="E1904">
        <v>2015</v>
      </c>
      <c r="F1904" t="s">
        <v>34</v>
      </c>
      <c r="G1904">
        <v>0.899386845039019</v>
      </c>
      <c r="H1904">
        <v>0.8908807482462977</v>
      </c>
      <c r="I1904">
        <v>0.9091354396277247</v>
      </c>
      <c r="J1904">
        <v>0.87586805555555558</v>
      </c>
      <c r="K1904">
        <v>0.91622340425531912</v>
      </c>
      <c r="L1904">
        <v>0.91078286558345645</v>
      </c>
      <c r="M1904">
        <v>0.9093879976232917</v>
      </c>
    </row>
    <row r="1905" spans="4:19" x14ac:dyDescent="0.25">
      <c r="D1905" t="s">
        <v>69</v>
      </c>
      <c r="E1905">
        <v>2013</v>
      </c>
      <c r="F1905" t="s">
        <v>17</v>
      </c>
      <c r="S1905">
        <v>0.84389087920592998</v>
      </c>
    </row>
    <row r="1906" spans="4:19" x14ac:dyDescent="0.25">
      <c r="D1906" t="s">
        <v>69</v>
      </c>
      <c r="E1906">
        <v>2014</v>
      </c>
      <c r="F1906" t="s">
        <v>17</v>
      </c>
      <c r="S1906">
        <v>0.87176410734726761</v>
      </c>
    </row>
    <row r="1907" spans="4:19" x14ac:dyDescent="0.25">
      <c r="D1907" t="s">
        <v>69</v>
      </c>
      <c r="E1907">
        <v>2015</v>
      </c>
      <c r="F1907" t="s">
        <v>17</v>
      </c>
      <c r="S1907">
        <v>0.86137219962729705</v>
      </c>
    </row>
    <row r="1908" spans="4:19" x14ac:dyDescent="0.25">
      <c r="D1908" t="s">
        <v>69</v>
      </c>
      <c r="E1908">
        <v>2013</v>
      </c>
      <c r="F1908" t="s">
        <v>18</v>
      </c>
      <c r="G1908">
        <v>0.69915355658550382</v>
      </c>
      <c r="H1908">
        <v>0.78799404223628922</v>
      </c>
      <c r="I1908">
        <v>0.86761242415006512</v>
      </c>
      <c r="J1908">
        <v>0.89592873897017755</v>
      </c>
      <c r="K1908">
        <v>0.89019984012789766</v>
      </c>
      <c r="L1908">
        <v>0.91549338420080539</v>
      </c>
      <c r="M1908">
        <v>0.91575506505275417</v>
      </c>
      <c r="N1908">
        <v>0.92479688222471756</v>
      </c>
      <c r="O1908">
        <v>0.90128424056703083</v>
      </c>
      <c r="P1908">
        <v>0.91441698610771283</v>
      </c>
      <c r="Q1908">
        <v>0.84836997725549657</v>
      </c>
      <c r="R1908">
        <v>0.90453005927180352</v>
      </c>
    </row>
    <row r="1909" spans="4:19" x14ac:dyDescent="0.25">
      <c r="D1909" t="s">
        <v>69</v>
      </c>
      <c r="E1909">
        <v>2014</v>
      </c>
      <c r="F1909" t="s">
        <v>18</v>
      </c>
      <c r="G1909">
        <v>0.80897260941612248</v>
      </c>
      <c r="H1909">
        <v>0.86697272193455399</v>
      </c>
      <c r="I1909">
        <v>0.91553944378314034</v>
      </c>
      <c r="J1909">
        <v>0.90786386862486745</v>
      </c>
      <c r="K1909">
        <v>0.85006976130321654</v>
      </c>
      <c r="L1909">
        <v>0.88489635364635366</v>
      </c>
      <c r="M1909">
        <v>0.87727745965642889</v>
      </c>
      <c r="N1909">
        <v>0.81591811155212035</v>
      </c>
      <c r="O1909">
        <v>0.83550713026758527</v>
      </c>
      <c r="P1909">
        <v>0.80459847844463228</v>
      </c>
      <c r="Q1909">
        <v>0.74898314933178389</v>
      </c>
      <c r="R1909">
        <v>0.7825100721129431</v>
      </c>
    </row>
    <row r="1910" spans="4:19" x14ac:dyDescent="0.25">
      <c r="D1910" t="s">
        <v>69</v>
      </c>
      <c r="E1910">
        <v>2015</v>
      </c>
      <c r="F1910" t="s">
        <v>18</v>
      </c>
      <c r="G1910">
        <v>0.79171237050578913</v>
      </c>
      <c r="H1910">
        <v>0.86964160224877018</v>
      </c>
      <c r="I1910">
        <v>0.87013663948769504</v>
      </c>
      <c r="J1910">
        <v>0.88360809395159068</v>
      </c>
      <c r="K1910">
        <v>0.80663816947447819</v>
      </c>
      <c r="L1910">
        <v>0.94939710408152966</v>
      </c>
      <c r="M1910">
        <v>0.91595933215185155</v>
      </c>
    </row>
    <row r="1911" spans="4:19" x14ac:dyDescent="0.25">
      <c r="D1911" t="s">
        <v>69</v>
      </c>
      <c r="E1911">
        <v>2013</v>
      </c>
      <c r="F1911" t="s">
        <v>19</v>
      </c>
      <c r="S1911">
        <v>0.63931075904015011</v>
      </c>
    </row>
    <row r="1912" spans="4:19" x14ac:dyDescent="0.25">
      <c r="D1912" t="s">
        <v>69</v>
      </c>
      <c r="E1912">
        <v>2014</v>
      </c>
      <c r="F1912" t="s">
        <v>19</v>
      </c>
      <c r="S1912">
        <v>0.94212548100830684</v>
      </c>
    </row>
    <row r="1913" spans="4:19" x14ac:dyDescent="0.25">
      <c r="D1913" t="s">
        <v>69</v>
      </c>
      <c r="E1913">
        <v>2015</v>
      </c>
      <c r="F1913" t="s">
        <v>19</v>
      </c>
      <c r="S1913">
        <v>0.87037866539528497</v>
      </c>
    </row>
    <row r="1914" spans="4:19" x14ac:dyDescent="0.25">
      <c r="D1914" t="s">
        <v>69</v>
      </c>
      <c r="E1914">
        <v>2013</v>
      </c>
      <c r="F1914" t="s">
        <v>20</v>
      </c>
      <c r="G1914">
        <v>0.58433842895544275</v>
      </c>
      <c r="H1914">
        <v>0.53666916380356999</v>
      </c>
      <c r="I1914">
        <v>0.54261117437671447</v>
      </c>
      <c r="J1914">
        <v>0.52489114248553281</v>
      </c>
      <c r="K1914">
        <v>0.49634460558748156</v>
      </c>
      <c r="L1914">
        <v>0.81151852912836275</v>
      </c>
      <c r="M1914">
        <v>0.94498160146951982</v>
      </c>
      <c r="N1914">
        <v>0.94935694707990725</v>
      </c>
      <c r="O1914">
        <v>0.80958103967917905</v>
      </c>
      <c r="P1914">
        <v>0.70508261458967758</v>
      </c>
      <c r="Q1914">
        <v>0.60457602491554829</v>
      </c>
      <c r="R1914">
        <v>0.77660192778017556</v>
      </c>
    </row>
    <row r="1915" spans="4:19" x14ac:dyDescent="0.25">
      <c r="D1915" t="s">
        <v>69</v>
      </c>
      <c r="E1915">
        <v>2014</v>
      </c>
      <c r="F1915" t="s">
        <v>20</v>
      </c>
      <c r="G1915">
        <v>0.98899850882012119</v>
      </c>
      <c r="H1915">
        <v>0.99635968992248058</v>
      </c>
      <c r="I1915">
        <v>0.95827420324714374</v>
      </c>
      <c r="J1915">
        <v>0.97488022704785715</v>
      </c>
      <c r="K1915">
        <v>0.78698288932207061</v>
      </c>
      <c r="L1915">
        <v>0.88967862523363905</v>
      </c>
      <c r="M1915">
        <v>0.96645081075480499</v>
      </c>
      <c r="N1915">
        <v>0.97816399566288315</v>
      </c>
      <c r="O1915">
        <v>0.93058014738612194</v>
      </c>
      <c r="P1915">
        <v>0.83745992117621593</v>
      </c>
      <c r="Q1915">
        <v>0.71978244425267146</v>
      </c>
      <c r="R1915">
        <v>0.88700848872059013</v>
      </c>
    </row>
    <row r="1916" spans="4:19" x14ac:dyDescent="0.25">
      <c r="D1916" t="s">
        <v>69</v>
      </c>
      <c r="E1916">
        <v>2015</v>
      </c>
      <c r="F1916" t="s">
        <v>20</v>
      </c>
      <c r="G1916">
        <v>0.91066823271736264</v>
      </c>
      <c r="H1916">
        <v>0.89357706395477121</v>
      </c>
      <c r="I1916">
        <v>0.8088538225348828</v>
      </c>
      <c r="J1916">
        <v>0.78067625899280579</v>
      </c>
      <c r="K1916">
        <v>0.76839907580101885</v>
      </c>
      <c r="L1916">
        <v>0.89786644136199956</v>
      </c>
      <c r="M1916">
        <v>0.98933533993357736</v>
      </c>
    </row>
    <row r="1917" spans="4:19" x14ac:dyDescent="0.25">
      <c r="D1917" t="s">
        <v>69</v>
      </c>
      <c r="E1917">
        <v>2013</v>
      </c>
      <c r="F1917" t="s">
        <v>21</v>
      </c>
      <c r="S1917">
        <v>0.863555455415986</v>
      </c>
    </row>
    <row r="1918" spans="4:19" x14ac:dyDescent="0.25">
      <c r="D1918" t="s">
        <v>69</v>
      </c>
      <c r="E1918">
        <v>2014</v>
      </c>
      <c r="F1918" t="s">
        <v>21</v>
      </c>
      <c r="S1918">
        <v>0.97840276350683542</v>
      </c>
    </row>
    <row r="1919" spans="4:19" x14ac:dyDescent="0.25">
      <c r="D1919" t="s">
        <v>69</v>
      </c>
      <c r="E1919">
        <v>2015</v>
      </c>
      <c r="F1919" t="s">
        <v>21</v>
      </c>
      <c r="S1919">
        <v>0.92063852625859066</v>
      </c>
    </row>
    <row r="1920" spans="4:19" x14ac:dyDescent="0.25">
      <c r="D1920" t="s">
        <v>69</v>
      </c>
      <c r="E1920">
        <v>2013</v>
      </c>
      <c r="F1920" t="s">
        <v>22</v>
      </c>
      <c r="G1920">
        <v>0.75919530595138307</v>
      </c>
      <c r="H1920">
        <v>0.79937422963875981</v>
      </c>
      <c r="I1920">
        <v>0.81728068726251446</v>
      </c>
      <c r="J1920">
        <v>0.88227733252684104</v>
      </c>
      <c r="K1920">
        <v>0.87604825328490066</v>
      </c>
      <c r="L1920">
        <v>0.96267833053999918</v>
      </c>
      <c r="M1920">
        <v>0.94538290217577525</v>
      </c>
      <c r="N1920">
        <v>0.96921118393134986</v>
      </c>
      <c r="O1920">
        <v>0.95358581788879937</v>
      </c>
      <c r="P1920">
        <v>0.96514781211289291</v>
      </c>
      <c r="Q1920">
        <v>0.96446237333717522</v>
      </c>
      <c r="R1920">
        <v>0.93717998516896783</v>
      </c>
    </row>
    <row r="1921" spans="4:19" x14ac:dyDescent="0.25">
      <c r="D1921" t="s">
        <v>69</v>
      </c>
      <c r="E1921">
        <v>2014</v>
      </c>
      <c r="F1921" t="s">
        <v>22</v>
      </c>
      <c r="G1921">
        <v>0.98023098845057743</v>
      </c>
      <c r="H1921">
        <v>0.99012848636790973</v>
      </c>
      <c r="I1921">
        <v>0.97763997165131111</v>
      </c>
      <c r="J1921">
        <v>0.98371183916604621</v>
      </c>
      <c r="K1921">
        <v>0.98066024650259576</v>
      </c>
      <c r="L1921">
        <v>0.97593013869523737</v>
      </c>
      <c r="M1921">
        <v>0.96307097249508844</v>
      </c>
      <c r="N1921">
        <v>0.95136057252226014</v>
      </c>
      <c r="O1921">
        <v>0.94817063002368007</v>
      </c>
      <c r="P1921">
        <v>0.87768468648181397</v>
      </c>
      <c r="Q1921">
        <v>0.83099545708137401</v>
      </c>
      <c r="R1921">
        <v>0.8718261222831607</v>
      </c>
    </row>
    <row r="1922" spans="4:19" x14ac:dyDescent="0.25">
      <c r="D1922" t="s">
        <v>69</v>
      </c>
      <c r="E1922">
        <v>2015</v>
      </c>
      <c r="F1922" t="s">
        <v>22</v>
      </c>
      <c r="G1922">
        <v>0.84662594964993299</v>
      </c>
      <c r="H1922">
        <v>0.82009546375467879</v>
      </c>
      <c r="I1922">
        <v>0.88763739991857782</v>
      </c>
      <c r="J1922">
        <v>0.95451573736807693</v>
      </c>
      <c r="K1922">
        <v>0.96699409130254788</v>
      </c>
      <c r="L1922">
        <v>0.98435576374500799</v>
      </c>
      <c r="M1922">
        <v>0.98690551968718743</v>
      </c>
    </row>
    <row r="1923" spans="4:19" x14ac:dyDescent="0.25">
      <c r="D1923" t="s">
        <v>69</v>
      </c>
      <c r="E1923">
        <v>2013</v>
      </c>
      <c r="F1923" t="s">
        <v>23</v>
      </c>
      <c r="S1923">
        <v>624137</v>
      </c>
    </row>
    <row r="1924" spans="4:19" x14ac:dyDescent="0.25">
      <c r="D1924" t="s">
        <v>69</v>
      </c>
      <c r="E1924">
        <v>2014</v>
      </c>
      <c r="F1924" t="s">
        <v>23</v>
      </c>
      <c r="S1924">
        <v>443738</v>
      </c>
    </row>
    <row r="1925" spans="4:19" x14ac:dyDescent="0.25">
      <c r="D1925" t="s">
        <v>69</v>
      </c>
      <c r="E1925">
        <v>2015</v>
      </c>
      <c r="F1925" t="s">
        <v>23</v>
      </c>
      <c r="S1925">
        <v>410401</v>
      </c>
    </row>
    <row r="1926" spans="4:19" x14ac:dyDescent="0.25">
      <c r="D1926" t="s">
        <v>69</v>
      </c>
      <c r="E1926">
        <v>2013</v>
      </c>
      <c r="F1926" t="s">
        <v>24</v>
      </c>
      <c r="G1926">
        <v>160360</v>
      </c>
      <c r="H1926">
        <v>127047</v>
      </c>
      <c r="I1926">
        <v>91861</v>
      </c>
      <c r="J1926">
        <v>70302</v>
      </c>
      <c r="K1926">
        <v>70307</v>
      </c>
      <c r="L1926">
        <v>49555</v>
      </c>
      <c r="M1926">
        <v>54705</v>
      </c>
      <c r="N1926">
        <v>58407</v>
      </c>
      <c r="O1926">
        <v>69753</v>
      </c>
      <c r="P1926">
        <v>61834</v>
      </c>
      <c r="Q1926">
        <v>57636</v>
      </c>
      <c r="R1926">
        <v>60309</v>
      </c>
    </row>
    <row r="1927" spans="4:19" x14ac:dyDescent="0.25">
      <c r="D1927" t="s">
        <v>69</v>
      </c>
      <c r="E1927">
        <v>2014</v>
      </c>
      <c r="F1927" t="s">
        <v>24</v>
      </c>
      <c r="G1927">
        <v>71069</v>
      </c>
      <c r="H1927">
        <v>71975</v>
      </c>
      <c r="I1927">
        <v>65712</v>
      </c>
      <c r="J1927">
        <v>56406</v>
      </c>
      <c r="K1927">
        <v>60399</v>
      </c>
      <c r="L1927">
        <v>58147</v>
      </c>
      <c r="M1927">
        <v>60030</v>
      </c>
      <c r="N1927">
        <v>54888</v>
      </c>
      <c r="O1927">
        <v>75259</v>
      </c>
      <c r="P1927">
        <v>69637</v>
      </c>
      <c r="Q1927">
        <v>62834</v>
      </c>
      <c r="R1927">
        <v>65494</v>
      </c>
    </row>
    <row r="1928" spans="4:19" x14ac:dyDescent="0.25">
      <c r="D1928" t="s">
        <v>69</v>
      </c>
      <c r="E1928">
        <v>2015</v>
      </c>
      <c r="F1928" t="s">
        <v>24</v>
      </c>
      <c r="G1928">
        <v>64735</v>
      </c>
      <c r="H1928">
        <v>58667</v>
      </c>
      <c r="I1928">
        <v>62188</v>
      </c>
      <c r="J1928">
        <v>50378</v>
      </c>
      <c r="K1928">
        <v>50101</v>
      </c>
      <c r="L1928">
        <v>59595</v>
      </c>
      <c r="M1928">
        <v>64737</v>
      </c>
    </row>
    <row r="1929" spans="4:19" x14ac:dyDescent="0.25">
      <c r="D1929" t="s">
        <v>69</v>
      </c>
      <c r="E1929">
        <v>2013</v>
      </c>
      <c r="F1929" t="s">
        <v>25</v>
      </c>
      <c r="S1929">
        <v>1064290</v>
      </c>
    </row>
    <row r="1930" spans="4:19" x14ac:dyDescent="0.25">
      <c r="D1930" t="s">
        <v>69</v>
      </c>
      <c r="E1930">
        <v>2014</v>
      </c>
      <c r="F1930" t="s">
        <v>25</v>
      </c>
      <c r="S1930">
        <v>1101349</v>
      </c>
    </row>
    <row r="1931" spans="4:19" x14ac:dyDescent="0.25">
      <c r="D1931" t="s">
        <v>69</v>
      </c>
      <c r="E1931">
        <v>2015</v>
      </c>
      <c r="F1931" t="s">
        <v>25</v>
      </c>
      <c r="S1931">
        <v>1256546</v>
      </c>
    </row>
    <row r="1932" spans="4:19" x14ac:dyDescent="0.25">
      <c r="D1932" t="s">
        <v>69</v>
      </c>
      <c r="E1932">
        <v>2013</v>
      </c>
      <c r="F1932" t="s">
        <v>26</v>
      </c>
      <c r="G1932">
        <v>177022</v>
      </c>
      <c r="H1932">
        <v>143404</v>
      </c>
      <c r="I1932">
        <v>144159</v>
      </c>
      <c r="J1932">
        <v>150839</v>
      </c>
      <c r="K1932">
        <v>138722</v>
      </c>
      <c r="L1932">
        <v>152230</v>
      </c>
      <c r="M1932">
        <v>157914</v>
      </c>
      <c r="N1932">
        <v>134751</v>
      </c>
      <c r="O1932">
        <v>217456</v>
      </c>
      <c r="P1932">
        <v>200020</v>
      </c>
      <c r="Q1932">
        <v>183327</v>
      </c>
      <c r="R1932">
        <v>198902</v>
      </c>
    </row>
    <row r="1933" spans="4:19" x14ac:dyDescent="0.25">
      <c r="D1933" t="s">
        <v>69</v>
      </c>
      <c r="E1933">
        <v>2014</v>
      </c>
      <c r="F1933" t="s">
        <v>26</v>
      </c>
      <c r="G1933">
        <v>190098</v>
      </c>
      <c r="H1933">
        <v>161635</v>
      </c>
      <c r="I1933">
        <v>145195</v>
      </c>
      <c r="J1933">
        <v>145934</v>
      </c>
      <c r="K1933">
        <v>137201</v>
      </c>
      <c r="L1933">
        <v>151387</v>
      </c>
      <c r="M1933">
        <v>169899</v>
      </c>
      <c r="N1933">
        <v>142964</v>
      </c>
      <c r="O1933">
        <v>196229</v>
      </c>
      <c r="P1933">
        <v>223527</v>
      </c>
      <c r="Q1933">
        <v>189187</v>
      </c>
      <c r="R1933">
        <v>217730</v>
      </c>
    </row>
    <row r="1934" spans="4:19" x14ac:dyDescent="0.25">
      <c r="D1934" t="s">
        <v>69</v>
      </c>
      <c r="E1934">
        <v>2015</v>
      </c>
      <c r="F1934" t="s">
        <v>26</v>
      </c>
      <c r="G1934">
        <v>193956</v>
      </c>
      <c r="H1934">
        <v>166005</v>
      </c>
      <c r="I1934">
        <v>186151</v>
      </c>
      <c r="J1934">
        <v>169525</v>
      </c>
      <c r="K1934">
        <v>151611</v>
      </c>
      <c r="L1934">
        <v>186773</v>
      </c>
      <c r="M1934">
        <v>202525</v>
      </c>
    </row>
    <row r="1935" spans="4:19" x14ac:dyDescent="0.25">
      <c r="D1935" t="s">
        <v>69</v>
      </c>
      <c r="E1935">
        <v>2013</v>
      </c>
      <c r="F1935" t="s">
        <v>27</v>
      </c>
      <c r="S1935">
        <v>1746241</v>
      </c>
    </row>
    <row r="1936" spans="4:19" x14ac:dyDescent="0.25">
      <c r="D1936" t="s">
        <v>69</v>
      </c>
      <c r="E1936">
        <v>2014</v>
      </c>
      <c r="F1936" t="s">
        <v>27</v>
      </c>
      <c r="S1936">
        <v>1807456</v>
      </c>
    </row>
    <row r="1937" spans="4:19" x14ac:dyDescent="0.25">
      <c r="D1937" t="s">
        <v>69</v>
      </c>
      <c r="E1937">
        <v>2015</v>
      </c>
      <c r="F1937" t="s">
        <v>27</v>
      </c>
      <c r="S1937">
        <v>2104712</v>
      </c>
    </row>
    <row r="1938" spans="4:19" x14ac:dyDescent="0.25">
      <c r="D1938" t="s">
        <v>69</v>
      </c>
      <c r="E1938">
        <v>2013</v>
      </c>
      <c r="F1938" t="s">
        <v>28</v>
      </c>
      <c r="G1938">
        <v>286601</v>
      </c>
      <c r="H1938">
        <v>234362</v>
      </c>
      <c r="I1938">
        <v>245058</v>
      </c>
      <c r="J1938">
        <v>252136</v>
      </c>
      <c r="K1938">
        <v>224633</v>
      </c>
      <c r="L1938">
        <v>239471</v>
      </c>
      <c r="M1938">
        <v>263980</v>
      </c>
      <c r="N1938">
        <v>226520</v>
      </c>
      <c r="O1938">
        <v>339461</v>
      </c>
      <c r="P1938">
        <v>322440</v>
      </c>
      <c r="Q1938">
        <v>284575</v>
      </c>
      <c r="R1938">
        <v>311389</v>
      </c>
    </row>
    <row r="1939" spans="4:19" x14ac:dyDescent="0.25">
      <c r="D1939" t="s">
        <v>69</v>
      </c>
      <c r="E1939">
        <v>2014</v>
      </c>
      <c r="F1939" t="s">
        <v>28</v>
      </c>
      <c r="G1939">
        <v>303436</v>
      </c>
      <c r="H1939">
        <v>266770</v>
      </c>
      <c r="I1939">
        <v>236073</v>
      </c>
      <c r="J1939">
        <v>241680</v>
      </c>
      <c r="K1939">
        <v>225488</v>
      </c>
      <c r="L1939">
        <v>253750</v>
      </c>
      <c r="M1939">
        <v>280259</v>
      </c>
      <c r="N1939">
        <v>238294</v>
      </c>
      <c r="O1939">
        <v>328138</v>
      </c>
      <c r="P1939">
        <v>346717</v>
      </c>
      <c r="Q1939">
        <v>300436</v>
      </c>
      <c r="R1939">
        <v>341528</v>
      </c>
    </row>
    <row r="1940" spans="4:19" x14ac:dyDescent="0.25">
      <c r="D1940" t="s">
        <v>69</v>
      </c>
      <c r="E1940">
        <v>2015</v>
      </c>
      <c r="F1940" t="s">
        <v>28</v>
      </c>
      <c r="G1940">
        <v>311912</v>
      </c>
      <c r="H1940">
        <v>286430</v>
      </c>
      <c r="I1940">
        <v>328528</v>
      </c>
      <c r="J1940">
        <v>285537</v>
      </c>
      <c r="K1940">
        <v>247834</v>
      </c>
      <c r="L1940">
        <v>310691</v>
      </c>
      <c r="M1940">
        <v>333780</v>
      </c>
    </row>
    <row r="1941" spans="4:19" x14ac:dyDescent="0.25">
      <c r="D1941" t="s">
        <v>69</v>
      </c>
      <c r="E1941">
        <v>2013</v>
      </c>
      <c r="F1941" t="s">
        <v>29</v>
      </c>
      <c r="S1941">
        <v>250658</v>
      </c>
    </row>
    <row r="1942" spans="4:19" x14ac:dyDescent="0.25">
      <c r="D1942" t="s">
        <v>69</v>
      </c>
      <c r="E1942">
        <v>2014</v>
      </c>
      <c r="F1942" t="s">
        <v>29</v>
      </c>
      <c r="S1942">
        <v>235870</v>
      </c>
    </row>
    <row r="1943" spans="4:19" x14ac:dyDescent="0.25">
      <c r="D1943" t="s">
        <v>69</v>
      </c>
      <c r="E1943">
        <v>2015</v>
      </c>
      <c r="F1943" t="s">
        <v>29</v>
      </c>
      <c r="S1943">
        <v>147034</v>
      </c>
    </row>
    <row r="1944" spans="4:19" x14ac:dyDescent="0.25">
      <c r="D1944" t="s">
        <v>69</v>
      </c>
      <c r="E1944">
        <v>2013</v>
      </c>
      <c r="F1944" t="s">
        <v>30</v>
      </c>
      <c r="G1944">
        <v>45957</v>
      </c>
      <c r="H1944">
        <v>37598</v>
      </c>
      <c r="I1944">
        <v>36091</v>
      </c>
      <c r="J1944">
        <v>35812</v>
      </c>
      <c r="K1944">
        <v>31275</v>
      </c>
      <c r="L1944">
        <v>33027</v>
      </c>
      <c r="M1944">
        <v>30898</v>
      </c>
      <c r="N1944">
        <v>30278</v>
      </c>
      <c r="O1944">
        <v>42749</v>
      </c>
      <c r="P1944">
        <v>36783</v>
      </c>
      <c r="Q1944">
        <v>35613</v>
      </c>
      <c r="R1944">
        <v>33068</v>
      </c>
    </row>
    <row r="1945" spans="4:19" x14ac:dyDescent="0.25">
      <c r="D1945" t="s">
        <v>69</v>
      </c>
      <c r="E1945">
        <v>2014</v>
      </c>
      <c r="F1945" t="s">
        <v>30</v>
      </c>
      <c r="G1945">
        <v>41036</v>
      </c>
      <c r="H1945">
        <v>37466</v>
      </c>
      <c r="I1945">
        <v>36964</v>
      </c>
      <c r="J1945">
        <v>31117</v>
      </c>
      <c r="K1945">
        <v>26519</v>
      </c>
      <c r="L1945">
        <v>32032</v>
      </c>
      <c r="M1945">
        <v>30736</v>
      </c>
      <c r="N1945">
        <v>23935</v>
      </c>
      <c r="O1945">
        <v>31205</v>
      </c>
      <c r="P1945">
        <v>29575</v>
      </c>
      <c r="Q1945">
        <v>29257</v>
      </c>
      <c r="R1945">
        <v>29537</v>
      </c>
    </row>
    <row r="1946" spans="4:19" x14ac:dyDescent="0.25">
      <c r="D1946" t="s">
        <v>69</v>
      </c>
      <c r="E1946">
        <v>2015</v>
      </c>
      <c r="F1946" t="s">
        <v>30</v>
      </c>
      <c r="G1946">
        <v>32820</v>
      </c>
      <c r="H1946">
        <v>22768</v>
      </c>
      <c r="I1946">
        <v>26859</v>
      </c>
      <c r="J1946">
        <v>18137</v>
      </c>
      <c r="K1946">
        <v>15908</v>
      </c>
      <c r="L1946">
        <v>19821</v>
      </c>
      <c r="M1946">
        <v>10721</v>
      </c>
    </row>
    <row r="1947" spans="4:19" x14ac:dyDescent="0.25">
      <c r="D1947" t="s">
        <v>69</v>
      </c>
      <c r="E1947">
        <v>2013</v>
      </c>
      <c r="F1947" t="s">
        <v>31</v>
      </c>
      <c r="S1947">
        <v>0.51850635357301367</v>
      </c>
    </row>
    <row r="1948" spans="4:19" x14ac:dyDescent="0.25">
      <c r="D1948" t="s">
        <v>69</v>
      </c>
      <c r="E1948">
        <v>2014</v>
      </c>
      <c r="F1948" t="s">
        <v>31</v>
      </c>
      <c r="S1948">
        <v>0.94529204170028258</v>
      </c>
    </row>
    <row r="1949" spans="4:19" x14ac:dyDescent="0.25">
      <c r="D1949" t="s">
        <v>69</v>
      </c>
      <c r="E1949">
        <v>2015</v>
      </c>
      <c r="F1949" t="s">
        <v>31</v>
      </c>
      <c r="S1949">
        <v>0.90168396275837537</v>
      </c>
    </row>
    <row r="1950" spans="4:19" x14ac:dyDescent="0.25">
      <c r="D1950" t="s">
        <v>69</v>
      </c>
      <c r="E1950">
        <v>2013</v>
      </c>
      <c r="F1950" t="s">
        <v>32</v>
      </c>
      <c r="G1950">
        <v>0.32490022449488648</v>
      </c>
      <c r="H1950">
        <v>0.4053066975213897</v>
      </c>
      <c r="I1950">
        <v>0.48922829056944733</v>
      </c>
      <c r="J1950">
        <v>0.65929845523598196</v>
      </c>
      <c r="K1950">
        <v>0.6062411993115906</v>
      </c>
      <c r="L1950">
        <v>0.76248612652608216</v>
      </c>
      <c r="M1950">
        <v>0.88339274289370262</v>
      </c>
      <c r="N1950">
        <v>0.82728097659527111</v>
      </c>
      <c r="O1950">
        <v>0.7918369102404198</v>
      </c>
      <c r="P1950">
        <v>0.94354238768315168</v>
      </c>
      <c r="Q1950">
        <v>0.91670136720105488</v>
      </c>
      <c r="R1950">
        <v>0.90266792684342301</v>
      </c>
    </row>
    <row r="1951" spans="4:19" x14ac:dyDescent="0.25">
      <c r="D1951" t="s">
        <v>69</v>
      </c>
      <c r="E1951">
        <v>2014</v>
      </c>
      <c r="F1951" t="s">
        <v>32</v>
      </c>
      <c r="G1951">
        <v>0.94191560314623812</v>
      </c>
      <c r="H1951">
        <v>0.93344911427579025</v>
      </c>
      <c r="I1951">
        <v>0.94268931093255415</v>
      </c>
      <c r="J1951">
        <v>0.96674112683047908</v>
      </c>
      <c r="K1951">
        <v>0.95514826404410669</v>
      </c>
      <c r="L1951">
        <v>0.94572376906805167</v>
      </c>
      <c r="M1951">
        <v>0.93584874229551895</v>
      </c>
      <c r="N1951">
        <v>0.90555312636641894</v>
      </c>
      <c r="O1951">
        <v>0.90620390916700988</v>
      </c>
      <c r="P1951">
        <v>0.88875166937116767</v>
      </c>
      <c r="Q1951">
        <v>0.842091861094312</v>
      </c>
      <c r="R1951">
        <v>0.84881057806822002</v>
      </c>
    </row>
    <row r="1952" spans="4:19" x14ac:dyDescent="0.25">
      <c r="D1952" t="s">
        <v>69</v>
      </c>
      <c r="E1952">
        <v>2015</v>
      </c>
      <c r="F1952" t="s">
        <v>32</v>
      </c>
      <c r="G1952">
        <v>0.92826137329110991</v>
      </c>
      <c r="H1952">
        <v>0.89892102885779057</v>
      </c>
      <c r="I1952">
        <v>0.89895156621856309</v>
      </c>
      <c r="J1952">
        <v>0.92328000317598957</v>
      </c>
      <c r="K1952">
        <v>0.89974252010937905</v>
      </c>
      <c r="L1952">
        <v>0.89052772883631182</v>
      </c>
      <c r="M1952">
        <v>0.87520274340794291</v>
      </c>
    </row>
    <row r="1953" spans="4:19" x14ac:dyDescent="0.25">
      <c r="D1953" t="s">
        <v>69</v>
      </c>
      <c r="E1953">
        <v>2013</v>
      </c>
      <c r="F1953" t="s">
        <v>33</v>
      </c>
      <c r="S1953">
        <v>0.44356702702007317</v>
      </c>
    </row>
    <row r="1954" spans="4:19" x14ac:dyDescent="0.25">
      <c r="D1954" t="s">
        <v>69</v>
      </c>
      <c r="E1954">
        <v>2014</v>
      </c>
      <c r="F1954" t="s">
        <v>33</v>
      </c>
      <c r="S1954">
        <v>0.90832704901766226</v>
      </c>
    </row>
    <row r="1955" spans="4:19" x14ac:dyDescent="0.25">
      <c r="D1955" t="s">
        <v>69</v>
      </c>
      <c r="E1955">
        <v>2015</v>
      </c>
      <c r="F1955" t="s">
        <v>33</v>
      </c>
      <c r="S1955">
        <v>0.90715461363559236</v>
      </c>
    </row>
    <row r="1956" spans="4:19" x14ac:dyDescent="0.25">
      <c r="D1956" t="s">
        <v>69</v>
      </c>
      <c r="E1956">
        <v>2013</v>
      </c>
      <c r="F1956" t="s">
        <v>34</v>
      </c>
      <c r="G1956">
        <v>0.21772475500639113</v>
      </c>
      <c r="H1956">
        <v>0.29852916562055404</v>
      </c>
      <c r="I1956">
        <v>0.42457802868828848</v>
      </c>
      <c r="J1956">
        <v>0.64066339066339062</v>
      </c>
      <c r="K1956">
        <v>0.5740823591199985</v>
      </c>
      <c r="L1956">
        <v>0.79354801073387005</v>
      </c>
      <c r="M1956">
        <v>0.84611417248025189</v>
      </c>
      <c r="N1956">
        <v>0.72947170823277019</v>
      </c>
      <c r="O1956">
        <v>0.69048431105047747</v>
      </c>
      <c r="P1956">
        <v>0.91814387544550746</v>
      </c>
      <c r="Q1956">
        <v>0.87601363565931512</v>
      </c>
      <c r="R1956">
        <v>0.84898767718864965</v>
      </c>
    </row>
    <row r="1957" spans="4:19" x14ac:dyDescent="0.25">
      <c r="D1957" t="s">
        <v>69</v>
      </c>
      <c r="E1957">
        <v>2014</v>
      </c>
      <c r="F1957" t="s">
        <v>34</v>
      </c>
      <c r="G1957">
        <v>0.9088540516670347</v>
      </c>
      <c r="H1957">
        <v>0.87974190956792453</v>
      </c>
      <c r="I1957">
        <v>0.89866810170859679</v>
      </c>
      <c r="J1957">
        <v>0.94405177298619192</v>
      </c>
      <c r="K1957">
        <v>0.91099940863394446</v>
      </c>
      <c r="L1957">
        <v>0.90323470795646177</v>
      </c>
      <c r="M1957">
        <v>0.91922611850060465</v>
      </c>
      <c r="N1957">
        <v>0.95186517556893724</v>
      </c>
      <c r="O1957">
        <v>0.88918249933101423</v>
      </c>
      <c r="P1957">
        <v>0.86844787644787647</v>
      </c>
      <c r="Q1957">
        <v>0.76178699897225077</v>
      </c>
      <c r="R1957">
        <v>0.79122935243385473</v>
      </c>
    </row>
    <row r="1958" spans="4:19" x14ac:dyDescent="0.25">
      <c r="D1958" t="s">
        <v>69</v>
      </c>
      <c r="E1958">
        <v>2015</v>
      </c>
      <c r="F1958" t="s">
        <v>34</v>
      </c>
      <c r="G1958">
        <v>0.94007342558599261</v>
      </c>
      <c r="H1958">
        <v>0.89558426806758484</v>
      </c>
      <c r="I1958">
        <v>0.91127642698903266</v>
      </c>
      <c r="J1958">
        <v>0.95386240501584485</v>
      </c>
      <c r="K1958">
        <v>0.90065094440294524</v>
      </c>
      <c r="L1958">
        <v>0.89158698694029848</v>
      </c>
      <c r="M1958">
        <v>0.86466942148760328</v>
      </c>
    </row>
    <row r="1959" spans="4:19" x14ac:dyDescent="0.25">
      <c r="D1959" t="s">
        <v>70</v>
      </c>
      <c r="E1959">
        <v>2013</v>
      </c>
      <c r="F1959" t="s">
        <v>17</v>
      </c>
      <c r="S1959">
        <v>0.88499680423850435</v>
      </c>
    </row>
    <row r="1960" spans="4:19" x14ac:dyDescent="0.25">
      <c r="D1960" t="s">
        <v>70</v>
      </c>
      <c r="E1960">
        <v>2014</v>
      </c>
      <c r="F1960" t="s">
        <v>17</v>
      </c>
      <c r="S1960">
        <v>0.91277014703746151</v>
      </c>
    </row>
    <row r="1961" spans="4:19" x14ac:dyDescent="0.25">
      <c r="D1961" t="s">
        <v>70</v>
      </c>
      <c r="E1961">
        <v>2015</v>
      </c>
      <c r="F1961" t="s">
        <v>17</v>
      </c>
      <c r="S1961">
        <v>0.93047407475842725</v>
      </c>
    </row>
    <row r="1962" spans="4:19" x14ac:dyDescent="0.25">
      <c r="D1962" t="s">
        <v>70</v>
      </c>
      <c r="E1962">
        <v>2013</v>
      </c>
      <c r="F1962" t="s">
        <v>18</v>
      </c>
      <c r="G1962">
        <v>0.86380365426076355</v>
      </c>
      <c r="H1962">
        <v>0.85222472264992699</v>
      </c>
      <c r="I1962">
        <v>0.86033463328720594</v>
      </c>
      <c r="J1962">
        <v>0.88884202238344301</v>
      </c>
      <c r="K1962">
        <v>0.89280976386309363</v>
      </c>
      <c r="L1962">
        <v>0.90694178334561537</v>
      </c>
      <c r="M1962">
        <v>0.9326369085724262</v>
      </c>
      <c r="N1962">
        <v>0.93830934069545779</v>
      </c>
      <c r="O1962">
        <v>0.90350415909742809</v>
      </c>
      <c r="P1962">
        <v>0.91245607957638442</v>
      </c>
      <c r="Q1962">
        <v>0.90071275090404068</v>
      </c>
      <c r="R1962">
        <v>0.91014713210417264</v>
      </c>
    </row>
    <row r="1963" spans="4:19" x14ac:dyDescent="0.25">
      <c r="D1963" t="s">
        <v>70</v>
      </c>
      <c r="E1963">
        <v>2014</v>
      </c>
      <c r="F1963" t="s">
        <v>18</v>
      </c>
      <c r="G1963">
        <v>0.88391647591909184</v>
      </c>
      <c r="H1963">
        <v>0.91523045561644556</v>
      </c>
      <c r="I1963">
        <v>0.90954710430803221</v>
      </c>
      <c r="J1963">
        <v>0.92649663976604901</v>
      </c>
      <c r="K1963">
        <v>0.91391149157566776</v>
      </c>
      <c r="L1963">
        <v>0.92481007539212567</v>
      </c>
      <c r="M1963">
        <v>0.92211047501160448</v>
      </c>
      <c r="N1963">
        <v>0.92044705147339556</v>
      </c>
      <c r="O1963">
        <v>0.92171330873751467</v>
      </c>
      <c r="P1963">
        <v>0.92931013505292615</v>
      </c>
      <c r="Q1963">
        <v>0.93734161352307221</v>
      </c>
      <c r="R1963">
        <v>0.91877174808085638</v>
      </c>
    </row>
    <row r="1964" spans="4:19" x14ac:dyDescent="0.25">
      <c r="D1964" t="s">
        <v>70</v>
      </c>
      <c r="E1964">
        <v>2015</v>
      </c>
      <c r="F1964" t="s">
        <v>18</v>
      </c>
      <c r="G1964">
        <v>0.90691508768516038</v>
      </c>
      <c r="H1964">
        <v>0.9150147847990362</v>
      </c>
      <c r="I1964">
        <v>0.93357683655451007</v>
      </c>
      <c r="J1964">
        <v>0.94135908934115209</v>
      </c>
      <c r="K1964">
        <v>0.92399041255084258</v>
      </c>
      <c r="L1964">
        <v>0.9487382664878703</v>
      </c>
      <c r="M1964">
        <v>0.95414684898929847</v>
      </c>
    </row>
    <row r="1965" spans="4:19" x14ac:dyDescent="0.25">
      <c r="D1965" t="s">
        <v>70</v>
      </c>
      <c r="E1965">
        <v>2013</v>
      </c>
      <c r="F1965" t="s">
        <v>19</v>
      </c>
      <c r="S1965">
        <v>0.64827276157324298</v>
      </c>
    </row>
    <row r="1966" spans="4:19" x14ac:dyDescent="0.25">
      <c r="D1966" t="s">
        <v>70</v>
      </c>
      <c r="E1966">
        <v>2014</v>
      </c>
      <c r="F1966" t="s">
        <v>19</v>
      </c>
      <c r="S1966">
        <v>0.91184113871285566</v>
      </c>
    </row>
    <row r="1967" spans="4:19" x14ac:dyDescent="0.25">
      <c r="D1967" t="s">
        <v>70</v>
      </c>
      <c r="E1967">
        <v>2015</v>
      </c>
      <c r="F1967" t="s">
        <v>19</v>
      </c>
      <c r="S1967">
        <v>0.91154703792245828</v>
      </c>
    </row>
    <row r="1968" spans="4:19" x14ac:dyDescent="0.25">
      <c r="D1968" t="s">
        <v>70</v>
      </c>
      <c r="E1968">
        <v>2013</v>
      </c>
      <c r="F1968" t="s">
        <v>20</v>
      </c>
      <c r="G1968">
        <v>0.7024668260027902</v>
      </c>
      <c r="H1968">
        <v>0.56886076621033643</v>
      </c>
      <c r="I1968">
        <v>0.64775703097404413</v>
      </c>
      <c r="J1968">
        <v>0.52158638076391339</v>
      </c>
      <c r="K1968">
        <v>0.4863342006925831</v>
      </c>
      <c r="L1968">
        <v>0.63018281873430115</v>
      </c>
      <c r="M1968">
        <v>0.94561237013003141</v>
      </c>
      <c r="N1968">
        <v>0.85380474896037728</v>
      </c>
      <c r="O1968">
        <v>0.77566332956219186</v>
      </c>
      <c r="P1968">
        <v>0.78391617907198263</v>
      </c>
      <c r="Q1968">
        <v>0.71032949993539218</v>
      </c>
      <c r="R1968">
        <v>0.80297754097942742</v>
      </c>
    </row>
    <row r="1969" spans="4:19" x14ac:dyDescent="0.25">
      <c r="D1969" t="s">
        <v>70</v>
      </c>
      <c r="E1969">
        <v>2014</v>
      </c>
      <c r="F1969" t="s">
        <v>20</v>
      </c>
      <c r="G1969">
        <v>0.81706690166703388</v>
      </c>
      <c r="H1969">
        <v>0.88323749136507324</v>
      </c>
      <c r="I1969">
        <v>0.93471704194870375</v>
      </c>
      <c r="J1969">
        <v>0.92434792634813689</v>
      </c>
      <c r="K1969">
        <v>0.96980008765949155</v>
      </c>
      <c r="L1969">
        <v>0.88771192136662058</v>
      </c>
      <c r="M1969">
        <v>0.98437522080540385</v>
      </c>
      <c r="N1969">
        <v>0.99690929799130257</v>
      </c>
      <c r="O1969">
        <v>0.99804410584035119</v>
      </c>
      <c r="P1969">
        <v>0.99865722858611139</v>
      </c>
      <c r="Q1969">
        <v>0.99484227875611575</v>
      </c>
      <c r="R1969">
        <v>0.98333372489134263</v>
      </c>
    </row>
    <row r="1970" spans="4:19" x14ac:dyDescent="0.25">
      <c r="D1970" t="s">
        <v>70</v>
      </c>
      <c r="E1970">
        <v>2015</v>
      </c>
      <c r="F1970" t="s">
        <v>20</v>
      </c>
      <c r="G1970">
        <v>0.88876271783501526</v>
      </c>
      <c r="H1970">
        <v>0.85434797564583265</v>
      </c>
      <c r="I1970">
        <v>0.89534266689927888</v>
      </c>
      <c r="J1970">
        <v>0.94811687435122816</v>
      </c>
      <c r="K1970">
        <v>0.85868631196396417</v>
      </c>
      <c r="L1970">
        <v>0.94758915881400907</v>
      </c>
      <c r="M1970">
        <v>0.98324125635551252</v>
      </c>
    </row>
    <row r="1971" spans="4:19" x14ac:dyDescent="0.25">
      <c r="D1971" t="s">
        <v>70</v>
      </c>
      <c r="E1971">
        <v>2013</v>
      </c>
      <c r="F1971" t="s">
        <v>21</v>
      </c>
      <c r="S1971">
        <v>0.89883189170826039</v>
      </c>
    </row>
    <row r="1972" spans="4:19" x14ac:dyDescent="0.25">
      <c r="D1972" t="s">
        <v>70</v>
      </c>
      <c r="E1972">
        <v>2014</v>
      </c>
      <c r="F1972" t="s">
        <v>21</v>
      </c>
      <c r="S1972">
        <v>0.98205764100251758</v>
      </c>
    </row>
    <row r="1973" spans="4:19" x14ac:dyDescent="0.25">
      <c r="D1973" t="s">
        <v>70</v>
      </c>
      <c r="E1973">
        <v>2015</v>
      </c>
      <c r="F1973" t="s">
        <v>21</v>
      </c>
      <c r="S1973">
        <v>0.95584536849847823</v>
      </c>
    </row>
    <row r="1974" spans="4:19" x14ac:dyDescent="0.25">
      <c r="D1974" t="s">
        <v>70</v>
      </c>
      <c r="E1974">
        <v>2013</v>
      </c>
      <c r="F1974" t="s">
        <v>22</v>
      </c>
      <c r="G1974">
        <v>0.86227995858043871</v>
      </c>
      <c r="H1974">
        <v>0.96538587133993692</v>
      </c>
      <c r="I1974">
        <v>0.95669705469845723</v>
      </c>
      <c r="J1974">
        <v>0.8923250476523904</v>
      </c>
      <c r="K1974">
        <v>0.69793788187372707</v>
      </c>
      <c r="L1974">
        <v>0.92519776640297813</v>
      </c>
      <c r="M1974">
        <v>0.96599816397147098</v>
      </c>
      <c r="N1974">
        <v>0.90719519068194632</v>
      </c>
      <c r="O1974">
        <v>0.73527478052364925</v>
      </c>
      <c r="P1974">
        <v>0.97634485679840999</v>
      </c>
      <c r="Q1974">
        <v>0.96976802017833674</v>
      </c>
      <c r="R1974">
        <v>0.97887711994122328</v>
      </c>
    </row>
    <row r="1975" spans="4:19" x14ac:dyDescent="0.25">
      <c r="D1975" t="s">
        <v>70</v>
      </c>
      <c r="E1975">
        <v>2014</v>
      </c>
      <c r="F1975" t="s">
        <v>22</v>
      </c>
      <c r="G1975">
        <v>0.99639645095842289</v>
      </c>
      <c r="H1975">
        <v>0.99138157155169182</v>
      </c>
      <c r="I1975">
        <v>0.95747622580427594</v>
      </c>
      <c r="J1975">
        <v>0.97845105983207092</v>
      </c>
      <c r="K1975">
        <v>0.98510494245091407</v>
      </c>
      <c r="L1975">
        <v>0.98110279664816025</v>
      </c>
      <c r="M1975">
        <v>0.9842670286278381</v>
      </c>
      <c r="N1975">
        <v>0.99518845228548514</v>
      </c>
      <c r="O1975">
        <v>0.99690556997404667</v>
      </c>
      <c r="P1975">
        <v>0.99678995612940047</v>
      </c>
      <c r="Q1975">
        <v>0.99600698777140007</v>
      </c>
      <c r="R1975">
        <v>0.99587835579815087</v>
      </c>
    </row>
    <row r="1976" spans="4:19" x14ac:dyDescent="0.25">
      <c r="D1976" t="s">
        <v>70</v>
      </c>
      <c r="E1976">
        <v>2015</v>
      </c>
      <c r="F1976" t="s">
        <v>22</v>
      </c>
      <c r="G1976">
        <v>0.99215663147962496</v>
      </c>
      <c r="H1976">
        <v>0.96220930232558144</v>
      </c>
      <c r="I1976">
        <v>0.95516029985339268</v>
      </c>
      <c r="J1976">
        <v>0.95306784660766963</v>
      </c>
      <c r="K1976">
        <v>0.96880169263319871</v>
      </c>
      <c r="L1976">
        <v>0.93236714975845414</v>
      </c>
      <c r="M1976">
        <v>0.92851628840512579</v>
      </c>
    </row>
    <row r="1977" spans="4:19" x14ac:dyDescent="0.25">
      <c r="D1977" t="s">
        <v>70</v>
      </c>
      <c r="E1977">
        <v>2013</v>
      </c>
      <c r="F1977" t="s">
        <v>23</v>
      </c>
      <c r="S1977">
        <v>387106</v>
      </c>
    </row>
    <row r="1978" spans="4:19" x14ac:dyDescent="0.25">
      <c r="D1978" t="s">
        <v>70</v>
      </c>
      <c r="E1978">
        <v>2014</v>
      </c>
      <c r="F1978" t="s">
        <v>23</v>
      </c>
      <c r="S1978">
        <v>334022</v>
      </c>
    </row>
    <row r="1979" spans="4:19" x14ac:dyDescent="0.25">
      <c r="D1979" t="s">
        <v>70</v>
      </c>
      <c r="E1979">
        <v>2015</v>
      </c>
      <c r="F1979" t="s">
        <v>23</v>
      </c>
      <c r="S1979">
        <v>307182</v>
      </c>
    </row>
    <row r="1980" spans="4:19" x14ac:dyDescent="0.25">
      <c r="D1980" t="s">
        <v>70</v>
      </c>
      <c r="E1980">
        <v>2013</v>
      </c>
      <c r="F1980" t="s">
        <v>24</v>
      </c>
      <c r="G1980">
        <v>73760</v>
      </c>
      <c r="H1980">
        <v>78123</v>
      </c>
      <c r="I1980">
        <v>64314</v>
      </c>
      <c r="J1980">
        <v>47251</v>
      </c>
      <c r="K1980">
        <v>42862</v>
      </c>
      <c r="L1980">
        <v>37761</v>
      </c>
      <c r="M1980">
        <v>43035</v>
      </c>
      <c r="N1980">
        <v>45669</v>
      </c>
      <c r="O1980">
        <v>59897</v>
      </c>
      <c r="P1980">
        <v>59654</v>
      </c>
      <c r="Q1980">
        <v>51504</v>
      </c>
      <c r="R1980">
        <v>48790</v>
      </c>
    </row>
    <row r="1981" spans="4:19" x14ac:dyDescent="0.25">
      <c r="D1981" t="s">
        <v>70</v>
      </c>
      <c r="E1981">
        <v>2014</v>
      </c>
      <c r="F1981" t="s">
        <v>24</v>
      </c>
      <c r="G1981">
        <v>59065</v>
      </c>
      <c r="H1981">
        <v>56674</v>
      </c>
      <c r="I1981">
        <v>49796</v>
      </c>
      <c r="J1981">
        <v>43079</v>
      </c>
      <c r="K1981">
        <v>39266</v>
      </c>
      <c r="L1981">
        <v>40432</v>
      </c>
      <c r="M1981">
        <v>45710</v>
      </c>
      <c r="N1981">
        <v>42096</v>
      </c>
      <c r="O1981">
        <v>56792</v>
      </c>
      <c r="P1981">
        <v>52099</v>
      </c>
      <c r="Q1981">
        <v>42827</v>
      </c>
      <c r="R1981">
        <v>46745</v>
      </c>
    </row>
    <row r="1982" spans="4:19" x14ac:dyDescent="0.25">
      <c r="D1982" t="s">
        <v>70</v>
      </c>
      <c r="E1982">
        <v>2015</v>
      </c>
      <c r="F1982" t="s">
        <v>24</v>
      </c>
      <c r="G1982">
        <v>46979</v>
      </c>
      <c r="H1982">
        <v>47637</v>
      </c>
      <c r="I1982">
        <v>47205</v>
      </c>
      <c r="J1982">
        <v>40103</v>
      </c>
      <c r="K1982">
        <v>35839</v>
      </c>
      <c r="L1982">
        <v>43148</v>
      </c>
      <c r="M1982">
        <v>46271</v>
      </c>
    </row>
    <row r="1983" spans="4:19" x14ac:dyDescent="0.25">
      <c r="D1983" t="s">
        <v>70</v>
      </c>
      <c r="E1983">
        <v>2013</v>
      </c>
      <c r="F1983" t="s">
        <v>25</v>
      </c>
      <c r="S1983">
        <v>1058111</v>
      </c>
    </row>
    <row r="1984" spans="4:19" x14ac:dyDescent="0.25">
      <c r="D1984" t="s">
        <v>70</v>
      </c>
      <c r="E1984">
        <v>2014</v>
      </c>
      <c r="F1984" t="s">
        <v>25</v>
      </c>
      <c r="S1984">
        <v>1127377</v>
      </c>
    </row>
    <row r="1985" spans="4:19" x14ac:dyDescent="0.25">
      <c r="D1985" t="s">
        <v>70</v>
      </c>
      <c r="E1985">
        <v>2015</v>
      </c>
      <c r="F1985" t="s">
        <v>25</v>
      </c>
      <c r="S1985">
        <v>1238351</v>
      </c>
    </row>
    <row r="1986" spans="4:19" x14ac:dyDescent="0.25">
      <c r="D1986" t="s">
        <v>70</v>
      </c>
      <c r="E1986">
        <v>2013</v>
      </c>
      <c r="F1986" t="s">
        <v>26</v>
      </c>
      <c r="G1986">
        <v>177512</v>
      </c>
      <c r="H1986">
        <v>150060</v>
      </c>
      <c r="I1986">
        <v>146458</v>
      </c>
      <c r="J1986">
        <v>138781</v>
      </c>
      <c r="K1986">
        <v>125643</v>
      </c>
      <c r="L1986">
        <v>147346</v>
      </c>
      <c r="M1986">
        <v>172311</v>
      </c>
      <c r="N1986">
        <v>160199</v>
      </c>
      <c r="O1986">
        <v>188929</v>
      </c>
      <c r="P1986">
        <v>216310</v>
      </c>
      <c r="Q1986">
        <v>194220</v>
      </c>
      <c r="R1986">
        <v>202942</v>
      </c>
    </row>
    <row r="1987" spans="4:19" x14ac:dyDescent="0.25">
      <c r="D1987" t="s">
        <v>70</v>
      </c>
      <c r="E1987">
        <v>2014</v>
      </c>
      <c r="F1987" t="s">
        <v>26</v>
      </c>
      <c r="G1987">
        <v>204742</v>
      </c>
      <c r="H1987">
        <v>167576</v>
      </c>
      <c r="I1987">
        <v>150140</v>
      </c>
      <c r="J1987">
        <v>151975</v>
      </c>
      <c r="K1987">
        <v>134539</v>
      </c>
      <c r="L1987">
        <v>147934</v>
      </c>
      <c r="M1987">
        <v>170471</v>
      </c>
      <c r="N1987">
        <v>170472</v>
      </c>
      <c r="O1987">
        <v>207664</v>
      </c>
      <c r="P1987">
        <v>217081</v>
      </c>
      <c r="Q1987">
        <v>183734</v>
      </c>
      <c r="R1987">
        <v>204466</v>
      </c>
    </row>
    <row r="1988" spans="4:19" x14ac:dyDescent="0.25">
      <c r="D1988" t="s">
        <v>70</v>
      </c>
      <c r="E1988">
        <v>2015</v>
      </c>
      <c r="F1988" t="s">
        <v>26</v>
      </c>
      <c r="G1988">
        <v>214586</v>
      </c>
      <c r="H1988">
        <v>169199</v>
      </c>
      <c r="I1988">
        <v>181766</v>
      </c>
      <c r="J1988">
        <v>162443</v>
      </c>
      <c r="K1988">
        <v>142679</v>
      </c>
      <c r="L1988">
        <v>183728</v>
      </c>
      <c r="M1988">
        <v>183950</v>
      </c>
    </row>
    <row r="1989" spans="4:19" x14ac:dyDescent="0.25">
      <c r="D1989" t="s">
        <v>70</v>
      </c>
      <c r="E1989">
        <v>2013</v>
      </c>
      <c r="F1989" t="s">
        <v>27</v>
      </c>
      <c r="S1989">
        <v>1892090</v>
      </c>
    </row>
    <row r="1990" spans="4:19" x14ac:dyDescent="0.25">
      <c r="D1990" t="s">
        <v>70</v>
      </c>
      <c r="E1990">
        <v>2014</v>
      </c>
      <c r="F1990" t="s">
        <v>27</v>
      </c>
      <c r="S1990">
        <v>1947123</v>
      </c>
    </row>
    <row r="1991" spans="4:19" x14ac:dyDescent="0.25">
      <c r="D1991" t="s">
        <v>70</v>
      </c>
      <c r="E1991">
        <v>2015</v>
      </c>
      <c r="F1991" t="s">
        <v>27</v>
      </c>
      <c r="S1991">
        <v>2186776</v>
      </c>
    </row>
    <row r="1992" spans="4:19" x14ac:dyDescent="0.25">
      <c r="D1992" t="s">
        <v>70</v>
      </c>
      <c r="E1992">
        <v>2013</v>
      </c>
      <c r="F1992" t="s">
        <v>28</v>
      </c>
      <c r="G1992">
        <v>342655</v>
      </c>
      <c r="H1992">
        <v>269158</v>
      </c>
      <c r="I1992">
        <v>264538</v>
      </c>
      <c r="J1992">
        <v>246379</v>
      </c>
      <c r="K1992">
        <v>220042</v>
      </c>
      <c r="L1992">
        <v>252754</v>
      </c>
      <c r="M1992">
        <v>296564</v>
      </c>
      <c r="N1992">
        <v>269678</v>
      </c>
      <c r="O1992">
        <v>335711</v>
      </c>
      <c r="P1992">
        <v>396244</v>
      </c>
      <c r="Q1992">
        <v>329606</v>
      </c>
      <c r="R1992">
        <v>342853</v>
      </c>
    </row>
    <row r="1993" spans="4:19" x14ac:dyDescent="0.25">
      <c r="D1993" t="s">
        <v>70</v>
      </c>
      <c r="E1993">
        <v>2014</v>
      </c>
      <c r="F1993" t="s">
        <v>28</v>
      </c>
      <c r="G1993">
        <v>344822</v>
      </c>
      <c r="H1993">
        <v>293122</v>
      </c>
      <c r="I1993">
        <v>266005</v>
      </c>
      <c r="J1993">
        <v>264767</v>
      </c>
      <c r="K1993">
        <v>229782</v>
      </c>
      <c r="L1993">
        <v>255230</v>
      </c>
      <c r="M1993">
        <v>293395</v>
      </c>
      <c r="N1993">
        <v>287003</v>
      </c>
      <c r="O1993">
        <v>365136</v>
      </c>
      <c r="P1993">
        <v>386517</v>
      </c>
      <c r="Q1993">
        <v>317014</v>
      </c>
      <c r="R1993">
        <v>358628</v>
      </c>
    </row>
    <row r="1994" spans="4:19" x14ac:dyDescent="0.25">
      <c r="D1994" t="s">
        <v>70</v>
      </c>
      <c r="E1994">
        <v>2015</v>
      </c>
      <c r="F1994" t="s">
        <v>28</v>
      </c>
      <c r="G1994">
        <v>356289</v>
      </c>
      <c r="H1994">
        <v>302645</v>
      </c>
      <c r="I1994">
        <v>335357</v>
      </c>
      <c r="J1994">
        <v>289463</v>
      </c>
      <c r="K1994">
        <v>256595</v>
      </c>
      <c r="L1994">
        <v>326333</v>
      </c>
      <c r="M1994">
        <v>320094</v>
      </c>
    </row>
    <row r="1995" spans="4:19" x14ac:dyDescent="0.25">
      <c r="D1995" t="s">
        <v>70</v>
      </c>
      <c r="E1995">
        <v>2013</v>
      </c>
      <c r="F1995" t="s">
        <v>29</v>
      </c>
      <c r="S1995">
        <v>248767</v>
      </c>
    </row>
    <row r="1996" spans="4:19" x14ac:dyDescent="0.25">
      <c r="D1996" t="s">
        <v>70</v>
      </c>
      <c r="E1996">
        <v>2014</v>
      </c>
      <c r="F1996" t="s">
        <v>29</v>
      </c>
      <c r="S1996">
        <v>247828</v>
      </c>
    </row>
    <row r="1997" spans="4:19" x14ac:dyDescent="0.25">
      <c r="D1997" t="s">
        <v>70</v>
      </c>
      <c r="E1997">
        <v>2015</v>
      </c>
      <c r="F1997" t="s">
        <v>29</v>
      </c>
      <c r="S1997">
        <v>238127</v>
      </c>
    </row>
    <row r="1998" spans="4:19" x14ac:dyDescent="0.25">
      <c r="D1998" t="s">
        <v>70</v>
      </c>
      <c r="E1998">
        <v>2013</v>
      </c>
      <c r="F1998" t="s">
        <v>30</v>
      </c>
      <c r="G1998">
        <v>45919</v>
      </c>
      <c r="H1998">
        <v>25329</v>
      </c>
      <c r="I1998">
        <v>39745</v>
      </c>
      <c r="J1998">
        <v>35562</v>
      </c>
      <c r="K1998">
        <v>33921</v>
      </c>
      <c r="L1998">
        <v>33925</v>
      </c>
      <c r="M1998">
        <v>34366</v>
      </c>
      <c r="N1998">
        <v>30426</v>
      </c>
      <c r="O1998">
        <v>41836</v>
      </c>
      <c r="P1998">
        <v>40414</v>
      </c>
      <c r="Q1998">
        <v>38162</v>
      </c>
      <c r="R1998">
        <v>38129</v>
      </c>
    </row>
    <row r="1999" spans="4:19" x14ac:dyDescent="0.25">
      <c r="D1999" t="s">
        <v>70</v>
      </c>
      <c r="E1999">
        <v>2014</v>
      </c>
      <c r="F1999" t="s">
        <v>30</v>
      </c>
      <c r="G1999">
        <v>42814</v>
      </c>
      <c r="H1999">
        <v>37773</v>
      </c>
      <c r="I1999">
        <v>31685</v>
      </c>
      <c r="J1999">
        <v>35563</v>
      </c>
      <c r="K1999">
        <v>33059</v>
      </c>
      <c r="L1999">
        <v>34619</v>
      </c>
      <c r="M1999">
        <v>32315</v>
      </c>
      <c r="N1999">
        <v>28811</v>
      </c>
      <c r="O1999">
        <v>44452</v>
      </c>
      <c r="P1999">
        <v>41095</v>
      </c>
      <c r="Q1999">
        <v>35909</v>
      </c>
      <c r="R1999">
        <v>37647</v>
      </c>
    </row>
    <row r="2000" spans="4:19" x14ac:dyDescent="0.25">
      <c r="D2000" t="s">
        <v>70</v>
      </c>
      <c r="E2000">
        <v>2015</v>
      </c>
      <c r="F2000" t="s">
        <v>30</v>
      </c>
      <c r="G2000">
        <v>41113</v>
      </c>
      <c r="H2000">
        <v>36524</v>
      </c>
      <c r="I2000">
        <v>41341</v>
      </c>
      <c r="J2000">
        <v>31889</v>
      </c>
      <c r="K2000">
        <v>27536</v>
      </c>
      <c r="L2000">
        <v>32812</v>
      </c>
      <c r="M2000">
        <v>26912</v>
      </c>
    </row>
    <row r="2001" spans="4:19" x14ac:dyDescent="0.25">
      <c r="D2001" t="s">
        <v>70</v>
      </c>
      <c r="E2001">
        <v>2013</v>
      </c>
      <c r="F2001" t="s">
        <v>31</v>
      </c>
      <c r="S2001">
        <v>0.59916146998496533</v>
      </c>
    </row>
    <row r="2002" spans="4:19" x14ac:dyDescent="0.25">
      <c r="D2002" t="s">
        <v>70</v>
      </c>
      <c r="E2002">
        <v>2014</v>
      </c>
      <c r="F2002" t="s">
        <v>31</v>
      </c>
      <c r="S2002">
        <v>0.93785738663920337</v>
      </c>
    </row>
    <row r="2003" spans="4:19" x14ac:dyDescent="0.25">
      <c r="D2003" t="s">
        <v>70</v>
      </c>
      <c r="E2003">
        <v>2015</v>
      </c>
      <c r="F2003" t="s">
        <v>31</v>
      </c>
      <c r="S2003">
        <v>0.89752329238041295</v>
      </c>
    </row>
    <row r="2004" spans="4:19" x14ac:dyDescent="0.25">
      <c r="D2004" t="s">
        <v>70</v>
      </c>
      <c r="E2004">
        <v>2013</v>
      </c>
      <c r="F2004" t="s">
        <v>32</v>
      </c>
      <c r="G2004">
        <v>0.51198481561822129</v>
      </c>
      <c r="H2004">
        <v>0.50764819579381237</v>
      </c>
      <c r="I2004">
        <v>0.49015766396119043</v>
      </c>
      <c r="J2004">
        <v>0.60601892023449244</v>
      </c>
      <c r="K2004">
        <v>0.65913863095515846</v>
      </c>
      <c r="L2004">
        <v>0.70956807287942592</v>
      </c>
      <c r="M2004">
        <v>0.91346578366445919</v>
      </c>
      <c r="N2004">
        <v>0.95449867525016974</v>
      </c>
      <c r="O2004">
        <v>0.95331986576957106</v>
      </c>
      <c r="P2004">
        <v>0.95098400777818759</v>
      </c>
      <c r="Q2004">
        <v>0.91901599875737805</v>
      </c>
      <c r="R2004">
        <v>0.94636195941791346</v>
      </c>
    </row>
    <row r="2005" spans="4:19" x14ac:dyDescent="0.25">
      <c r="D2005" t="s">
        <v>70</v>
      </c>
      <c r="E2005">
        <v>2014</v>
      </c>
      <c r="F2005" t="s">
        <v>32</v>
      </c>
      <c r="G2005">
        <v>0.93717091340049097</v>
      </c>
      <c r="H2005">
        <v>0.94950065285668916</v>
      </c>
      <c r="I2005">
        <v>0.95565908908346053</v>
      </c>
      <c r="J2005">
        <v>0.95881984261473108</v>
      </c>
      <c r="K2005">
        <v>0.95706208933937753</v>
      </c>
      <c r="L2005">
        <v>0.90742481203007519</v>
      </c>
      <c r="M2005">
        <v>0.89558083570334723</v>
      </c>
      <c r="N2005">
        <v>0.90642816419612315</v>
      </c>
      <c r="O2005">
        <v>0.92169671784758411</v>
      </c>
      <c r="P2005">
        <v>0.90765657690166801</v>
      </c>
      <c r="Q2005">
        <v>0.91517033646998391</v>
      </c>
      <c r="R2005">
        <v>0.91062145684030382</v>
      </c>
    </row>
    <row r="2006" spans="4:19" x14ac:dyDescent="0.25">
      <c r="D2006" t="s">
        <v>70</v>
      </c>
      <c r="E2006">
        <v>2015</v>
      </c>
      <c r="F2006" t="s">
        <v>32</v>
      </c>
      <c r="G2006">
        <v>0.90259477638945063</v>
      </c>
      <c r="H2006">
        <v>0.88515229758381087</v>
      </c>
      <c r="I2006">
        <v>0.8879779684355471</v>
      </c>
      <c r="J2006">
        <v>0.91531805600578509</v>
      </c>
      <c r="K2006">
        <v>0.88998018917938559</v>
      </c>
      <c r="L2006">
        <v>0.89980995642903494</v>
      </c>
      <c r="M2006">
        <v>0.90313587344124835</v>
      </c>
    </row>
    <row r="2007" spans="4:19" x14ac:dyDescent="0.25">
      <c r="D2007" t="s">
        <v>70</v>
      </c>
      <c r="E2007">
        <v>2013</v>
      </c>
      <c r="F2007" t="s">
        <v>33</v>
      </c>
      <c r="S2007">
        <v>0.64623400392614128</v>
      </c>
    </row>
    <row r="2008" spans="4:19" x14ac:dyDescent="0.25">
      <c r="D2008" t="s">
        <v>70</v>
      </c>
      <c r="E2008">
        <v>2014</v>
      </c>
      <c r="F2008" t="s">
        <v>33</v>
      </c>
      <c r="S2008">
        <v>0.91653397477160059</v>
      </c>
    </row>
    <row r="2009" spans="4:19" x14ac:dyDescent="0.25">
      <c r="D2009" t="s">
        <v>70</v>
      </c>
      <c r="E2009">
        <v>2015</v>
      </c>
      <c r="F2009" t="s">
        <v>33</v>
      </c>
      <c r="S2009">
        <v>0.91025342039800994</v>
      </c>
    </row>
    <row r="2010" spans="4:19" x14ac:dyDescent="0.25">
      <c r="D2010" t="s">
        <v>70</v>
      </c>
      <c r="E2010">
        <v>2013</v>
      </c>
      <c r="F2010" t="s">
        <v>34</v>
      </c>
      <c r="G2010">
        <v>0.58862066117977374</v>
      </c>
      <c r="H2010">
        <v>0.37671489616912812</v>
      </c>
      <c r="I2010">
        <v>0.48200941754529636</v>
      </c>
      <c r="J2010">
        <v>0.76638826644937874</v>
      </c>
      <c r="K2010">
        <v>0.86936727678156644</v>
      </c>
      <c r="L2010">
        <v>0.92586390622621406</v>
      </c>
      <c r="M2010">
        <v>0.91978415635060995</v>
      </c>
      <c r="N2010">
        <v>0.89744349027736647</v>
      </c>
      <c r="O2010">
        <v>0.88827619275953007</v>
      </c>
      <c r="P2010">
        <v>0.89062616892346824</v>
      </c>
      <c r="Q2010">
        <v>0.83829572768860972</v>
      </c>
      <c r="R2010">
        <v>0.88843415611544529</v>
      </c>
    </row>
    <row r="2011" spans="4:19" x14ac:dyDescent="0.25">
      <c r="D2011" t="s">
        <v>70</v>
      </c>
      <c r="E2011">
        <v>2014</v>
      </c>
      <c r="F2011" t="s">
        <v>34</v>
      </c>
      <c r="G2011">
        <v>0.88595224192507449</v>
      </c>
      <c r="H2011">
        <v>0.90438007417059241</v>
      </c>
      <c r="I2011">
        <v>0.91661001586222524</v>
      </c>
      <c r="J2011">
        <v>0.92784511510615797</v>
      </c>
      <c r="K2011">
        <v>0.9199049881235154</v>
      </c>
      <c r="L2011">
        <v>0.92020388831250843</v>
      </c>
      <c r="M2011">
        <v>0.96206201778957201</v>
      </c>
      <c r="N2011">
        <v>0.98468387301923788</v>
      </c>
      <c r="O2011">
        <v>0.9392978282895027</v>
      </c>
      <c r="P2011">
        <v>0.92500612695041251</v>
      </c>
      <c r="Q2011">
        <v>0.92285175630085337</v>
      </c>
      <c r="R2011">
        <v>0.91624855268236205</v>
      </c>
    </row>
    <row r="2012" spans="4:19" x14ac:dyDescent="0.25">
      <c r="D2012" t="s">
        <v>70</v>
      </c>
      <c r="E2012">
        <v>2015</v>
      </c>
      <c r="F2012" t="s">
        <v>34</v>
      </c>
      <c r="G2012">
        <v>0.90639023847494715</v>
      </c>
      <c r="H2012">
        <v>0.87905419543837626</v>
      </c>
      <c r="I2012">
        <v>0.90868550325749919</v>
      </c>
      <c r="J2012">
        <v>0.94984474728307744</v>
      </c>
      <c r="K2012">
        <v>0.89872771173848442</v>
      </c>
      <c r="L2012">
        <v>0.91958354376286855</v>
      </c>
      <c r="M2012">
        <v>0.91554307856549766</v>
      </c>
    </row>
    <row r="2013" spans="4:19" x14ac:dyDescent="0.25">
      <c r="D2013" t="s">
        <v>71</v>
      </c>
      <c r="E2013">
        <v>2013</v>
      </c>
      <c r="F2013" t="s">
        <v>17</v>
      </c>
      <c r="S2013">
        <v>0.81238194751436721</v>
      </c>
    </row>
    <row r="2014" spans="4:19" x14ac:dyDescent="0.25">
      <c r="D2014" t="s">
        <v>71</v>
      </c>
      <c r="E2014">
        <v>2014</v>
      </c>
      <c r="F2014" t="s">
        <v>17</v>
      </c>
      <c r="S2014">
        <v>0.79520159408322266</v>
      </c>
    </row>
    <row r="2015" spans="4:19" x14ac:dyDescent="0.25">
      <c r="D2015" t="s">
        <v>71</v>
      </c>
      <c r="E2015">
        <v>2015</v>
      </c>
      <c r="F2015" t="s">
        <v>17</v>
      </c>
      <c r="S2015">
        <v>0.83853430771678006</v>
      </c>
    </row>
    <row r="2016" spans="4:19" x14ac:dyDescent="0.25">
      <c r="D2016" t="s">
        <v>71</v>
      </c>
      <c r="E2016">
        <v>2013</v>
      </c>
      <c r="F2016" t="s">
        <v>18</v>
      </c>
      <c r="G2016">
        <v>0.74273528122134969</v>
      </c>
      <c r="H2016">
        <v>0.78151297920655416</v>
      </c>
      <c r="I2016">
        <v>0.77712968625052914</v>
      </c>
      <c r="J2016">
        <v>0.82125389061805243</v>
      </c>
      <c r="K2016">
        <v>0.81754793724578734</v>
      </c>
      <c r="L2016">
        <v>0.88050456641649333</v>
      </c>
      <c r="M2016">
        <v>0.88559079310524402</v>
      </c>
      <c r="N2016">
        <v>0.83116254036598491</v>
      </c>
      <c r="O2016">
        <v>0.81360522542615898</v>
      </c>
      <c r="P2016">
        <v>0.84006114944428378</v>
      </c>
      <c r="Q2016">
        <v>0.74378665177324765</v>
      </c>
      <c r="R2016">
        <v>0.81293980661165388</v>
      </c>
    </row>
    <row r="2017" spans="4:19" x14ac:dyDescent="0.25">
      <c r="D2017" t="s">
        <v>71</v>
      </c>
      <c r="E2017">
        <v>2014</v>
      </c>
      <c r="F2017" t="s">
        <v>18</v>
      </c>
      <c r="G2017">
        <v>0.78739707772119361</v>
      </c>
      <c r="H2017">
        <v>0.7782315603011366</v>
      </c>
      <c r="I2017">
        <v>0.77807091599831157</v>
      </c>
      <c r="J2017">
        <v>0.82310429783739392</v>
      </c>
      <c r="K2017">
        <v>0.74720130266639528</v>
      </c>
      <c r="L2017">
        <v>0.81217316759537073</v>
      </c>
      <c r="M2017">
        <v>0.8477572559366755</v>
      </c>
      <c r="N2017">
        <v>0.78642277470050237</v>
      </c>
      <c r="O2017">
        <v>0.78829638506091471</v>
      </c>
      <c r="P2017">
        <v>0.87017423983600961</v>
      </c>
      <c r="Q2017">
        <v>0.82518071754845002</v>
      </c>
      <c r="R2017">
        <v>0.79519106912838133</v>
      </c>
    </row>
    <row r="2018" spans="4:19" x14ac:dyDescent="0.25">
      <c r="D2018" t="s">
        <v>71</v>
      </c>
      <c r="E2018">
        <v>2015</v>
      </c>
      <c r="F2018" t="s">
        <v>18</v>
      </c>
      <c r="G2018">
        <v>0.75276562901980959</v>
      </c>
      <c r="H2018">
        <v>0.81318157755426146</v>
      </c>
      <c r="I2018">
        <v>0.82174725046690189</v>
      </c>
      <c r="J2018">
        <v>0.86967749684703621</v>
      </c>
      <c r="K2018">
        <v>0.92193983402489632</v>
      </c>
      <c r="L2018">
        <v>0.88062448435615914</v>
      </c>
      <c r="M2018">
        <v>0.8393602225312935</v>
      </c>
    </row>
    <row r="2019" spans="4:19" x14ac:dyDescent="0.25">
      <c r="D2019" t="s">
        <v>71</v>
      </c>
      <c r="E2019">
        <v>2013</v>
      </c>
      <c r="F2019" t="s">
        <v>19</v>
      </c>
      <c r="S2019">
        <v>0.58107544754100349</v>
      </c>
    </row>
    <row r="2020" spans="4:19" x14ac:dyDescent="0.25">
      <c r="D2020" t="s">
        <v>71</v>
      </c>
      <c r="E2020">
        <v>2014</v>
      </c>
      <c r="F2020" t="s">
        <v>19</v>
      </c>
      <c r="S2020">
        <v>0.67998157639946422</v>
      </c>
    </row>
    <row r="2021" spans="4:19" x14ac:dyDescent="0.25">
      <c r="D2021" t="s">
        <v>71</v>
      </c>
      <c r="E2021">
        <v>2015</v>
      </c>
      <c r="F2021" t="s">
        <v>19</v>
      </c>
      <c r="S2021">
        <v>0.80552692721230457</v>
      </c>
    </row>
    <row r="2022" spans="4:19" x14ac:dyDescent="0.25">
      <c r="D2022" t="s">
        <v>71</v>
      </c>
      <c r="E2022">
        <v>2013</v>
      </c>
      <c r="F2022" t="s">
        <v>20</v>
      </c>
      <c r="G2022">
        <v>0.52592328801558541</v>
      </c>
      <c r="H2022">
        <v>0.62265866892837796</v>
      </c>
      <c r="I2022">
        <v>0.55951037247499313</v>
      </c>
      <c r="J2022">
        <v>0.59269998835892601</v>
      </c>
      <c r="K2022">
        <v>0.52588497807878187</v>
      </c>
      <c r="L2022">
        <v>0.5793071509830966</v>
      </c>
      <c r="M2022">
        <v>0.66890214045886964</v>
      </c>
      <c r="N2022">
        <v>0.62908041777430612</v>
      </c>
      <c r="O2022">
        <v>0.65076068543132659</v>
      </c>
      <c r="P2022">
        <v>0.57780112772079439</v>
      </c>
      <c r="Q2022">
        <v>0.63884779656645196</v>
      </c>
      <c r="R2022">
        <v>0.65684614128145391</v>
      </c>
    </row>
    <row r="2023" spans="4:19" x14ac:dyDescent="0.25">
      <c r="D2023" t="s">
        <v>71</v>
      </c>
      <c r="E2023">
        <v>2014</v>
      </c>
      <c r="F2023" t="s">
        <v>20</v>
      </c>
      <c r="G2023">
        <v>0.75086937889464178</v>
      </c>
      <c r="H2023">
        <v>0.70494519706424397</v>
      </c>
      <c r="I2023">
        <v>0.6451069592999028</v>
      </c>
      <c r="J2023">
        <v>0.61330566656419716</v>
      </c>
      <c r="K2023">
        <v>0.63738768313042826</v>
      </c>
      <c r="L2023">
        <v>0.70326300984528833</v>
      </c>
      <c r="M2023">
        <v>0.68596711733134041</v>
      </c>
      <c r="N2023">
        <v>0.67994637732012564</v>
      </c>
      <c r="O2023">
        <v>0.87347334961760403</v>
      </c>
      <c r="P2023">
        <v>0.98734294267913492</v>
      </c>
      <c r="Q2023">
        <v>0.98316968429950413</v>
      </c>
      <c r="R2023">
        <v>0.97754191937210133</v>
      </c>
    </row>
    <row r="2024" spans="4:19" x14ac:dyDescent="0.25">
      <c r="D2024" t="s">
        <v>71</v>
      </c>
      <c r="E2024">
        <v>2015</v>
      </c>
      <c r="F2024" t="s">
        <v>20</v>
      </c>
      <c r="G2024">
        <v>0.78932978082278682</v>
      </c>
      <c r="H2024">
        <v>0.82151611976128891</v>
      </c>
      <c r="I2024">
        <v>0.76298594106803863</v>
      </c>
      <c r="J2024">
        <v>0.82479660822734047</v>
      </c>
      <c r="K2024">
        <v>0.82843263730104355</v>
      </c>
      <c r="L2024">
        <v>0.80801495074964524</v>
      </c>
      <c r="M2024">
        <v>0.81639162005350385</v>
      </c>
    </row>
    <row r="2025" spans="4:19" x14ac:dyDescent="0.25">
      <c r="D2025" t="s">
        <v>71</v>
      </c>
      <c r="E2025">
        <v>2013</v>
      </c>
      <c r="F2025" t="s">
        <v>21</v>
      </c>
      <c r="S2025">
        <v>0.9222405971350035</v>
      </c>
    </row>
    <row r="2026" spans="4:19" x14ac:dyDescent="0.25">
      <c r="D2026" t="s">
        <v>71</v>
      </c>
      <c r="E2026">
        <v>2014</v>
      </c>
      <c r="F2026" t="s">
        <v>21</v>
      </c>
      <c r="S2026">
        <v>0.89563346824757617</v>
      </c>
    </row>
    <row r="2027" spans="4:19" x14ac:dyDescent="0.25">
      <c r="D2027" t="s">
        <v>71</v>
      </c>
      <c r="E2027">
        <v>2015</v>
      </c>
      <c r="F2027" t="s">
        <v>21</v>
      </c>
      <c r="S2027">
        <v>0.89912306564792899</v>
      </c>
    </row>
    <row r="2028" spans="4:19" x14ac:dyDescent="0.25">
      <c r="D2028" t="s">
        <v>71</v>
      </c>
      <c r="E2028">
        <v>2013</v>
      </c>
      <c r="F2028" t="s">
        <v>22</v>
      </c>
      <c r="G2028">
        <v>0.79701215855187835</v>
      </c>
      <c r="H2028">
        <v>0.96309728896545466</v>
      </c>
      <c r="I2028">
        <v>0.97209598979510481</v>
      </c>
      <c r="J2028">
        <v>0.94411764705882351</v>
      </c>
      <c r="K2028">
        <v>0.88428949691085612</v>
      </c>
      <c r="L2028">
        <v>0.97740881872618401</v>
      </c>
      <c r="M2028">
        <v>0.98190776811147895</v>
      </c>
      <c r="N2028">
        <v>0.96618819776714515</v>
      </c>
      <c r="O2028">
        <v>0.84094966083541589</v>
      </c>
      <c r="P2028">
        <v>0.83130887456618741</v>
      </c>
      <c r="Q2028">
        <v>0.92464321425324969</v>
      </c>
      <c r="R2028">
        <v>0.94090837655194093</v>
      </c>
    </row>
    <row r="2029" spans="4:19" x14ac:dyDescent="0.25">
      <c r="D2029" t="s">
        <v>71</v>
      </c>
      <c r="E2029">
        <v>2014</v>
      </c>
      <c r="F2029" t="s">
        <v>22</v>
      </c>
      <c r="G2029">
        <v>0.90984658298465826</v>
      </c>
      <c r="H2029">
        <v>0.97904960667843954</v>
      </c>
      <c r="I2029">
        <v>0.98849495186663539</v>
      </c>
      <c r="J2029">
        <v>0.94251957089011307</v>
      </c>
      <c r="K2029">
        <v>0.82747498139111741</v>
      </c>
      <c r="L2029">
        <v>0.71836414245949609</v>
      </c>
      <c r="M2029">
        <v>0.90764521924279729</v>
      </c>
      <c r="N2029">
        <v>0.94932014833127321</v>
      </c>
      <c r="O2029">
        <v>0.9108958176980283</v>
      </c>
      <c r="P2029">
        <v>0.98160749174695139</v>
      </c>
      <c r="Q2029">
        <v>0.9818094122510852</v>
      </c>
      <c r="R2029">
        <v>0.84215108491829627</v>
      </c>
    </row>
    <row r="2030" spans="4:19" x14ac:dyDescent="0.25">
      <c r="D2030" t="s">
        <v>71</v>
      </c>
      <c r="E2030">
        <v>2015</v>
      </c>
      <c r="F2030" t="s">
        <v>22</v>
      </c>
      <c r="G2030">
        <v>0.75589602341194695</v>
      </c>
      <c r="H2030">
        <v>0.96205980994969253</v>
      </c>
      <c r="I2030">
        <v>0.97835244558857948</v>
      </c>
      <c r="J2030">
        <v>0.96350756042385999</v>
      </c>
      <c r="K2030">
        <v>0.82782440763574239</v>
      </c>
      <c r="L2030">
        <v>0.93326459299994269</v>
      </c>
      <c r="M2030">
        <v>0.9208611094122684</v>
      </c>
    </row>
    <row r="2031" spans="4:19" x14ac:dyDescent="0.25">
      <c r="D2031" t="s">
        <v>71</v>
      </c>
      <c r="E2031">
        <v>2013</v>
      </c>
      <c r="F2031" t="s">
        <v>23</v>
      </c>
      <c r="S2031">
        <v>296808</v>
      </c>
    </row>
    <row r="2032" spans="4:19" x14ac:dyDescent="0.25">
      <c r="D2032" t="s">
        <v>71</v>
      </c>
      <c r="E2032">
        <v>2014</v>
      </c>
      <c r="F2032" t="s">
        <v>23</v>
      </c>
      <c r="S2032">
        <v>206037</v>
      </c>
    </row>
    <row r="2033" spans="4:19" x14ac:dyDescent="0.25">
      <c r="D2033" t="s">
        <v>71</v>
      </c>
      <c r="E2033">
        <v>2015</v>
      </c>
      <c r="F2033" t="s">
        <v>23</v>
      </c>
      <c r="S2033">
        <v>211389</v>
      </c>
    </row>
    <row r="2034" spans="4:19" x14ac:dyDescent="0.25">
      <c r="D2034" t="s">
        <v>71</v>
      </c>
      <c r="E2034">
        <v>2013</v>
      </c>
      <c r="F2034" t="s">
        <v>24</v>
      </c>
      <c r="G2034">
        <v>60641</v>
      </c>
      <c r="H2034">
        <v>58855</v>
      </c>
      <c r="I2034">
        <v>45376</v>
      </c>
      <c r="J2034">
        <v>39577</v>
      </c>
      <c r="K2034">
        <v>32429</v>
      </c>
      <c r="L2034">
        <v>27388</v>
      </c>
      <c r="M2034">
        <v>32542</v>
      </c>
      <c r="N2034">
        <v>31191</v>
      </c>
      <c r="O2034">
        <v>35442</v>
      </c>
      <c r="P2034">
        <v>31711</v>
      </c>
      <c r="Q2034">
        <v>26806</v>
      </c>
      <c r="R2034">
        <v>23584</v>
      </c>
    </row>
    <row r="2035" spans="4:19" x14ac:dyDescent="0.25">
      <c r="D2035" t="s">
        <v>71</v>
      </c>
      <c r="E2035">
        <v>2014</v>
      </c>
      <c r="F2035" t="s">
        <v>24</v>
      </c>
      <c r="G2035">
        <v>31285</v>
      </c>
      <c r="H2035">
        <v>31402</v>
      </c>
      <c r="I2035">
        <v>27329</v>
      </c>
      <c r="J2035">
        <v>22885</v>
      </c>
      <c r="K2035">
        <v>24556</v>
      </c>
      <c r="L2035">
        <v>31901</v>
      </c>
      <c r="M2035">
        <v>36679</v>
      </c>
      <c r="N2035">
        <v>35554</v>
      </c>
      <c r="O2035">
        <v>46381</v>
      </c>
      <c r="P2035">
        <v>38128</v>
      </c>
      <c r="Q2035">
        <v>29568</v>
      </c>
      <c r="R2035">
        <v>31453</v>
      </c>
    </row>
    <row r="2036" spans="4:19" x14ac:dyDescent="0.25">
      <c r="D2036" t="s">
        <v>71</v>
      </c>
      <c r="E2036">
        <v>2015</v>
      </c>
      <c r="F2036" t="s">
        <v>24</v>
      </c>
      <c r="G2036">
        <v>32771</v>
      </c>
      <c r="H2036">
        <v>31487</v>
      </c>
      <c r="I2036">
        <v>29668</v>
      </c>
      <c r="J2036">
        <v>27200</v>
      </c>
      <c r="K2036">
        <v>24965</v>
      </c>
      <c r="L2036">
        <v>30610</v>
      </c>
      <c r="M2036">
        <v>34688</v>
      </c>
    </row>
    <row r="2037" spans="4:19" x14ac:dyDescent="0.25">
      <c r="D2037" t="s">
        <v>71</v>
      </c>
      <c r="E2037">
        <v>2013</v>
      </c>
      <c r="F2037" t="s">
        <v>25</v>
      </c>
      <c r="S2037">
        <v>665715</v>
      </c>
    </row>
    <row r="2038" spans="4:19" x14ac:dyDescent="0.25">
      <c r="D2038" t="s">
        <v>71</v>
      </c>
      <c r="E2038">
        <v>2014</v>
      </c>
      <c r="F2038" t="s">
        <v>25</v>
      </c>
      <c r="S2038">
        <v>646631</v>
      </c>
    </row>
    <row r="2039" spans="4:19" x14ac:dyDescent="0.25">
      <c r="D2039" t="s">
        <v>71</v>
      </c>
      <c r="E2039">
        <v>2015</v>
      </c>
      <c r="F2039" t="s">
        <v>25</v>
      </c>
      <c r="S2039">
        <v>705542</v>
      </c>
    </row>
    <row r="2040" spans="4:19" x14ac:dyDescent="0.25">
      <c r="D2040" t="s">
        <v>71</v>
      </c>
      <c r="E2040">
        <v>2013</v>
      </c>
      <c r="F2040" t="s">
        <v>26</v>
      </c>
      <c r="G2040">
        <v>115092</v>
      </c>
      <c r="H2040">
        <v>91998</v>
      </c>
      <c r="I2040">
        <v>94175</v>
      </c>
      <c r="J2040">
        <v>88779</v>
      </c>
      <c r="K2040">
        <v>77713</v>
      </c>
      <c r="L2040">
        <v>94124</v>
      </c>
      <c r="M2040">
        <v>103834</v>
      </c>
      <c r="N2040">
        <v>84755</v>
      </c>
      <c r="O2040">
        <v>129182</v>
      </c>
      <c r="P2040">
        <v>147870</v>
      </c>
      <c r="Q2040">
        <v>134837</v>
      </c>
      <c r="R2040">
        <v>121159</v>
      </c>
    </row>
    <row r="2041" spans="4:19" x14ac:dyDescent="0.25">
      <c r="D2041" t="s">
        <v>71</v>
      </c>
      <c r="E2041">
        <v>2014</v>
      </c>
      <c r="F2041" t="s">
        <v>26</v>
      </c>
      <c r="G2041">
        <v>113659</v>
      </c>
      <c r="H2041">
        <v>97736</v>
      </c>
      <c r="I2041">
        <v>89379</v>
      </c>
      <c r="J2041">
        <v>84386</v>
      </c>
      <c r="K2041">
        <v>81343</v>
      </c>
      <c r="L2041">
        <v>85119</v>
      </c>
      <c r="M2041">
        <v>95009</v>
      </c>
      <c r="N2041">
        <v>83913</v>
      </c>
      <c r="O2041">
        <v>137811</v>
      </c>
      <c r="P2041">
        <v>136266</v>
      </c>
      <c r="Q2041">
        <v>121913</v>
      </c>
      <c r="R2041">
        <v>120094</v>
      </c>
    </row>
    <row r="2042" spans="4:19" x14ac:dyDescent="0.25">
      <c r="D2042" t="s">
        <v>71</v>
      </c>
      <c r="E2042">
        <v>2015</v>
      </c>
      <c r="F2042" t="s">
        <v>26</v>
      </c>
      <c r="G2042">
        <v>114578</v>
      </c>
      <c r="H2042">
        <v>90852</v>
      </c>
      <c r="I2042">
        <v>101814</v>
      </c>
      <c r="J2042">
        <v>88504</v>
      </c>
      <c r="K2042">
        <v>89387</v>
      </c>
      <c r="L2042">
        <v>105823</v>
      </c>
      <c r="M2042">
        <v>114584</v>
      </c>
    </row>
    <row r="2043" spans="4:19" x14ac:dyDescent="0.25">
      <c r="D2043" t="s">
        <v>71</v>
      </c>
      <c r="E2043">
        <v>2013</v>
      </c>
      <c r="F2043" t="s">
        <v>27</v>
      </c>
      <c r="S2043">
        <v>1147789</v>
      </c>
    </row>
    <row r="2044" spans="4:19" x14ac:dyDescent="0.25">
      <c r="D2044" t="s">
        <v>71</v>
      </c>
      <c r="E2044">
        <v>2014</v>
      </c>
      <c r="F2044" t="s">
        <v>27</v>
      </c>
      <c r="S2044">
        <v>1090079</v>
      </c>
    </row>
    <row r="2045" spans="4:19" x14ac:dyDescent="0.25">
      <c r="D2045" t="s">
        <v>71</v>
      </c>
      <c r="E2045">
        <v>2015</v>
      </c>
      <c r="F2045" t="s">
        <v>27</v>
      </c>
      <c r="S2045">
        <v>1196693</v>
      </c>
    </row>
    <row r="2046" spans="4:19" x14ac:dyDescent="0.25">
      <c r="D2046" t="s">
        <v>71</v>
      </c>
      <c r="E2046">
        <v>2013</v>
      </c>
      <c r="F2046" t="s">
        <v>28</v>
      </c>
      <c r="G2046">
        <v>194144</v>
      </c>
      <c r="H2046">
        <v>163596</v>
      </c>
      <c r="I2046">
        <v>163750</v>
      </c>
      <c r="J2046">
        <v>152732</v>
      </c>
      <c r="K2046">
        <v>134437</v>
      </c>
      <c r="L2046">
        <v>158523</v>
      </c>
      <c r="M2046">
        <v>180607</v>
      </c>
      <c r="N2046">
        <v>153453</v>
      </c>
      <c r="O2046">
        <v>228152</v>
      </c>
      <c r="P2046">
        <v>252621</v>
      </c>
      <c r="Q2046">
        <v>227105</v>
      </c>
      <c r="R2046">
        <v>197928</v>
      </c>
    </row>
    <row r="2047" spans="4:19" x14ac:dyDescent="0.25">
      <c r="D2047" t="s">
        <v>71</v>
      </c>
      <c r="E2047">
        <v>2014</v>
      </c>
      <c r="F2047" t="s">
        <v>28</v>
      </c>
      <c r="G2047">
        <v>186943</v>
      </c>
      <c r="H2047">
        <v>169413</v>
      </c>
      <c r="I2047">
        <v>152595</v>
      </c>
      <c r="J2047">
        <v>146034</v>
      </c>
      <c r="K2047">
        <v>135383</v>
      </c>
      <c r="L2047">
        <v>141645</v>
      </c>
      <c r="M2047">
        <v>158066</v>
      </c>
      <c r="N2047">
        <v>144506</v>
      </c>
      <c r="O2047">
        <v>232068</v>
      </c>
      <c r="P2047">
        <v>232705</v>
      </c>
      <c r="Q2047">
        <v>192300</v>
      </c>
      <c r="R2047">
        <v>202102</v>
      </c>
    </row>
    <row r="2048" spans="4:19" x14ac:dyDescent="0.25">
      <c r="D2048" t="s">
        <v>71</v>
      </c>
      <c r="E2048">
        <v>2015</v>
      </c>
      <c r="F2048" t="s">
        <v>28</v>
      </c>
      <c r="G2048">
        <v>187728</v>
      </c>
      <c r="H2048">
        <v>156044</v>
      </c>
      <c r="I2048">
        <v>178993</v>
      </c>
      <c r="J2048">
        <v>153519</v>
      </c>
      <c r="K2048">
        <v>151425</v>
      </c>
      <c r="L2048">
        <v>179236</v>
      </c>
      <c r="M2048">
        <v>189748</v>
      </c>
    </row>
    <row r="2049" spans="4:19" x14ac:dyDescent="0.25">
      <c r="D2049" t="s">
        <v>71</v>
      </c>
      <c r="E2049">
        <v>2013</v>
      </c>
      <c r="F2049" t="s">
        <v>29</v>
      </c>
      <c r="S2049">
        <v>149298</v>
      </c>
    </row>
    <row r="2050" spans="4:19" x14ac:dyDescent="0.25">
      <c r="D2050" t="s">
        <v>71</v>
      </c>
      <c r="E2050">
        <v>2014</v>
      </c>
      <c r="F2050" t="s">
        <v>29</v>
      </c>
      <c r="S2050">
        <v>111412</v>
      </c>
    </row>
    <row r="2051" spans="4:19" x14ac:dyDescent="0.25">
      <c r="D2051" t="s">
        <v>71</v>
      </c>
      <c r="E2051">
        <v>2015</v>
      </c>
      <c r="F2051" t="s">
        <v>29</v>
      </c>
      <c r="S2051">
        <v>106871</v>
      </c>
    </row>
    <row r="2052" spans="4:19" x14ac:dyDescent="0.25">
      <c r="D2052" t="s">
        <v>71</v>
      </c>
      <c r="E2052">
        <v>2013</v>
      </c>
      <c r="F2052" t="s">
        <v>30</v>
      </c>
      <c r="G2052">
        <v>25087</v>
      </c>
      <c r="H2052">
        <v>22459</v>
      </c>
      <c r="I2052">
        <v>21259</v>
      </c>
      <c r="J2052">
        <v>20241</v>
      </c>
      <c r="K2052">
        <v>18931</v>
      </c>
      <c r="L2052">
        <v>22118</v>
      </c>
      <c r="M2052">
        <v>19203</v>
      </c>
      <c r="N2052">
        <v>18580</v>
      </c>
      <c r="O2052">
        <v>25108</v>
      </c>
      <c r="P2052">
        <v>24203</v>
      </c>
      <c r="Q2052">
        <v>14324</v>
      </c>
      <c r="R2052">
        <v>19753</v>
      </c>
    </row>
    <row r="2053" spans="4:19" x14ac:dyDescent="0.25">
      <c r="D2053" t="s">
        <v>71</v>
      </c>
      <c r="E2053">
        <v>2014</v>
      </c>
      <c r="F2053" t="s">
        <v>30</v>
      </c>
      <c r="G2053">
        <v>21011</v>
      </c>
      <c r="H2053">
        <v>20323</v>
      </c>
      <c r="I2053">
        <v>18952</v>
      </c>
      <c r="J2053">
        <v>18265</v>
      </c>
      <c r="K2053">
        <v>9826</v>
      </c>
      <c r="L2053">
        <v>11665</v>
      </c>
      <c r="M2053">
        <v>11370</v>
      </c>
      <c r="N2053">
        <v>15526</v>
      </c>
      <c r="O2053">
        <v>5007</v>
      </c>
      <c r="P2053">
        <v>26343</v>
      </c>
      <c r="Q2053">
        <v>22549</v>
      </c>
      <c r="R2053">
        <v>18632</v>
      </c>
    </row>
    <row r="2054" spans="4:19" x14ac:dyDescent="0.25">
      <c r="D2054" t="s">
        <v>71</v>
      </c>
      <c r="E2054">
        <v>2015</v>
      </c>
      <c r="F2054" t="s">
        <v>30</v>
      </c>
      <c r="G2054">
        <v>19435</v>
      </c>
      <c r="H2054">
        <v>18890</v>
      </c>
      <c r="I2054">
        <v>19276</v>
      </c>
      <c r="J2054">
        <v>16651</v>
      </c>
      <c r="K2054">
        <v>15424</v>
      </c>
      <c r="L2054">
        <v>15757</v>
      </c>
      <c r="M2054">
        <v>1438</v>
      </c>
    </row>
    <row r="2055" spans="4:19" x14ac:dyDescent="0.25">
      <c r="D2055" t="s">
        <v>71</v>
      </c>
      <c r="E2055">
        <v>2013</v>
      </c>
      <c r="F2055" t="s">
        <v>31</v>
      </c>
      <c r="S2055">
        <v>0.59557020026414387</v>
      </c>
    </row>
    <row r="2056" spans="4:19" x14ac:dyDescent="0.25">
      <c r="D2056" t="s">
        <v>71</v>
      </c>
      <c r="E2056">
        <v>2014</v>
      </c>
      <c r="F2056" t="s">
        <v>31</v>
      </c>
      <c r="S2056">
        <v>0.92758582196401618</v>
      </c>
    </row>
    <row r="2057" spans="4:19" x14ac:dyDescent="0.25">
      <c r="D2057" t="s">
        <v>71</v>
      </c>
      <c r="E2057">
        <v>2015</v>
      </c>
      <c r="F2057" t="s">
        <v>31</v>
      </c>
      <c r="S2057">
        <v>0.92045470672551555</v>
      </c>
    </row>
    <row r="2058" spans="4:19" x14ac:dyDescent="0.25">
      <c r="D2058" t="s">
        <v>71</v>
      </c>
      <c r="E2058">
        <v>2013</v>
      </c>
      <c r="F2058" t="s">
        <v>32</v>
      </c>
      <c r="G2058">
        <v>0.49783150014016919</v>
      </c>
      <c r="H2058">
        <v>0.45098972049953273</v>
      </c>
      <c r="I2058">
        <v>0.54085860366713678</v>
      </c>
      <c r="J2058">
        <v>0.56684437931121612</v>
      </c>
      <c r="K2058">
        <v>0.71093774091091311</v>
      </c>
      <c r="L2058">
        <v>0.76832919526800059</v>
      </c>
      <c r="M2058">
        <v>0.89004978182041672</v>
      </c>
      <c r="N2058">
        <v>0.92834471482158309</v>
      </c>
      <c r="O2058">
        <v>0.909711641555217</v>
      </c>
      <c r="P2058">
        <v>0.95077417930686514</v>
      </c>
      <c r="Q2058">
        <v>0.90580467059613523</v>
      </c>
      <c r="R2058">
        <v>0.96311058344640432</v>
      </c>
    </row>
    <row r="2059" spans="4:19" x14ac:dyDescent="0.25">
      <c r="D2059" t="s">
        <v>71</v>
      </c>
      <c r="E2059">
        <v>2014</v>
      </c>
      <c r="F2059" t="s">
        <v>32</v>
      </c>
      <c r="G2059">
        <v>0.93361035640083112</v>
      </c>
      <c r="H2059">
        <v>0.9051971212024712</v>
      </c>
      <c r="I2059">
        <v>0.95118738336565556</v>
      </c>
      <c r="J2059">
        <v>0.98107930959143541</v>
      </c>
      <c r="K2059">
        <v>0.96359341912363572</v>
      </c>
      <c r="L2059">
        <v>0.89410990251089306</v>
      </c>
      <c r="M2059">
        <v>0.89566236811254396</v>
      </c>
      <c r="N2059">
        <v>0.90701468189233281</v>
      </c>
      <c r="O2059">
        <v>0.91198982341907242</v>
      </c>
      <c r="P2059">
        <v>0.93104804867813684</v>
      </c>
      <c r="Q2059">
        <v>0.93563988095238093</v>
      </c>
      <c r="R2059">
        <v>0.93259784440275972</v>
      </c>
    </row>
    <row r="2060" spans="4:19" x14ac:dyDescent="0.25">
      <c r="D2060" t="s">
        <v>71</v>
      </c>
      <c r="E2060">
        <v>2015</v>
      </c>
      <c r="F2060" t="s">
        <v>32</v>
      </c>
      <c r="G2060">
        <v>0.93741417716883835</v>
      </c>
      <c r="H2060">
        <v>0.93632292692222185</v>
      </c>
      <c r="I2060">
        <v>0.93140757718754208</v>
      </c>
      <c r="J2060">
        <v>0.92268382352941181</v>
      </c>
      <c r="K2060">
        <v>0.91175645904265967</v>
      </c>
      <c r="L2060">
        <v>0.91496243057824245</v>
      </c>
      <c r="M2060">
        <v>0.89001960332103325</v>
      </c>
    </row>
    <row r="2061" spans="4:19" x14ac:dyDescent="0.25">
      <c r="D2061" t="s">
        <v>71</v>
      </c>
      <c r="E2061">
        <v>2013</v>
      </c>
      <c r="F2061" t="s">
        <v>33</v>
      </c>
      <c r="S2061">
        <v>0.54323998294526887</v>
      </c>
    </row>
    <row r="2062" spans="4:19" x14ac:dyDescent="0.25">
      <c r="D2062" t="s">
        <v>71</v>
      </c>
      <c r="E2062">
        <v>2014</v>
      </c>
      <c r="F2062" t="s">
        <v>33</v>
      </c>
      <c r="S2062">
        <v>0.91902745937986308</v>
      </c>
    </row>
    <row r="2063" spans="4:19" x14ac:dyDescent="0.25">
      <c r="D2063" t="s">
        <v>71</v>
      </c>
      <c r="E2063">
        <v>2015</v>
      </c>
      <c r="F2063" t="s">
        <v>33</v>
      </c>
      <c r="S2063">
        <v>0.94219503929510873</v>
      </c>
    </row>
    <row r="2064" spans="4:19" x14ac:dyDescent="0.25">
      <c r="D2064" t="s">
        <v>71</v>
      </c>
      <c r="E2064">
        <v>2013</v>
      </c>
      <c r="F2064" t="s">
        <v>34</v>
      </c>
      <c r="G2064">
        <v>0.40622063986549967</v>
      </c>
      <c r="H2064">
        <v>0.35617049765677306</v>
      </c>
      <c r="I2064">
        <v>0.48424078126531012</v>
      </c>
      <c r="J2064">
        <v>0.52516394978452319</v>
      </c>
      <c r="K2064">
        <v>0.74365144378455872</v>
      </c>
      <c r="L2064">
        <v>0.88506606831214163</v>
      </c>
      <c r="M2064">
        <v>0.86335636616851463</v>
      </c>
      <c r="N2064">
        <v>0.87460023565056388</v>
      </c>
      <c r="O2064">
        <v>0.84674329501915713</v>
      </c>
      <c r="P2064">
        <v>0.91355153126211441</v>
      </c>
      <c r="Q2064">
        <v>0.84850302993940119</v>
      </c>
      <c r="R2064">
        <v>0.94228089962184036</v>
      </c>
    </row>
    <row r="2065" spans="4:19" x14ac:dyDescent="0.25">
      <c r="D2065" t="s">
        <v>71</v>
      </c>
      <c r="E2065">
        <v>2014</v>
      </c>
      <c r="F2065" t="s">
        <v>34</v>
      </c>
      <c r="G2065">
        <v>0.89687701702993894</v>
      </c>
      <c r="H2065">
        <v>0.85175041083611369</v>
      </c>
      <c r="I2065">
        <v>0.91888605131946977</v>
      </c>
      <c r="J2065">
        <v>0.97037290455011971</v>
      </c>
      <c r="K2065">
        <v>0.93746065057712491</v>
      </c>
      <c r="L2065">
        <v>0.94984793368716081</v>
      </c>
      <c r="M2065">
        <v>0.9346724890829694</v>
      </c>
      <c r="N2065">
        <v>0.94294003868471954</v>
      </c>
      <c r="O2065">
        <v>0.90134959896258582</v>
      </c>
      <c r="P2065">
        <v>0.95077465153634899</v>
      </c>
      <c r="Q2065">
        <v>0.95600213646681798</v>
      </c>
      <c r="R2065">
        <v>0.95809625414888577</v>
      </c>
    </row>
    <row r="2066" spans="4:19" x14ac:dyDescent="0.25">
      <c r="D2066" t="s">
        <v>71</v>
      </c>
      <c r="E2066">
        <v>2015</v>
      </c>
      <c r="F2066" t="s">
        <v>34</v>
      </c>
      <c r="G2066">
        <v>0.96117018462677883</v>
      </c>
      <c r="H2066">
        <v>0.95502588438308889</v>
      </c>
      <c r="I2066">
        <v>0.96317075880457725</v>
      </c>
      <c r="J2066">
        <v>0.95713187235678587</v>
      </c>
      <c r="K2066">
        <v>0.92958989679521997</v>
      </c>
      <c r="L2066">
        <v>0.94065788748691392</v>
      </c>
      <c r="M2066">
        <v>0.89251074892510751</v>
      </c>
    </row>
    <row r="2067" spans="4:19" x14ac:dyDescent="0.25">
      <c r="D2067" t="s">
        <v>72</v>
      </c>
      <c r="E2067">
        <v>2013</v>
      </c>
      <c r="F2067" t="s">
        <v>17</v>
      </c>
      <c r="S2067">
        <v>0.9204420603632133</v>
      </c>
    </row>
    <row r="2068" spans="4:19" x14ac:dyDescent="0.25">
      <c r="D2068" t="s">
        <v>72</v>
      </c>
      <c r="E2068">
        <v>2014</v>
      </c>
      <c r="F2068" t="s">
        <v>17</v>
      </c>
      <c r="S2068">
        <v>0.96252533125487139</v>
      </c>
    </row>
    <row r="2069" spans="4:19" x14ac:dyDescent="0.25">
      <c r="D2069" t="s">
        <v>72</v>
      </c>
      <c r="E2069">
        <v>2015</v>
      </c>
      <c r="F2069" t="s">
        <v>17</v>
      </c>
      <c r="S2069">
        <v>0.9976441024030156</v>
      </c>
    </row>
    <row r="2070" spans="4:19" x14ac:dyDescent="0.25">
      <c r="D2070" t="s">
        <v>72</v>
      </c>
      <c r="E2070">
        <v>2013</v>
      </c>
      <c r="F2070" t="s">
        <v>18</v>
      </c>
      <c r="G2070">
        <v>0.91789512968837472</v>
      </c>
      <c r="H2070">
        <v>0.92955326460481102</v>
      </c>
      <c r="I2070">
        <v>0.91750547045951858</v>
      </c>
      <c r="J2070">
        <v>0.91513601488026042</v>
      </c>
      <c r="K2070">
        <v>0.87262262262262258</v>
      </c>
      <c r="L2070">
        <v>0.92692593510032206</v>
      </c>
      <c r="M2070">
        <v>0.96324807549043956</v>
      </c>
      <c r="N2070">
        <v>0.95548887221805456</v>
      </c>
      <c r="O2070">
        <v>0.92551963048498842</v>
      </c>
      <c r="P2070">
        <v>0.9444225463145447</v>
      </c>
      <c r="Q2070">
        <v>0.92101033295063151</v>
      </c>
      <c r="R2070">
        <v>0.93896821741133119</v>
      </c>
    </row>
    <row r="2071" spans="4:19" x14ac:dyDescent="0.25">
      <c r="D2071" t="s">
        <v>72</v>
      </c>
      <c r="E2071">
        <v>2014</v>
      </c>
      <c r="F2071" t="s">
        <v>18</v>
      </c>
      <c r="G2071">
        <v>0.94411500449236296</v>
      </c>
      <c r="H2071">
        <v>0.94082203572197121</v>
      </c>
      <c r="I2071">
        <v>0.92896055785574194</v>
      </c>
      <c r="J2071">
        <v>0.95294401544401541</v>
      </c>
      <c r="K2071">
        <v>0.9791927801453999</v>
      </c>
      <c r="L2071">
        <v>0.99883585564610011</v>
      </c>
      <c r="M2071">
        <v>0.99855550969872064</v>
      </c>
      <c r="N2071">
        <v>0.99951302654005358</v>
      </c>
      <c r="O2071">
        <v>0.99757785467128024</v>
      </c>
      <c r="P2071">
        <v>0.99788985017936271</v>
      </c>
      <c r="Q2071">
        <v>0.9994636631804773</v>
      </c>
      <c r="R2071">
        <v>0.95561246265471622</v>
      </c>
    </row>
    <row r="2072" spans="4:19" x14ac:dyDescent="0.25">
      <c r="D2072" t="s">
        <v>72</v>
      </c>
      <c r="E2072">
        <v>2015</v>
      </c>
      <c r="F2072" t="s">
        <v>18</v>
      </c>
      <c r="G2072">
        <v>0.99906542056074765</v>
      </c>
      <c r="H2072">
        <v>0.99770056208482372</v>
      </c>
      <c r="I2072">
        <v>0.99707174231332363</v>
      </c>
      <c r="J2072">
        <v>0.99658897100625354</v>
      </c>
      <c r="K2072">
        <v>0.9977678571428571</v>
      </c>
      <c r="L2072">
        <v>0.99911478312186486</v>
      </c>
      <c r="M2072">
        <v>0.99609047752024571</v>
      </c>
    </row>
    <row r="2073" spans="4:19" x14ac:dyDescent="0.25">
      <c r="D2073" t="s">
        <v>72</v>
      </c>
      <c r="E2073">
        <v>2013</v>
      </c>
      <c r="F2073" t="s">
        <v>19</v>
      </c>
      <c r="S2073">
        <v>0.80565327101642037</v>
      </c>
    </row>
    <row r="2074" spans="4:19" x14ac:dyDescent="0.25">
      <c r="D2074" t="s">
        <v>72</v>
      </c>
      <c r="E2074">
        <v>2014</v>
      </c>
      <c r="F2074" t="s">
        <v>19</v>
      </c>
      <c r="S2074">
        <v>0.99792317600004932</v>
      </c>
    </row>
    <row r="2075" spans="4:19" x14ac:dyDescent="0.25">
      <c r="D2075" t="s">
        <v>72</v>
      </c>
      <c r="E2075">
        <v>2015</v>
      </c>
      <c r="F2075" t="s">
        <v>19</v>
      </c>
      <c r="S2075">
        <v>0.9957765438330809</v>
      </c>
    </row>
    <row r="2076" spans="4:19" x14ac:dyDescent="0.25">
      <c r="D2076" t="s">
        <v>72</v>
      </c>
      <c r="E2076">
        <v>2013</v>
      </c>
      <c r="F2076" t="s">
        <v>20</v>
      </c>
      <c r="G2076">
        <v>0.77228863603629549</v>
      </c>
      <c r="H2076">
        <v>0.67615658362989328</v>
      </c>
      <c r="I2076">
        <v>0.6233060063577045</v>
      </c>
      <c r="J2076">
        <v>0.74854257755569431</v>
      </c>
      <c r="K2076">
        <v>0.83709787816563996</v>
      </c>
      <c r="L2076">
        <v>0.99892665474060827</v>
      </c>
      <c r="M2076">
        <v>0.9985396586973756</v>
      </c>
      <c r="N2076">
        <v>0.98651040712934135</v>
      </c>
      <c r="O2076">
        <v>0.99830508474576274</v>
      </c>
      <c r="P2076">
        <v>0.99810883828637587</v>
      </c>
      <c r="Q2076">
        <v>0.99796654974327692</v>
      </c>
      <c r="R2076">
        <v>0.97910726805328352</v>
      </c>
    </row>
    <row r="2077" spans="4:19" x14ac:dyDescent="0.25">
      <c r="D2077" t="s">
        <v>72</v>
      </c>
      <c r="E2077">
        <v>2014</v>
      </c>
      <c r="F2077" t="s">
        <v>20</v>
      </c>
      <c r="G2077">
        <v>0.9995165578921924</v>
      </c>
      <c r="H2077">
        <v>0.99917699038378238</v>
      </c>
      <c r="I2077">
        <v>0.99797788581508406</v>
      </c>
      <c r="J2077">
        <v>0.99848995822217745</v>
      </c>
      <c r="K2077">
        <v>0.99618811426471943</v>
      </c>
      <c r="L2077">
        <v>0.99571129707112971</v>
      </c>
      <c r="M2077">
        <v>0.99763521244946218</v>
      </c>
      <c r="N2077">
        <v>0.99797340088663711</v>
      </c>
      <c r="O2077">
        <v>0.99526118988560219</v>
      </c>
      <c r="P2077">
        <v>0.99793306653766656</v>
      </c>
      <c r="Q2077">
        <v>0.99538372763993077</v>
      </c>
      <c r="R2077">
        <v>0.99870784877662455</v>
      </c>
    </row>
    <row r="2078" spans="4:19" x14ac:dyDescent="0.25">
      <c r="D2078" t="s">
        <v>72</v>
      </c>
      <c r="E2078">
        <v>2015</v>
      </c>
      <c r="F2078" t="s">
        <v>20</v>
      </c>
      <c r="G2078">
        <v>0.99385654008438817</v>
      </c>
      <c r="H2078">
        <v>0.99636881452474191</v>
      </c>
      <c r="I2078">
        <v>0.99560195808474838</v>
      </c>
      <c r="J2078">
        <v>0.99792881251917764</v>
      </c>
      <c r="K2078">
        <v>0.99230996746524702</v>
      </c>
      <c r="L2078">
        <v>0.99714753135618106</v>
      </c>
      <c r="M2078">
        <v>0.99686339248865041</v>
      </c>
    </row>
    <row r="2079" spans="4:19" x14ac:dyDescent="0.25">
      <c r="D2079" t="s">
        <v>72</v>
      </c>
      <c r="E2079">
        <v>2013</v>
      </c>
      <c r="F2079" t="s">
        <v>21</v>
      </c>
      <c r="S2079">
        <v>0.86731028289178269</v>
      </c>
    </row>
    <row r="2080" spans="4:19" x14ac:dyDescent="0.25">
      <c r="D2080" t="s">
        <v>72</v>
      </c>
      <c r="E2080">
        <v>2014</v>
      </c>
      <c r="F2080" t="s">
        <v>21</v>
      </c>
      <c r="S2080">
        <v>0.99349616996675816</v>
      </c>
    </row>
    <row r="2081" spans="4:19" x14ac:dyDescent="0.25">
      <c r="D2081" t="s">
        <v>72</v>
      </c>
      <c r="E2081">
        <v>2015</v>
      </c>
      <c r="F2081" t="s">
        <v>21</v>
      </c>
      <c r="S2081">
        <v>0.99168728352300839</v>
      </c>
    </row>
    <row r="2082" spans="4:19" x14ac:dyDescent="0.25">
      <c r="D2082" t="s">
        <v>72</v>
      </c>
      <c r="E2082">
        <v>2013</v>
      </c>
      <c r="F2082" t="s">
        <v>22</v>
      </c>
      <c r="G2082">
        <v>0.62542271732643728</v>
      </c>
      <c r="H2082">
        <v>0.86416938110749186</v>
      </c>
      <c r="I2082">
        <v>0.84604978354978355</v>
      </c>
      <c r="J2082">
        <v>0.84425555250891149</v>
      </c>
      <c r="K2082">
        <v>0.97460831982712048</v>
      </c>
      <c r="L2082">
        <v>0.99827288428324701</v>
      </c>
      <c r="M2082">
        <v>0.99780915287244398</v>
      </c>
      <c r="N2082">
        <v>0.95354886659234483</v>
      </c>
      <c r="O2082">
        <v>0.99578059071729963</v>
      </c>
      <c r="P2082">
        <v>0.99948051948051952</v>
      </c>
      <c r="Q2082">
        <v>0.99703791469194314</v>
      </c>
      <c r="R2082">
        <v>0.98888646764000876</v>
      </c>
    </row>
    <row r="2083" spans="4:19" x14ac:dyDescent="0.25">
      <c r="D2083" t="s">
        <v>72</v>
      </c>
      <c r="E2083">
        <v>2014</v>
      </c>
      <c r="F2083" t="s">
        <v>22</v>
      </c>
      <c r="G2083">
        <v>0.99580587177950863</v>
      </c>
      <c r="H2083">
        <v>0.99904030710172742</v>
      </c>
      <c r="I2083">
        <v>0.99299792531120334</v>
      </c>
      <c r="J2083">
        <v>0.99695894576786614</v>
      </c>
      <c r="K2083">
        <v>0.98843930635838151</v>
      </c>
      <c r="L2083">
        <v>0.99379407616361071</v>
      </c>
      <c r="M2083">
        <v>0.98838268792710704</v>
      </c>
      <c r="N2083">
        <v>0.99791376912378305</v>
      </c>
      <c r="O2083">
        <v>0.98276776246023334</v>
      </c>
      <c r="P2083">
        <v>0.992973580663294</v>
      </c>
      <c r="Q2083">
        <v>0.99270304568527923</v>
      </c>
      <c r="R2083">
        <v>0.99615819209039547</v>
      </c>
    </row>
    <row r="2084" spans="4:19" x14ac:dyDescent="0.25">
      <c r="D2084" t="s">
        <v>72</v>
      </c>
      <c r="E2084">
        <v>2015</v>
      </c>
      <c r="F2084" t="s">
        <v>22</v>
      </c>
      <c r="G2084">
        <v>0.98893499308437072</v>
      </c>
      <c r="H2084">
        <v>0.9916256157635468</v>
      </c>
      <c r="I2084">
        <v>0.98789401553220646</v>
      </c>
      <c r="J2084">
        <v>0.99415861604133904</v>
      </c>
      <c r="K2084">
        <v>0.99314345991561181</v>
      </c>
      <c r="L2084">
        <v>0.99442249593306997</v>
      </c>
      <c r="M2084">
        <v>0.99227166276346601</v>
      </c>
    </row>
    <row r="2085" spans="4:19" x14ac:dyDescent="0.25">
      <c r="D2085" t="s">
        <v>72</v>
      </c>
      <c r="E2085">
        <v>2013</v>
      </c>
      <c r="F2085" t="s">
        <v>23</v>
      </c>
      <c r="S2085">
        <v>60271</v>
      </c>
    </row>
    <row r="2086" spans="4:19" x14ac:dyDescent="0.25">
      <c r="D2086" t="s">
        <v>72</v>
      </c>
      <c r="E2086">
        <v>2014</v>
      </c>
      <c r="F2086" t="s">
        <v>23</v>
      </c>
      <c r="S2086">
        <v>54920</v>
      </c>
    </row>
    <row r="2087" spans="4:19" x14ac:dyDescent="0.25">
      <c r="D2087" t="s">
        <v>72</v>
      </c>
      <c r="E2087">
        <v>2015</v>
      </c>
      <c r="F2087" t="s">
        <v>23</v>
      </c>
      <c r="S2087">
        <v>45708</v>
      </c>
    </row>
    <row r="2088" spans="4:19" x14ac:dyDescent="0.25">
      <c r="D2088" t="s">
        <v>72</v>
      </c>
      <c r="E2088">
        <v>2013</v>
      </c>
      <c r="F2088" t="s">
        <v>24</v>
      </c>
      <c r="G2088">
        <v>10750</v>
      </c>
      <c r="H2088">
        <v>9616</v>
      </c>
      <c r="I2088">
        <v>8803</v>
      </c>
      <c r="J2088">
        <v>7864</v>
      </c>
      <c r="K2088">
        <v>8275</v>
      </c>
      <c r="L2088">
        <v>7290</v>
      </c>
      <c r="M2088">
        <v>7673</v>
      </c>
      <c r="N2088">
        <v>7260</v>
      </c>
      <c r="O2088">
        <v>8282</v>
      </c>
      <c r="P2088">
        <v>7769</v>
      </c>
      <c r="Q2088">
        <v>7408</v>
      </c>
      <c r="R2088">
        <v>7685</v>
      </c>
    </row>
    <row r="2089" spans="4:19" x14ac:dyDescent="0.25">
      <c r="D2089" t="s">
        <v>72</v>
      </c>
      <c r="E2089">
        <v>2014</v>
      </c>
      <c r="F2089" t="s">
        <v>24</v>
      </c>
      <c r="G2089">
        <v>9482</v>
      </c>
      <c r="H2089">
        <v>9046</v>
      </c>
      <c r="I2089">
        <v>8260</v>
      </c>
      <c r="J2089">
        <v>7220</v>
      </c>
      <c r="K2089">
        <v>5946</v>
      </c>
      <c r="L2089">
        <v>7056</v>
      </c>
      <c r="M2089">
        <v>7910</v>
      </c>
      <c r="N2089">
        <v>7370</v>
      </c>
      <c r="O2089">
        <v>9987</v>
      </c>
      <c r="P2089">
        <v>7912</v>
      </c>
      <c r="Q2089">
        <v>6772</v>
      </c>
      <c r="R2089">
        <v>7594</v>
      </c>
    </row>
    <row r="2090" spans="4:19" x14ac:dyDescent="0.25">
      <c r="D2090" t="s">
        <v>72</v>
      </c>
      <c r="E2090">
        <v>2015</v>
      </c>
      <c r="F2090" t="s">
        <v>24</v>
      </c>
      <c r="G2090">
        <v>7772</v>
      </c>
      <c r="H2090">
        <v>7066</v>
      </c>
      <c r="I2090">
        <v>6770</v>
      </c>
      <c r="J2090">
        <v>5877</v>
      </c>
      <c r="K2090">
        <v>5224</v>
      </c>
      <c r="L2090">
        <v>6147</v>
      </c>
      <c r="M2090">
        <v>6852</v>
      </c>
    </row>
    <row r="2091" spans="4:19" x14ac:dyDescent="0.25">
      <c r="D2091" t="s">
        <v>72</v>
      </c>
      <c r="E2091">
        <v>2013</v>
      </c>
      <c r="F2091" t="s">
        <v>25</v>
      </c>
      <c r="S2091">
        <v>127639</v>
      </c>
    </row>
    <row r="2092" spans="4:19" x14ac:dyDescent="0.25">
      <c r="D2092" t="s">
        <v>72</v>
      </c>
      <c r="E2092">
        <v>2014</v>
      </c>
      <c r="F2092" t="s">
        <v>25</v>
      </c>
      <c r="S2092">
        <v>121022</v>
      </c>
    </row>
    <row r="2093" spans="4:19" x14ac:dyDescent="0.25">
      <c r="D2093" t="s">
        <v>72</v>
      </c>
      <c r="E2093">
        <v>2015</v>
      </c>
      <c r="F2093" t="s">
        <v>25</v>
      </c>
      <c r="S2093">
        <v>130637</v>
      </c>
    </row>
    <row r="2094" spans="4:19" x14ac:dyDescent="0.25">
      <c r="D2094" t="s">
        <v>72</v>
      </c>
      <c r="E2094">
        <v>2013</v>
      </c>
      <c r="F2094" t="s">
        <v>26</v>
      </c>
      <c r="G2094">
        <v>22745</v>
      </c>
      <c r="H2094">
        <v>17561</v>
      </c>
      <c r="I2094">
        <v>17885</v>
      </c>
      <c r="J2094">
        <v>16158</v>
      </c>
      <c r="K2094">
        <v>17127</v>
      </c>
      <c r="L2094">
        <v>16790</v>
      </c>
      <c r="M2094">
        <v>19373</v>
      </c>
      <c r="N2094">
        <v>16828</v>
      </c>
      <c r="O2094">
        <v>21165</v>
      </c>
      <c r="P2094">
        <v>21203</v>
      </c>
      <c r="Q2094">
        <v>22829</v>
      </c>
      <c r="R2094">
        <v>19285</v>
      </c>
    </row>
    <row r="2095" spans="4:19" x14ac:dyDescent="0.25">
      <c r="D2095" t="s">
        <v>72</v>
      </c>
      <c r="E2095">
        <v>2014</v>
      </c>
      <c r="F2095" t="s">
        <v>26</v>
      </c>
      <c r="G2095">
        <v>21403</v>
      </c>
      <c r="H2095">
        <v>17947</v>
      </c>
      <c r="I2095">
        <v>17333</v>
      </c>
      <c r="J2095">
        <v>15491</v>
      </c>
      <c r="K2095">
        <v>14863</v>
      </c>
      <c r="L2095">
        <v>15735</v>
      </c>
      <c r="M2095">
        <v>18250</v>
      </c>
      <c r="N2095">
        <v>16488</v>
      </c>
      <c r="O2095">
        <v>21337</v>
      </c>
      <c r="P2095">
        <v>21609</v>
      </c>
      <c r="Q2095">
        <v>19191</v>
      </c>
      <c r="R2095">
        <v>27130</v>
      </c>
    </row>
    <row r="2096" spans="4:19" x14ac:dyDescent="0.25">
      <c r="D2096" t="s">
        <v>72</v>
      </c>
      <c r="E2096">
        <v>2015</v>
      </c>
      <c r="F2096" t="s">
        <v>26</v>
      </c>
      <c r="G2096">
        <v>20694</v>
      </c>
      <c r="H2096">
        <v>18509</v>
      </c>
      <c r="I2096">
        <v>18550</v>
      </c>
      <c r="J2096">
        <v>18759</v>
      </c>
      <c r="K2096">
        <v>14836</v>
      </c>
      <c r="L2096">
        <v>18495</v>
      </c>
      <c r="M2096">
        <v>20794</v>
      </c>
    </row>
    <row r="2097" spans="4:19" x14ac:dyDescent="0.25">
      <c r="D2097" t="s">
        <v>72</v>
      </c>
      <c r="E2097">
        <v>2013</v>
      </c>
      <c r="F2097" t="s">
        <v>27</v>
      </c>
      <c r="S2097">
        <v>228235</v>
      </c>
    </row>
    <row r="2098" spans="4:19" x14ac:dyDescent="0.25">
      <c r="D2098" t="s">
        <v>72</v>
      </c>
      <c r="E2098">
        <v>2014</v>
      </c>
      <c r="F2098" t="s">
        <v>27</v>
      </c>
      <c r="S2098">
        <v>218599</v>
      </c>
    </row>
    <row r="2099" spans="4:19" x14ac:dyDescent="0.25">
      <c r="D2099" t="s">
        <v>72</v>
      </c>
      <c r="E2099">
        <v>2015</v>
      </c>
      <c r="F2099" t="s">
        <v>27</v>
      </c>
      <c r="S2099">
        <v>236021</v>
      </c>
    </row>
    <row r="2100" spans="4:19" x14ac:dyDescent="0.25">
      <c r="D2100" t="s">
        <v>72</v>
      </c>
      <c r="E2100">
        <v>2013</v>
      </c>
      <c r="F2100" t="s">
        <v>28</v>
      </c>
      <c r="G2100">
        <v>40110</v>
      </c>
      <c r="H2100">
        <v>31933</v>
      </c>
      <c r="I2100">
        <v>32612</v>
      </c>
      <c r="J2100">
        <v>29082</v>
      </c>
      <c r="K2100">
        <v>30709</v>
      </c>
      <c r="L2100">
        <v>30295</v>
      </c>
      <c r="M2100">
        <v>33494</v>
      </c>
      <c r="N2100">
        <v>29442</v>
      </c>
      <c r="O2100">
        <v>36000</v>
      </c>
      <c r="P2100">
        <v>37416</v>
      </c>
      <c r="Q2100">
        <v>35785</v>
      </c>
      <c r="R2100">
        <v>34558</v>
      </c>
    </row>
    <row r="2101" spans="4:19" x14ac:dyDescent="0.25">
      <c r="D2101" t="s">
        <v>72</v>
      </c>
      <c r="E2101">
        <v>2014</v>
      </c>
      <c r="F2101" t="s">
        <v>28</v>
      </c>
      <c r="G2101">
        <v>37793</v>
      </c>
      <c r="H2101">
        <v>31666</v>
      </c>
      <c r="I2101">
        <v>31815</v>
      </c>
      <c r="J2101">
        <v>28602</v>
      </c>
      <c r="K2101">
        <v>27833</v>
      </c>
      <c r="L2101">
        <v>28933</v>
      </c>
      <c r="M2101">
        <v>31957</v>
      </c>
      <c r="N2101">
        <v>27129</v>
      </c>
      <c r="O2101">
        <v>37518</v>
      </c>
      <c r="P2101">
        <v>38377</v>
      </c>
      <c r="Q2101">
        <v>33286</v>
      </c>
      <c r="R2101">
        <v>44300</v>
      </c>
    </row>
    <row r="2102" spans="4:19" x14ac:dyDescent="0.25">
      <c r="D2102" t="s">
        <v>72</v>
      </c>
      <c r="E2102">
        <v>2015</v>
      </c>
      <c r="F2102" t="s">
        <v>28</v>
      </c>
      <c r="G2102">
        <v>33658</v>
      </c>
      <c r="H2102">
        <v>35813</v>
      </c>
      <c r="I2102">
        <v>35189</v>
      </c>
      <c r="J2102">
        <v>34435</v>
      </c>
      <c r="K2102">
        <v>26027</v>
      </c>
      <c r="L2102">
        <v>33450</v>
      </c>
      <c r="M2102">
        <v>37449</v>
      </c>
    </row>
    <row r="2103" spans="4:19" x14ac:dyDescent="0.25">
      <c r="D2103" t="s">
        <v>72</v>
      </c>
      <c r="E2103">
        <v>2013</v>
      </c>
      <c r="F2103" t="s">
        <v>29</v>
      </c>
      <c r="S2103">
        <v>30946</v>
      </c>
    </row>
    <row r="2104" spans="4:19" x14ac:dyDescent="0.25">
      <c r="D2104" t="s">
        <v>72</v>
      </c>
      <c r="E2104">
        <v>2014</v>
      </c>
      <c r="F2104" t="s">
        <v>29</v>
      </c>
      <c r="S2104">
        <v>32075</v>
      </c>
    </row>
    <row r="2105" spans="4:19" x14ac:dyDescent="0.25">
      <c r="D2105" t="s">
        <v>72</v>
      </c>
      <c r="E2105">
        <v>2015</v>
      </c>
      <c r="F2105" t="s">
        <v>29</v>
      </c>
      <c r="S2105">
        <v>25468</v>
      </c>
    </row>
    <row r="2106" spans="4:19" x14ac:dyDescent="0.25">
      <c r="D2106" t="s">
        <v>72</v>
      </c>
      <c r="E2106">
        <v>2013</v>
      </c>
      <c r="F2106" t="s">
        <v>30</v>
      </c>
      <c r="G2106">
        <v>5359</v>
      </c>
      <c r="H2106">
        <v>4656</v>
      </c>
      <c r="I2106">
        <v>4570</v>
      </c>
      <c r="J2106">
        <v>4301</v>
      </c>
      <c r="K2106">
        <v>3996</v>
      </c>
      <c r="L2106">
        <v>4037</v>
      </c>
      <c r="M2106">
        <v>4027</v>
      </c>
      <c r="N2106">
        <v>3999</v>
      </c>
      <c r="O2106">
        <v>5196</v>
      </c>
      <c r="P2106">
        <v>5074</v>
      </c>
      <c r="Q2106">
        <v>4355</v>
      </c>
      <c r="R2106">
        <v>4342</v>
      </c>
    </row>
    <row r="2107" spans="4:19" x14ac:dyDescent="0.25">
      <c r="D2107" t="s">
        <v>72</v>
      </c>
      <c r="E2107">
        <v>2014</v>
      </c>
      <c r="F2107" t="s">
        <v>30</v>
      </c>
      <c r="G2107">
        <v>5565</v>
      </c>
      <c r="H2107">
        <v>4647</v>
      </c>
      <c r="I2107">
        <v>4589</v>
      </c>
      <c r="J2107">
        <v>4144</v>
      </c>
      <c r="K2107">
        <v>3989</v>
      </c>
      <c r="L2107">
        <v>4295</v>
      </c>
      <c r="M2107">
        <v>4846</v>
      </c>
      <c r="N2107">
        <v>4107</v>
      </c>
      <c r="O2107">
        <v>5780</v>
      </c>
      <c r="P2107">
        <v>4739</v>
      </c>
      <c r="Q2107">
        <v>3729</v>
      </c>
      <c r="R2107">
        <v>4686</v>
      </c>
    </row>
    <row r="2108" spans="4:19" x14ac:dyDescent="0.25">
      <c r="D2108" t="s">
        <v>72</v>
      </c>
      <c r="E2108">
        <v>2015</v>
      </c>
      <c r="F2108" t="s">
        <v>30</v>
      </c>
      <c r="G2108">
        <v>4280</v>
      </c>
      <c r="H2108">
        <v>3914</v>
      </c>
      <c r="I2108">
        <v>4098</v>
      </c>
      <c r="J2108">
        <v>3518</v>
      </c>
      <c r="K2108">
        <v>2688</v>
      </c>
      <c r="L2108">
        <v>3389</v>
      </c>
      <c r="M2108">
        <v>3581</v>
      </c>
    </row>
    <row r="2109" spans="4:19" x14ac:dyDescent="0.25">
      <c r="D2109" t="s">
        <v>72</v>
      </c>
      <c r="E2109">
        <v>2013</v>
      </c>
      <c r="F2109" t="s">
        <v>31</v>
      </c>
      <c r="S2109">
        <v>0.83005093660300977</v>
      </c>
    </row>
    <row r="2110" spans="4:19" x14ac:dyDescent="0.25">
      <c r="D2110" t="s">
        <v>72</v>
      </c>
      <c r="E2110">
        <v>2014</v>
      </c>
      <c r="F2110" t="s">
        <v>31</v>
      </c>
      <c r="S2110">
        <v>0.92987982520029133</v>
      </c>
    </row>
    <row r="2111" spans="4:19" x14ac:dyDescent="0.25">
      <c r="D2111" t="s">
        <v>72</v>
      </c>
      <c r="E2111">
        <v>2015</v>
      </c>
      <c r="F2111" t="s">
        <v>31</v>
      </c>
      <c r="S2111">
        <v>0.9079154633762142</v>
      </c>
    </row>
    <row r="2112" spans="4:19" x14ac:dyDescent="0.25">
      <c r="D2112" t="s">
        <v>72</v>
      </c>
      <c r="E2112">
        <v>2013</v>
      </c>
      <c r="F2112" t="s">
        <v>32</v>
      </c>
      <c r="G2112">
        <v>0.79897674418604647</v>
      </c>
      <c r="H2112">
        <v>0.8093801996672213</v>
      </c>
      <c r="I2112">
        <v>0.85595819606952173</v>
      </c>
      <c r="J2112">
        <v>0.83125635808748732</v>
      </c>
      <c r="K2112">
        <v>0.76773413897280962</v>
      </c>
      <c r="L2112">
        <v>0.82812071330589854</v>
      </c>
      <c r="M2112">
        <v>0.93757330900560409</v>
      </c>
      <c r="N2112">
        <v>0.94462809917355373</v>
      </c>
      <c r="O2112">
        <v>0.93950736537068336</v>
      </c>
      <c r="P2112">
        <v>0.94413695456300684</v>
      </c>
      <c r="Q2112">
        <v>0.93628509719222464</v>
      </c>
      <c r="R2112">
        <v>0.94105400130123618</v>
      </c>
    </row>
    <row r="2113" spans="4:19" x14ac:dyDescent="0.25">
      <c r="D2113" t="s">
        <v>72</v>
      </c>
      <c r="E2113">
        <v>2014</v>
      </c>
      <c r="F2113" t="s">
        <v>32</v>
      </c>
      <c r="G2113">
        <v>0.9209027631301413</v>
      </c>
      <c r="H2113">
        <v>0.93975237674110101</v>
      </c>
      <c r="I2113">
        <v>0.93837772397094432</v>
      </c>
      <c r="J2113">
        <v>0.94639889196675897</v>
      </c>
      <c r="K2113">
        <v>0.9535822401614531</v>
      </c>
      <c r="L2113">
        <v>0.91581632653061229</v>
      </c>
      <c r="M2113">
        <v>0.90012642225031603</v>
      </c>
      <c r="N2113">
        <v>0.90379918588873809</v>
      </c>
      <c r="O2113">
        <v>0.94352658455992788</v>
      </c>
      <c r="P2113">
        <v>0.9110212335692619</v>
      </c>
      <c r="Q2113">
        <v>0.93369757826343769</v>
      </c>
      <c r="R2113">
        <v>0.92415064524624702</v>
      </c>
    </row>
    <row r="2114" spans="4:19" x14ac:dyDescent="0.25">
      <c r="D2114" t="s">
        <v>72</v>
      </c>
      <c r="E2114">
        <v>2015</v>
      </c>
      <c r="F2114" t="s">
        <v>32</v>
      </c>
      <c r="G2114">
        <v>0.90530108080288219</v>
      </c>
      <c r="H2114">
        <v>0.90687800735918478</v>
      </c>
      <c r="I2114">
        <v>0.90177252584933532</v>
      </c>
      <c r="J2114">
        <v>0.91322103113833586</v>
      </c>
      <c r="K2114">
        <v>0.91807044410413474</v>
      </c>
      <c r="L2114">
        <v>0.90645843500894741</v>
      </c>
      <c r="M2114">
        <v>0.90703444249854059</v>
      </c>
    </row>
    <row r="2115" spans="4:19" x14ac:dyDescent="0.25">
      <c r="D2115" t="s">
        <v>72</v>
      </c>
      <c r="E2115">
        <v>2013</v>
      </c>
      <c r="F2115" t="s">
        <v>33</v>
      </c>
      <c r="S2115">
        <v>0.81980496199627129</v>
      </c>
    </row>
    <row r="2116" spans="4:19" x14ac:dyDescent="0.25">
      <c r="D2116" t="s">
        <v>72</v>
      </c>
      <c r="E2116">
        <v>2014</v>
      </c>
      <c r="F2116" t="s">
        <v>33</v>
      </c>
      <c r="S2116">
        <v>0.91886541670201638</v>
      </c>
    </row>
    <row r="2117" spans="4:19" x14ac:dyDescent="0.25">
      <c r="D2117" t="s">
        <v>72</v>
      </c>
      <c r="E2117">
        <v>2015</v>
      </c>
      <c r="F2117" t="s">
        <v>33</v>
      </c>
      <c r="S2117">
        <v>0.92159181960395287</v>
      </c>
    </row>
    <row r="2118" spans="4:19" x14ac:dyDescent="0.25">
      <c r="D2118" t="s">
        <v>72</v>
      </c>
      <c r="E2118">
        <v>2013</v>
      </c>
      <c r="F2118" t="s">
        <v>34</v>
      </c>
      <c r="G2118">
        <v>0.77600962824284569</v>
      </c>
      <c r="H2118">
        <v>0.78833107191316143</v>
      </c>
      <c r="I2118">
        <v>0.85898251192368835</v>
      </c>
      <c r="J2118">
        <v>0.82519139628144367</v>
      </c>
      <c r="K2118">
        <v>0.75287356321839083</v>
      </c>
      <c r="L2118">
        <v>0.83555207517619423</v>
      </c>
      <c r="M2118">
        <v>0.92454976303317538</v>
      </c>
      <c r="N2118">
        <v>0.91542183883862827</v>
      </c>
      <c r="O2118">
        <v>0.91432968536251713</v>
      </c>
      <c r="P2118">
        <v>0.91837502350949785</v>
      </c>
      <c r="Q2118">
        <v>0.90833171489609632</v>
      </c>
      <c r="R2118">
        <v>0.91091445427728612</v>
      </c>
    </row>
    <row r="2119" spans="4:19" x14ac:dyDescent="0.25">
      <c r="D2119" t="s">
        <v>72</v>
      </c>
      <c r="E2119">
        <v>2014</v>
      </c>
      <c r="F2119" t="s">
        <v>34</v>
      </c>
      <c r="G2119">
        <v>0.88902042024267536</v>
      </c>
      <c r="H2119">
        <v>0.91498986117610359</v>
      </c>
      <c r="I2119">
        <v>0.91368492453790062</v>
      </c>
      <c r="J2119">
        <v>0.92481056926364869</v>
      </c>
      <c r="K2119">
        <v>0.92477514309076048</v>
      </c>
      <c r="L2119">
        <v>0.93840579710144922</v>
      </c>
      <c r="M2119">
        <v>0.95463347164591983</v>
      </c>
      <c r="N2119">
        <v>0.93593984962406018</v>
      </c>
      <c r="O2119">
        <v>0.96262395118230359</v>
      </c>
      <c r="P2119">
        <v>0.93164933135215455</v>
      </c>
      <c r="Q2119">
        <v>0.95073277206111628</v>
      </c>
      <c r="R2119">
        <v>0.93335146898803045</v>
      </c>
    </row>
    <row r="2120" spans="4:19" x14ac:dyDescent="0.25">
      <c r="D2120" t="s">
        <v>72</v>
      </c>
      <c r="E2120">
        <v>2015</v>
      </c>
      <c r="F2120" t="s">
        <v>34</v>
      </c>
      <c r="G2120">
        <v>0.9101225601452565</v>
      </c>
      <c r="H2120">
        <v>0.90732401042901156</v>
      </c>
      <c r="I2120">
        <v>0.92812264388037191</v>
      </c>
      <c r="J2120">
        <v>0.94100467289719625</v>
      </c>
      <c r="K2120">
        <v>0.92834890965732086</v>
      </c>
      <c r="L2120">
        <v>0.92483108108108103</v>
      </c>
      <c r="M2120">
        <v>0.91818181818181821</v>
      </c>
    </row>
    <row r="2121" spans="4:19" x14ac:dyDescent="0.25">
      <c r="D2121" t="s">
        <v>73</v>
      </c>
      <c r="E2121">
        <v>2013</v>
      </c>
      <c r="F2121" t="s">
        <v>17</v>
      </c>
      <c r="S2121">
        <v>0.99434455202090055</v>
      </c>
    </row>
    <row r="2122" spans="4:19" x14ac:dyDescent="0.25">
      <c r="D2122" t="s">
        <v>73</v>
      </c>
      <c r="E2122">
        <v>2014</v>
      </c>
      <c r="F2122" t="s">
        <v>17</v>
      </c>
      <c r="S2122">
        <v>0.992505280370648</v>
      </c>
    </row>
    <row r="2123" spans="4:19" x14ac:dyDescent="0.25">
      <c r="D2123" t="s">
        <v>73</v>
      </c>
      <c r="E2123">
        <v>2015</v>
      </c>
      <c r="F2123" t="s">
        <v>17</v>
      </c>
      <c r="S2123">
        <v>0.98683474173149033</v>
      </c>
    </row>
    <row r="2124" spans="4:19" x14ac:dyDescent="0.25">
      <c r="D2124" t="s">
        <v>73</v>
      </c>
      <c r="E2124">
        <v>2013</v>
      </c>
      <c r="F2124" t="s">
        <v>18</v>
      </c>
      <c r="G2124">
        <v>0.99033255993812841</v>
      </c>
      <c r="H2124">
        <v>0.98768472906403937</v>
      </c>
      <c r="I2124">
        <v>0.9968980224893369</v>
      </c>
      <c r="J2124">
        <v>0.99677345010371055</v>
      </c>
      <c r="K2124">
        <v>0.99788384669644958</v>
      </c>
      <c r="L2124">
        <v>0.99626080860014021</v>
      </c>
      <c r="M2124">
        <v>0.99574181981174359</v>
      </c>
      <c r="N2124">
        <v>0.99641301562900331</v>
      </c>
      <c r="O2124">
        <v>0.99460775787093403</v>
      </c>
      <c r="P2124">
        <v>0.99239399125308991</v>
      </c>
      <c r="Q2124">
        <v>0.98998022412656561</v>
      </c>
      <c r="R2124">
        <v>0.99097472924187724</v>
      </c>
    </row>
    <row r="2125" spans="4:19" x14ac:dyDescent="0.25">
      <c r="D2125" t="s">
        <v>73</v>
      </c>
      <c r="E2125">
        <v>2014</v>
      </c>
      <c r="F2125" t="s">
        <v>18</v>
      </c>
      <c r="G2125">
        <v>0.99400990669277733</v>
      </c>
      <c r="H2125">
        <v>0.98131207527443809</v>
      </c>
      <c r="I2125">
        <v>0.98555639286611407</v>
      </c>
      <c r="J2125">
        <v>0.9985884013645453</v>
      </c>
      <c r="K2125">
        <v>0.98680701754385969</v>
      </c>
      <c r="L2125">
        <v>0.99769289925660087</v>
      </c>
      <c r="M2125">
        <v>0.99945380063723255</v>
      </c>
      <c r="N2125">
        <v>0.99951148021494873</v>
      </c>
      <c r="O2125">
        <v>0.996084452975048</v>
      </c>
      <c r="P2125">
        <v>0.99498653792591218</v>
      </c>
      <c r="Q2125">
        <v>0.99480693525420893</v>
      </c>
      <c r="R2125">
        <v>0.986683638499951</v>
      </c>
    </row>
    <row r="2126" spans="4:19" x14ac:dyDescent="0.25">
      <c r="D2126" t="s">
        <v>73</v>
      </c>
      <c r="E2126">
        <v>2015</v>
      </c>
      <c r="F2126" t="s">
        <v>18</v>
      </c>
      <c r="G2126">
        <v>0.989750566893424</v>
      </c>
      <c r="H2126">
        <v>0.99571207006659979</v>
      </c>
      <c r="I2126">
        <v>0.98164099886887668</v>
      </c>
      <c r="J2126">
        <v>0.97872340425531912</v>
      </c>
      <c r="K2126">
        <v>0.99025117559353137</v>
      </c>
      <c r="L2126">
        <v>0.97885061574156706</v>
      </c>
      <c r="M2126">
        <v>0.99585791389481615</v>
      </c>
    </row>
    <row r="2127" spans="4:19" x14ac:dyDescent="0.25">
      <c r="D2127" t="s">
        <v>73</v>
      </c>
      <c r="E2127">
        <v>2013</v>
      </c>
      <c r="F2127" t="s">
        <v>19</v>
      </c>
      <c r="S2127">
        <v>0.9679545108846398</v>
      </c>
    </row>
    <row r="2128" spans="4:19" x14ac:dyDescent="0.25">
      <c r="D2128" t="s">
        <v>73</v>
      </c>
      <c r="E2128">
        <v>2014</v>
      </c>
      <c r="F2128" t="s">
        <v>19</v>
      </c>
      <c r="S2128">
        <v>0.99720941591914114</v>
      </c>
    </row>
    <row r="2129" spans="4:19" x14ac:dyDescent="0.25">
      <c r="D2129" t="s">
        <v>73</v>
      </c>
      <c r="E2129">
        <v>2015</v>
      </c>
      <c r="F2129" t="s">
        <v>19</v>
      </c>
      <c r="S2129">
        <v>0.99316660538185986</v>
      </c>
    </row>
    <row r="2130" spans="4:19" x14ac:dyDescent="0.25">
      <c r="D2130" t="s">
        <v>73</v>
      </c>
      <c r="E2130">
        <v>2013</v>
      </c>
      <c r="F2130" t="s">
        <v>20</v>
      </c>
      <c r="G2130">
        <v>0.94828652727947549</v>
      </c>
      <c r="H2130">
        <v>0.98680942049492182</v>
      </c>
      <c r="I2130">
        <v>0.95352714389913518</v>
      </c>
      <c r="J2130">
        <v>0.98513239762697147</v>
      </c>
      <c r="K2130">
        <v>0.92279436773008638</v>
      </c>
      <c r="L2130">
        <v>0.99626833439870077</v>
      </c>
      <c r="M2130">
        <v>0.99043522107718007</v>
      </c>
      <c r="N2130">
        <v>0.99536246472417456</v>
      </c>
      <c r="O2130">
        <v>0.99886869200457606</v>
      </c>
      <c r="P2130">
        <v>0.99033888228299638</v>
      </c>
      <c r="Q2130">
        <v>0.99162748930325917</v>
      </c>
      <c r="R2130">
        <v>0.99837135689612144</v>
      </c>
    </row>
    <row r="2131" spans="4:19" x14ac:dyDescent="0.25">
      <c r="D2131" t="s">
        <v>73</v>
      </c>
      <c r="E2131">
        <v>2014</v>
      </c>
      <c r="F2131" t="s">
        <v>20</v>
      </c>
      <c r="G2131">
        <v>0.99963398808797599</v>
      </c>
      <c r="H2131">
        <v>0.99939137373710052</v>
      </c>
      <c r="I2131">
        <v>0.99872901639073663</v>
      </c>
      <c r="J2131">
        <v>0.99811210500292169</v>
      </c>
      <c r="K2131">
        <v>0.99054387852520875</v>
      </c>
      <c r="L2131">
        <v>0.99596286977411974</v>
      </c>
      <c r="M2131">
        <v>0.99714401147968068</v>
      </c>
      <c r="N2131">
        <v>0.99715816823644043</v>
      </c>
      <c r="O2131">
        <v>0.98174697280011503</v>
      </c>
      <c r="P2131">
        <v>0.98785429870650043</v>
      </c>
      <c r="Q2131">
        <v>0.98089828335888607</v>
      </c>
      <c r="R2131">
        <v>0.9975120130741274</v>
      </c>
    </row>
    <row r="2132" spans="4:19" x14ac:dyDescent="0.25">
      <c r="D2132" t="s">
        <v>73</v>
      </c>
      <c r="E2132">
        <v>2015</v>
      </c>
      <c r="F2132" t="s">
        <v>20</v>
      </c>
      <c r="G2132">
        <v>0.98943044318751339</v>
      </c>
      <c r="H2132">
        <v>0.99913381344816488</v>
      </c>
      <c r="I2132">
        <v>0.9973617676156975</v>
      </c>
      <c r="J2132">
        <v>0.99041165416112265</v>
      </c>
      <c r="K2132">
        <v>0.98944500684809145</v>
      </c>
      <c r="L2132">
        <v>0.9874246020512597</v>
      </c>
      <c r="M2132">
        <v>0.9993806964243982</v>
      </c>
    </row>
    <row r="2133" spans="4:19" x14ac:dyDescent="0.25">
      <c r="D2133" t="s">
        <v>73</v>
      </c>
      <c r="E2133">
        <v>2013</v>
      </c>
      <c r="F2133" t="s">
        <v>21</v>
      </c>
      <c r="S2133">
        <v>0.99058401889712466</v>
      </c>
    </row>
    <row r="2134" spans="4:19" x14ac:dyDescent="0.25">
      <c r="D2134" t="s">
        <v>73</v>
      </c>
      <c r="E2134">
        <v>2014</v>
      </c>
      <c r="F2134" t="s">
        <v>21</v>
      </c>
      <c r="S2134">
        <v>0.99946874192344137</v>
      </c>
    </row>
    <row r="2135" spans="4:19" x14ac:dyDescent="0.25">
      <c r="D2135" t="s">
        <v>73</v>
      </c>
      <c r="E2135">
        <v>2015</v>
      </c>
      <c r="F2135" t="s">
        <v>21</v>
      </c>
      <c r="S2135">
        <v>0.99923488905891356</v>
      </c>
    </row>
    <row r="2136" spans="4:19" x14ac:dyDescent="0.25">
      <c r="D2136" t="s">
        <v>73</v>
      </c>
      <c r="E2136">
        <v>2013</v>
      </c>
      <c r="F2136" t="s">
        <v>22</v>
      </c>
      <c r="G2136">
        <v>0.99899945424777148</v>
      </c>
      <c r="H2136">
        <v>0.99334239130434787</v>
      </c>
      <c r="I2136">
        <v>0.99223098330241188</v>
      </c>
      <c r="J2136">
        <v>0.9652035959809625</v>
      </c>
      <c r="K2136">
        <v>0.98424355721725199</v>
      </c>
      <c r="L2136">
        <v>0.99950908198330879</v>
      </c>
      <c r="M2136">
        <v>1</v>
      </c>
      <c r="N2136">
        <v>0.99863883847549906</v>
      </c>
      <c r="O2136">
        <v>0.99894502403000818</v>
      </c>
      <c r="P2136">
        <v>0.99871216999356083</v>
      </c>
      <c r="Q2136">
        <v>0.99930963065239908</v>
      </c>
      <c r="R2136">
        <v>0.99858903207600413</v>
      </c>
    </row>
    <row r="2137" spans="4:19" x14ac:dyDescent="0.25">
      <c r="D2137" t="s">
        <v>73</v>
      </c>
      <c r="E2137">
        <v>2014</v>
      </c>
      <c r="F2137" t="s">
        <v>22</v>
      </c>
      <c r="G2137">
        <v>0.99991731437076237</v>
      </c>
      <c r="H2137">
        <v>0.99964539007092201</v>
      </c>
      <c r="I2137">
        <v>0.9994570528830492</v>
      </c>
      <c r="J2137">
        <v>0.99961980800304151</v>
      </c>
      <c r="K2137">
        <v>0.99914264280355802</v>
      </c>
      <c r="L2137">
        <v>0.99886773031394749</v>
      </c>
      <c r="M2137">
        <v>0.99951531601395893</v>
      </c>
      <c r="N2137">
        <v>1</v>
      </c>
      <c r="O2137">
        <v>0.99935849460066284</v>
      </c>
      <c r="P2137">
        <v>0.99878037339337644</v>
      </c>
      <c r="Q2137">
        <v>0.9987339101076177</v>
      </c>
      <c r="R2137">
        <v>0.99887523793043775</v>
      </c>
    </row>
    <row r="2138" spans="4:19" x14ac:dyDescent="0.25">
      <c r="D2138" t="s">
        <v>73</v>
      </c>
      <c r="E2138">
        <v>2015</v>
      </c>
      <c r="F2138" t="s">
        <v>22</v>
      </c>
      <c r="G2138">
        <v>0.99761630774289001</v>
      </c>
      <c r="H2138">
        <v>0.99960214839864725</v>
      </c>
      <c r="I2138">
        <v>0.99927999279992796</v>
      </c>
      <c r="J2138">
        <v>0.99963400128099555</v>
      </c>
      <c r="K2138">
        <v>0.99956087386101655</v>
      </c>
      <c r="L2138">
        <v>0.99991127672788571</v>
      </c>
      <c r="M2138">
        <v>0.99928353931578007</v>
      </c>
    </row>
    <row r="2139" spans="4:19" x14ac:dyDescent="0.25">
      <c r="D2139" t="s">
        <v>73</v>
      </c>
      <c r="E2139">
        <v>2013</v>
      </c>
      <c r="F2139" t="s">
        <v>23</v>
      </c>
      <c r="S2139">
        <v>148705</v>
      </c>
    </row>
    <row r="2140" spans="4:19" x14ac:dyDescent="0.25">
      <c r="D2140" t="s">
        <v>73</v>
      </c>
      <c r="E2140">
        <v>2014</v>
      </c>
      <c r="F2140" t="s">
        <v>23</v>
      </c>
      <c r="S2140">
        <v>143313</v>
      </c>
    </row>
    <row r="2141" spans="4:19" x14ac:dyDescent="0.25">
      <c r="D2141" t="s">
        <v>73</v>
      </c>
      <c r="E2141">
        <v>2015</v>
      </c>
      <c r="F2141" t="s">
        <v>23</v>
      </c>
      <c r="S2141">
        <v>133354</v>
      </c>
    </row>
    <row r="2142" spans="4:19" x14ac:dyDescent="0.25">
      <c r="D2142" t="s">
        <v>73</v>
      </c>
      <c r="E2142">
        <v>2013</v>
      </c>
      <c r="F2142" t="s">
        <v>24</v>
      </c>
      <c r="G2142">
        <v>26729</v>
      </c>
      <c r="H2142">
        <v>24253</v>
      </c>
      <c r="I2142">
        <v>21088</v>
      </c>
      <c r="J2142">
        <v>19506</v>
      </c>
      <c r="K2142">
        <v>19158</v>
      </c>
      <c r="L2142">
        <v>18176</v>
      </c>
      <c r="M2142">
        <v>19795</v>
      </c>
      <c r="N2142">
        <v>20800</v>
      </c>
      <c r="O2142">
        <v>22942</v>
      </c>
      <c r="P2142">
        <v>24191</v>
      </c>
      <c r="Q2142">
        <v>23589</v>
      </c>
      <c r="R2142">
        <v>20525</v>
      </c>
    </row>
    <row r="2143" spans="4:19" x14ac:dyDescent="0.25">
      <c r="D2143" t="s">
        <v>73</v>
      </c>
      <c r="E2143">
        <v>2014</v>
      </c>
      <c r="F2143" t="s">
        <v>24</v>
      </c>
      <c r="G2143">
        <v>23680</v>
      </c>
      <c r="H2143">
        <v>25816</v>
      </c>
      <c r="I2143">
        <v>20498</v>
      </c>
      <c r="J2143">
        <v>17839</v>
      </c>
      <c r="K2143">
        <v>16569</v>
      </c>
      <c r="L2143">
        <v>18106</v>
      </c>
      <c r="M2143">
        <v>20805</v>
      </c>
      <c r="N2143">
        <v>21267</v>
      </c>
      <c r="O2143">
        <v>28150</v>
      </c>
      <c r="P2143">
        <v>24554</v>
      </c>
      <c r="Q2143">
        <v>21037</v>
      </c>
      <c r="R2143">
        <v>21817</v>
      </c>
    </row>
    <row r="2144" spans="4:19" x14ac:dyDescent="0.25">
      <c r="D2144" t="s">
        <v>73</v>
      </c>
      <c r="E2144">
        <v>2015</v>
      </c>
      <c r="F2144" t="s">
        <v>24</v>
      </c>
      <c r="G2144">
        <v>23681</v>
      </c>
      <c r="H2144">
        <v>21179</v>
      </c>
      <c r="I2144">
        <v>19651</v>
      </c>
      <c r="J2144">
        <v>16952</v>
      </c>
      <c r="K2144">
        <v>14416</v>
      </c>
      <c r="L2144">
        <v>17470</v>
      </c>
      <c r="M2144">
        <v>20005</v>
      </c>
    </row>
    <row r="2145" spans="4:19" x14ac:dyDescent="0.25">
      <c r="D2145" t="s">
        <v>73</v>
      </c>
      <c r="E2145">
        <v>2013</v>
      </c>
      <c r="F2145" t="s">
        <v>25</v>
      </c>
      <c r="S2145">
        <v>389294</v>
      </c>
    </row>
    <row r="2146" spans="4:19" x14ac:dyDescent="0.25">
      <c r="D2146" t="s">
        <v>73</v>
      </c>
      <c r="E2146">
        <v>2014</v>
      </c>
      <c r="F2146" t="s">
        <v>25</v>
      </c>
      <c r="S2146">
        <v>409161</v>
      </c>
    </row>
    <row r="2147" spans="4:19" x14ac:dyDescent="0.25">
      <c r="D2147" t="s">
        <v>73</v>
      </c>
      <c r="E2147">
        <v>2015</v>
      </c>
      <c r="F2147" t="s">
        <v>25</v>
      </c>
      <c r="S2147">
        <v>443914</v>
      </c>
    </row>
    <row r="2148" spans="4:19" x14ac:dyDescent="0.25">
      <c r="D2148" t="s">
        <v>73</v>
      </c>
      <c r="E2148">
        <v>2013</v>
      </c>
      <c r="F2148" t="s">
        <v>26</v>
      </c>
      <c r="G2148">
        <v>69198</v>
      </c>
      <c r="H2148">
        <v>55684</v>
      </c>
      <c r="I2148">
        <v>52460</v>
      </c>
      <c r="J2148">
        <v>50104</v>
      </c>
      <c r="K2148">
        <v>47412</v>
      </c>
      <c r="L2148">
        <v>54509</v>
      </c>
      <c r="M2148">
        <v>59927</v>
      </c>
      <c r="N2148">
        <v>59043</v>
      </c>
      <c r="O2148">
        <v>105282</v>
      </c>
      <c r="P2148">
        <v>76264</v>
      </c>
      <c r="Q2148">
        <v>70603</v>
      </c>
      <c r="R2148">
        <v>73626</v>
      </c>
    </row>
    <row r="2149" spans="4:19" x14ac:dyDescent="0.25">
      <c r="D2149" t="s">
        <v>73</v>
      </c>
      <c r="E2149">
        <v>2014</v>
      </c>
      <c r="F2149" t="s">
        <v>26</v>
      </c>
      <c r="G2149">
        <v>69898</v>
      </c>
      <c r="H2149">
        <v>62297</v>
      </c>
      <c r="I2149">
        <v>53250</v>
      </c>
      <c r="J2149">
        <v>54764</v>
      </c>
      <c r="K2149">
        <v>53498</v>
      </c>
      <c r="L2149">
        <v>55506</v>
      </c>
      <c r="M2149">
        <v>59948</v>
      </c>
      <c r="N2149">
        <v>59891</v>
      </c>
      <c r="O2149">
        <v>71455</v>
      </c>
      <c r="P2149">
        <v>73814</v>
      </c>
      <c r="Q2149">
        <v>69830</v>
      </c>
      <c r="R2149">
        <v>76670</v>
      </c>
    </row>
    <row r="2150" spans="4:19" x14ac:dyDescent="0.25">
      <c r="D2150" t="s">
        <v>73</v>
      </c>
      <c r="E2150">
        <v>2015</v>
      </c>
      <c r="F2150" t="s">
        <v>26</v>
      </c>
      <c r="G2150">
        <v>77418</v>
      </c>
      <c r="H2150">
        <v>58917</v>
      </c>
      <c r="I2150">
        <v>60313</v>
      </c>
      <c r="J2150">
        <v>59231</v>
      </c>
      <c r="K2150">
        <v>50346</v>
      </c>
      <c r="L2150">
        <v>67078</v>
      </c>
      <c r="M2150">
        <v>70611</v>
      </c>
    </row>
    <row r="2151" spans="4:19" x14ac:dyDescent="0.25">
      <c r="D2151" t="s">
        <v>73</v>
      </c>
      <c r="E2151">
        <v>2013</v>
      </c>
      <c r="F2151" t="s">
        <v>27</v>
      </c>
      <c r="S2151">
        <v>645800</v>
      </c>
    </row>
    <row r="2152" spans="4:19" x14ac:dyDescent="0.25">
      <c r="D2152" t="s">
        <v>73</v>
      </c>
      <c r="E2152">
        <v>2014</v>
      </c>
      <c r="F2152" t="s">
        <v>27</v>
      </c>
      <c r="S2152">
        <v>662099</v>
      </c>
    </row>
    <row r="2153" spans="4:19" x14ac:dyDescent="0.25">
      <c r="D2153" t="s">
        <v>73</v>
      </c>
      <c r="E2153">
        <v>2015</v>
      </c>
      <c r="F2153" t="s">
        <v>27</v>
      </c>
      <c r="S2153">
        <v>753684</v>
      </c>
    </row>
    <row r="2154" spans="4:19" x14ac:dyDescent="0.25">
      <c r="D2154" t="s">
        <v>73</v>
      </c>
      <c r="E2154">
        <v>2013</v>
      </c>
      <c r="F2154" t="s">
        <v>28</v>
      </c>
      <c r="G2154">
        <v>114721</v>
      </c>
      <c r="H2154">
        <v>94747</v>
      </c>
      <c r="I2154">
        <v>89414</v>
      </c>
      <c r="J2154">
        <v>83163</v>
      </c>
      <c r="K2154">
        <v>78284</v>
      </c>
      <c r="L2154">
        <v>86995</v>
      </c>
      <c r="M2154">
        <v>98476</v>
      </c>
      <c r="N2154">
        <v>96512</v>
      </c>
      <c r="O2154">
        <v>126129</v>
      </c>
      <c r="P2154">
        <v>125046</v>
      </c>
      <c r="Q2154">
        <v>112163</v>
      </c>
      <c r="R2154">
        <v>116040</v>
      </c>
    </row>
    <row r="2155" spans="4:19" x14ac:dyDescent="0.25">
      <c r="D2155" t="s">
        <v>73</v>
      </c>
      <c r="E2155">
        <v>2014</v>
      </c>
      <c r="F2155" t="s">
        <v>28</v>
      </c>
      <c r="G2155">
        <v>114625</v>
      </c>
      <c r="H2155">
        <v>103166</v>
      </c>
      <c r="I2155">
        <v>86871</v>
      </c>
      <c r="J2155">
        <v>88606</v>
      </c>
      <c r="K2155">
        <v>83942</v>
      </c>
      <c r="L2155">
        <v>89214</v>
      </c>
      <c r="M2155">
        <v>95675</v>
      </c>
      <c r="N2155">
        <v>95735</v>
      </c>
      <c r="O2155">
        <v>122319</v>
      </c>
      <c r="P2155">
        <v>121593</v>
      </c>
      <c r="Q2155">
        <v>113742</v>
      </c>
      <c r="R2155">
        <v>128609</v>
      </c>
    </row>
    <row r="2156" spans="4:19" x14ac:dyDescent="0.25">
      <c r="D2156" t="s">
        <v>73</v>
      </c>
      <c r="E2156">
        <v>2015</v>
      </c>
      <c r="F2156" t="s">
        <v>28</v>
      </c>
      <c r="G2156">
        <v>127446</v>
      </c>
      <c r="H2156">
        <v>104948</v>
      </c>
      <c r="I2156">
        <v>107834</v>
      </c>
      <c r="J2156">
        <v>101466</v>
      </c>
      <c r="K2156">
        <v>84380</v>
      </c>
      <c r="L2156">
        <v>111667</v>
      </c>
      <c r="M2156">
        <v>115943</v>
      </c>
    </row>
    <row r="2157" spans="4:19" x14ac:dyDescent="0.25">
      <c r="D2157" t="s">
        <v>73</v>
      </c>
      <c r="E2157">
        <v>2013</v>
      </c>
      <c r="F2157" t="s">
        <v>29</v>
      </c>
      <c r="S2157">
        <v>32535</v>
      </c>
    </row>
    <row r="2158" spans="4:19" x14ac:dyDescent="0.25">
      <c r="D2158" t="s">
        <v>73</v>
      </c>
      <c r="E2158">
        <v>2014</v>
      </c>
      <c r="F2158" t="s">
        <v>29</v>
      </c>
      <c r="S2158">
        <v>58708</v>
      </c>
    </row>
    <row r="2159" spans="4:19" x14ac:dyDescent="0.25">
      <c r="D2159" t="s">
        <v>73</v>
      </c>
      <c r="E2159">
        <v>2015</v>
      </c>
      <c r="F2159" t="s">
        <v>29</v>
      </c>
      <c r="S2159">
        <v>71476</v>
      </c>
    </row>
    <row r="2160" spans="4:19" x14ac:dyDescent="0.25">
      <c r="D2160" t="s">
        <v>73</v>
      </c>
      <c r="E2160">
        <v>2013</v>
      </c>
      <c r="F2160" t="s">
        <v>30</v>
      </c>
      <c r="G2160">
        <v>5172</v>
      </c>
      <c r="H2160">
        <v>4872</v>
      </c>
      <c r="I2160">
        <v>5158</v>
      </c>
      <c r="J2160">
        <v>4339</v>
      </c>
      <c r="K2160">
        <v>4253</v>
      </c>
      <c r="L2160">
        <v>4279</v>
      </c>
      <c r="M2160">
        <v>4462</v>
      </c>
      <c r="N2160">
        <v>3903</v>
      </c>
      <c r="O2160">
        <v>5749</v>
      </c>
      <c r="P2160">
        <v>5259</v>
      </c>
      <c r="Q2160">
        <v>7585</v>
      </c>
      <c r="R2160">
        <v>6648</v>
      </c>
    </row>
    <row r="2161" spans="4:19" x14ac:dyDescent="0.25">
      <c r="D2161" t="s">
        <v>73</v>
      </c>
      <c r="E2161">
        <v>2014</v>
      </c>
      <c r="F2161" t="s">
        <v>30</v>
      </c>
      <c r="G2161">
        <v>8681</v>
      </c>
      <c r="H2161">
        <v>7652</v>
      </c>
      <c r="I2161">
        <v>7962</v>
      </c>
      <c r="J2161">
        <v>8501</v>
      </c>
      <c r="K2161">
        <v>7125</v>
      </c>
      <c r="L2161">
        <v>7802</v>
      </c>
      <c r="M2161">
        <v>10985</v>
      </c>
      <c r="N2161">
        <v>8188</v>
      </c>
      <c r="O2161">
        <v>13025</v>
      </c>
      <c r="P2161">
        <v>10771</v>
      </c>
      <c r="Q2161">
        <v>11939</v>
      </c>
      <c r="R2161">
        <v>10213</v>
      </c>
    </row>
    <row r="2162" spans="4:19" x14ac:dyDescent="0.25">
      <c r="D2162" t="s">
        <v>73</v>
      </c>
      <c r="E2162">
        <v>2015</v>
      </c>
      <c r="F2162" t="s">
        <v>30</v>
      </c>
      <c r="G2162">
        <v>11025</v>
      </c>
      <c r="H2162">
        <v>10961</v>
      </c>
      <c r="I2162">
        <v>11493</v>
      </c>
      <c r="J2162">
        <v>10105</v>
      </c>
      <c r="K2162">
        <v>8719</v>
      </c>
      <c r="L2162">
        <v>11206</v>
      </c>
      <c r="M2162">
        <v>7967</v>
      </c>
    </row>
    <row r="2163" spans="4:19" x14ac:dyDescent="0.25">
      <c r="D2163" t="s">
        <v>73</v>
      </c>
      <c r="E2163">
        <v>2013</v>
      </c>
      <c r="F2163" t="s">
        <v>31</v>
      </c>
      <c r="S2163">
        <v>0.87670892034565073</v>
      </c>
    </row>
    <row r="2164" spans="4:19" x14ac:dyDescent="0.25">
      <c r="D2164" t="s">
        <v>73</v>
      </c>
      <c r="E2164">
        <v>2014</v>
      </c>
      <c r="F2164" t="s">
        <v>31</v>
      </c>
      <c r="S2164">
        <v>0.92068409704632515</v>
      </c>
    </row>
    <row r="2165" spans="4:19" x14ac:dyDescent="0.25">
      <c r="D2165" t="s">
        <v>73</v>
      </c>
      <c r="E2165">
        <v>2015</v>
      </c>
      <c r="F2165" t="s">
        <v>31</v>
      </c>
      <c r="S2165">
        <v>0.89740840169773683</v>
      </c>
    </row>
    <row r="2166" spans="4:19" x14ac:dyDescent="0.25">
      <c r="D2166" t="s">
        <v>73</v>
      </c>
      <c r="E2166">
        <v>2013</v>
      </c>
      <c r="F2166" t="s">
        <v>32</v>
      </c>
      <c r="G2166">
        <v>0.85562497661715742</v>
      </c>
      <c r="H2166">
        <v>0.83655630231311595</v>
      </c>
      <c r="I2166">
        <v>0.88154400606980277</v>
      </c>
      <c r="J2166">
        <v>0.87552547933969038</v>
      </c>
      <c r="K2166">
        <v>0.87759682639106373</v>
      </c>
      <c r="L2166">
        <v>0.87978653169014087</v>
      </c>
      <c r="M2166">
        <v>0.94670371305885326</v>
      </c>
      <c r="N2166">
        <v>0.91125</v>
      </c>
      <c r="O2166">
        <v>0.95231453229884055</v>
      </c>
      <c r="P2166">
        <v>0.97784299946261011</v>
      </c>
      <c r="Q2166">
        <v>0.96430539658315317</v>
      </c>
      <c r="R2166">
        <v>0.97154689403166872</v>
      </c>
    </row>
    <row r="2167" spans="4:19" x14ac:dyDescent="0.25">
      <c r="D2167" t="s">
        <v>73</v>
      </c>
      <c r="E2167">
        <v>2014</v>
      </c>
      <c r="F2167" t="s">
        <v>32</v>
      </c>
      <c r="G2167">
        <v>0.93678209459459461</v>
      </c>
      <c r="H2167">
        <v>0.90106910443136035</v>
      </c>
      <c r="I2167">
        <v>0.93501805054151621</v>
      </c>
      <c r="J2167">
        <v>0.94887605807500419</v>
      </c>
      <c r="K2167">
        <v>0.93729253425070913</v>
      </c>
      <c r="L2167">
        <v>0.89329504031812657</v>
      </c>
      <c r="M2167">
        <v>0.89901465993751506</v>
      </c>
      <c r="N2167">
        <v>0.91117694080030098</v>
      </c>
      <c r="O2167">
        <v>0.9039786856127886</v>
      </c>
      <c r="P2167">
        <v>0.93251608699193611</v>
      </c>
      <c r="Q2167">
        <v>0.91947521034368018</v>
      </c>
      <c r="R2167">
        <v>0.92794609708025855</v>
      </c>
    </row>
    <row r="2168" spans="4:19" x14ac:dyDescent="0.25">
      <c r="D2168" t="s">
        <v>73</v>
      </c>
      <c r="E2168">
        <v>2015</v>
      </c>
      <c r="F2168" t="s">
        <v>32</v>
      </c>
      <c r="G2168">
        <v>0.91592415860816689</v>
      </c>
      <c r="H2168">
        <v>0.89414042211624722</v>
      </c>
      <c r="I2168">
        <v>0.90626431224874049</v>
      </c>
      <c r="J2168">
        <v>0.90296130250117979</v>
      </c>
      <c r="K2168">
        <v>0.91336015538290793</v>
      </c>
      <c r="L2168">
        <v>0.91385231825987412</v>
      </c>
      <c r="M2168">
        <v>0.83969007748062985</v>
      </c>
    </row>
    <row r="2169" spans="4:19" x14ac:dyDescent="0.25">
      <c r="D2169" t="s">
        <v>73</v>
      </c>
      <c r="E2169">
        <v>2013</v>
      </c>
      <c r="F2169" t="s">
        <v>33</v>
      </c>
      <c r="S2169">
        <v>0.90996594551282051</v>
      </c>
    </row>
    <row r="2170" spans="4:19" x14ac:dyDescent="0.25">
      <c r="D2170" t="s">
        <v>73</v>
      </c>
      <c r="E2170">
        <v>2014</v>
      </c>
      <c r="F2170" t="s">
        <v>33</v>
      </c>
      <c r="S2170">
        <v>0.90773650817834561</v>
      </c>
    </row>
    <row r="2171" spans="4:19" x14ac:dyDescent="0.25">
      <c r="D2171" t="s">
        <v>73</v>
      </c>
      <c r="E2171">
        <v>2015</v>
      </c>
      <c r="F2171" t="s">
        <v>33</v>
      </c>
      <c r="S2171">
        <v>0.89566514566514566</v>
      </c>
    </row>
    <row r="2172" spans="4:19" x14ac:dyDescent="0.25">
      <c r="D2172" t="s">
        <v>73</v>
      </c>
      <c r="E2172">
        <v>2013</v>
      </c>
      <c r="F2172" t="s">
        <v>34</v>
      </c>
      <c r="G2172">
        <v>0.87449593989946417</v>
      </c>
      <c r="H2172">
        <v>0.85730951065266781</v>
      </c>
      <c r="I2172">
        <v>0.92350457424349053</v>
      </c>
      <c r="J2172">
        <v>0.92218165221360104</v>
      </c>
      <c r="K2172">
        <v>0.92893680648461474</v>
      </c>
      <c r="L2172">
        <v>0.94709603220241523</v>
      </c>
      <c r="M2172">
        <v>0.94430149841077649</v>
      </c>
      <c r="N2172">
        <v>0.87289611143354617</v>
      </c>
      <c r="O2172">
        <v>0.93626628822087477</v>
      </c>
      <c r="P2172">
        <v>0.97259672665705144</v>
      </c>
      <c r="Q2172">
        <v>0.95266348510254095</v>
      </c>
      <c r="R2172">
        <v>0.96368527236045731</v>
      </c>
    </row>
    <row r="2173" spans="4:19" x14ac:dyDescent="0.25">
      <c r="D2173" t="s">
        <v>73</v>
      </c>
      <c r="E2173">
        <v>2014</v>
      </c>
      <c r="F2173" t="s">
        <v>34</v>
      </c>
      <c r="G2173">
        <v>0.91764416876496957</v>
      </c>
      <c r="H2173">
        <v>0.85700529610014442</v>
      </c>
      <c r="I2173">
        <v>0.91857340015980238</v>
      </c>
      <c r="J2173">
        <v>0.93907076719576721</v>
      </c>
      <c r="K2173">
        <v>0.91971843535596542</v>
      </c>
      <c r="L2173">
        <v>0.87974954970409125</v>
      </c>
      <c r="M2173">
        <v>0.94143484626647145</v>
      </c>
      <c r="N2173">
        <v>0.95072551390568316</v>
      </c>
      <c r="O2173">
        <v>0.88346099734250427</v>
      </c>
      <c r="P2173">
        <v>0.96091555114857052</v>
      </c>
      <c r="Q2173">
        <v>0.91926940639269406</v>
      </c>
      <c r="R2173">
        <v>0.94473574698293794</v>
      </c>
    </row>
    <row r="2174" spans="4:19" x14ac:dyDescent="0.25">
      <c r="D2174" t="s">
        <v>73</v>
      </c>
      <c r="E2174">
        <v>2015</v>
      </c>
      <c r="F2174" t="s">
        <v>34</v>
      </c>
      <c r="G2174">
        <v>0.91845115869756522</v>
      </c>
      <c r="H2174">
        <v>0.88228933343631732</v>
      </c>
      <c r="I2174">
        <v>0.93068903730249231</v>
      </c>
      <c r="J2174">
        <v>0.91041564792176044</v>
      </c>
      <c r="K2174">
        <v>0.91611295681063121</v>
      </c>
      <c r="L2174">
        <v>0.92402640895608079</v>
      </c>
      <c r="M2174">
        <v>0.79512153807063601</v>
      </c>
    </row>
    <row r="2175" spans="4:19" x14ac:dyDescent="0.25">
      <c r="D2175" t="s">
        <v>74</v>
      </c>
      <c r="E2175">
        <v>2013</v>
      </c>
      <c r="F2175" t="s">
        <v>17</v>
      </c>
      <c r="S2175">
        <v>0.98448194505927511</v>
      </c>
    </row>
    <row r="2176" spans="4:19" x14ac:dyDescent="0.25">
      <c r="D2176" t="s">
        <v>74</v>
      </c>
      <c r="E2176">
        <v>2014</v>
      </c>
      <c r="F2176" t="s">
        <v>17</v>
      </c>
      <c r="S2176">
        <v>0.98523397308229588</v>
      </c>
    </row>
    <row r="2177" spans="4:19" x14ac:dyDescent="0.25">
      <c r="D2177" t="s">
        <v>74</v>
      </c>
      <c r="E2177">
        <v>2015</v>
      </c>
      <c r="F2177" t="s">
        <v>17</v>
      </c>
      <c r="S2177">
        <v>0.98224593111279335</v>
      </c>
    </row>
    <row r="2178" spans="4:19" x14ac:dyDescent="0.25">
      <c r="D2178" t="s">
        <v>74</v>
      </c>
      <c r="E2178">
        <v>2013</v>
      </c>
      <c r="F2178" t="s">
        <v>18</v>
      </c>
      <c r="G2178">
        <v>0.96921808828127221</v>
      </c>
      <c r="H2178">
        <v>0.99636756332220699</v>
      </c>
      <c r="I2178">
        <v>0.99416216950072978</v>
      </c>
      <c r="J2178">
        <v>0.9858272676371781</v>
      </c>
      <c r="K2178">
        <v>0.98164872480312115</v>
      </c>
      <c r="L2178">
        <v>0.9862741349646339</v>
      </c>
      <c r="M2178">
        <v>0.98025044722719146</v>
      </c>
      <c r="N2178">
        <v>0.9869274986093084</v>
      </c>
      <c r="O2178">
        <v>0.98194104960460105</v>
      </c>
      <c r="P2178">
        <v>0.98511675647934305</v>
      </c>
      <c r="Q2178">
        <v>0.97867019711679903</v>
      </c>
      <c r="R2178">
        <v>0.99008271099333489</v>
      </c>
    </row>
    <row r="2179" spans="4:19" x14ac:dyDescent="0.25">
      <c r="D2179" t="s">
        <v>74</v>
      </c>
      <c r="E2179">
        <v>2014</v>
      </c>
      <c r="F2179" t="s">
        <v>18</v>
      </c>
      <c r="G2179">
        <v>0.98408233912344689</v>
      </c>
      <c r="H2179">
        <v>0.98880032980623889</v>
      </c>
      <c r="I2179">
        <v>0.98954536350891242</v>
      </c>
      <c r="J2179">
        <v>0.98251790700497754</v>
      </c>
      <c r="K2179">
        <v>0.98159177043854895</v>
      </c>
      <c r="L2179">
        <v>0.98672607018188496</v>
      </c>
      <c r="M2179">
        <v>0.98269537824191944</v>
      </c>
      <c r="N2179">
        <v>0.98707062910073329</v>
      </c>
      <c r="O2179">
        <v>0.98679826092475642</v>
      </c>
      <c r="P2179">
        <v>0.98231870263938204</v>
      </c>
      <c r="Q2179">
        <v>0.98411625549172022</v>
      </c>
      <c r="R2179">
        <v>0.98102339703518482</v>
      </c>
    </row>
    <row r="2180" spans="4:19" x14ac:dyDescent="0.25">
      <c r="D2180" t="s">
        <v>74</v>
      </c>
      <c r="E2180">
        <v>2015</v>
      </c>
      <c r="F2180" t="s">
        <v>18</v>
      </c>
      <c r="G2180">
        <v>0.97764957730125901</v>
      </c>
      <c r="H2180">
        <v>0.98905680041688382</v>
      </c>
      <c r="I2180">
        <v>0.98265078183172005</v>
      </c>
      <c r="J2180">
        <v>0.98062130806170589</v>
      </c>
      <c r="K2180">
        <v>0.98418595789273122</v>
      </c>
      <c r="L2180">
        <v>0.97793621329733382</v>
      </c>
      <c r="M2180">
        <v>0.98436554836908474</v>
      </c>
    </row>
    <row r="2181" spans="4:19" x14ac:dyDescent="0.25">
      <c r="D2181" t="s">
        <v>74</v>
      </c>
      <c r="E2181">
        <v>2013</v>
      </c>
      <c r="F2181" t="s">
        <v>19</v>
      </c>
      <c r="S2181">
        <v>0.56454598351027041</v>
      </c>
    </row>
    <row r="2182" spans="4:19" x14ac:dyDescent="0.25">
      <c r="D2182" t="s">
        <v>74</v>
      </c>
      <c r="E2182">
        <v>2014</v>
      </c>
      <c r="F2182" t="s">
        <v>19</v>
      </c>
      <c r="S2182">
        <v>0.83160243872594242</v>
      </c>
    </row>
    <row r="2183" spans="4:19" x14ac:dyDescent="0.25">
      <c r="D2183" t="s">
        <v>74</v>
      </c>
      <c r="E2183">
        <v>2015</v>
      </c>
      <c r="F2183" t="s">
        <v>19</v>
      </c>
      <c r="S2183">
        <v>0.9221465849987599</v>
      </c>
    </row>
    <row r="2184" spans="4:19" x14ac:dyDescent="0.25">
      <c r="D2184" t="s">
        <v>74</v>
      </c>
      <c r="E2184">
        <v>2013</v>
      </c>
      <c r="F2184" t="s">
        <v>20</v>
      </c>
      <c r="G2184">
        <v>0.61774622520994327</v>
      </c>
      <c r="H2184">
        <v>0.58356120315264592</v>
      </c>
      <c r="I2184">
        <v>0.59061157527991071</v>
      </c>
      <c r="J2184">
        <v>0.54191539978597902</v>
      </c>
      <c r="K2184">
        <v>0.43531333762385338</v>
      </c>
      <c r="L2184">
        <v>0.51364723614797336</v>
      </c>
      <c r="M2184">
        <v>0.69621057985757884</v>
      </c>
      <c r="N2184">
        <v>0.63362413159785991</v>
      </c>
      <c r="O2184">
        <v>0.67309139204564039</v>
      </c>
      <c r="P2184">
        <v>0.72901124596370115</v>
      </c>
      <c r="Q2184">
        <v>0.63033099450884689</v>
      </c>
      <c r="R2184">
        <v>0.72088387386260822</v>
      </c>
    </row>
    <row r="2185" spans="4:19" x14ac:dyDescent="0.25">
      <c r="D2185" t="s">
        <v>74</v>
      </c>
      <c r="E2185">
        <v>2014</v>
      </c>
      <c r="F2185" t="s">
        <v>20</v>
      </c>
      <c r="G2185">
        <v>0.78718111143103942</v>
      </c>
      <c r="H2185">
        <v>0.79487032031744209</v>
      </c>
      <c r="I2185">
        <v>0.75077258562958471</v>
      </c>
      <c r="J2185">
        <v>0.87146456280384921</v>
      </c>
      <c r="K2185">
        <v>0.76122222052977107</v>
      </c>
      <c r="L2185">
        <v>0.90295021391180152</v>
      </c>
      <c r="M2185">
        <v>0.97810302659737081</v>
      </c>
      <c r="N2185">
        <v>0.90151785078030355</v>
      </c>
      <c r="O2185">
        <v>0.85210890400811423</v>
      </c>
      <c r="P2185">
        <v>0.94926319716470808</v>
      </c>
      <c r="Q2185">
        <v>0.94282179774809716</v>
      </c>
      <c r="R2185">
        <v>0.97510416730588678</v>
      </c>
    </row>
    <row r="2186" spans="4:19" x14ac:dyDescent="0.25">
      <c r="D2186" t="s">
        <v>74</v>
      </c>
      <c r="E2186">
        <v>2015</v>
      </c>
      <c r="F2186" t="s">
        <v>20</v>
      </c>
      <c r="G2186">
        <v>0.97754494972710515</v>
      </c>
      <c r="H2186">
        <v>0.93095369349503854</v>
      </c>
      <c r="I2186">
        <v>0.94719718939370312</v>
      </c>
      <c r="J2186">
        <v>0.94911718865100847</v>
      </c>
      <c r="K2186">
        <v>0.78137973862137777</v>
      </c>
      <c r="L2186">
        <v>0.90394013783162919</v>
      </c>
      <c r="M2186">
        <v>0.94601689112074872</v>
      </c>
    </row>
    <row r="2187" spans="4:19" x14ac:dyDescent="0.25">
      <c r="D2187" t="s">
        <v>74</v>
      </c>
      <c r="E2187">
        <v>2013</v>
      </c>
      <c r="F2187" t="s">
        <v>21</v>
      </c>
      <c r="S2187">
        <v>0.90922099033416726</v>
      </c>
    </row>
    <row r="2188" spans="4:19" x14ac:dyDescent="0.25">
      <c r="D2188" t="s">
        <v>74</v>
      </c>
      <c r="E2188">
        <v>2014</v>
      </c>
      <c r="F2188" t="s">
        <v>21</v>
      </c>
      <c r="S2188">
        <v>0.97467693512596265</v>
      </c>
    </row>
    <row r="2189" spans="4:19" x14ac:dyDescent="0.25">
      <c r="D2189" t="s">
        <v>74</v>
      </c>
      <c r="E2189">
        <v>2015</v>
      </c>
      <c r="F2189" t="s">
        <v>21</v>
      </c>
      <c r="S2189">
        <v>0.94280510808056717</v>
      </c>
    </row>
    <row r="2190" spans="4:19" x14ac:dyDescent="0.25">
      <c r="D2190" t="s">
        <v>74</v>
      </c>
      <c r="E2190">
        <v>2013</v>
      </c>
      <c r="F2190" t="s">
        <v>22</v>
      </c>
      <c r="G2190">
        <v>0.85446458732124764</v>
      </c>
      <c r="H2190">
        <v>0.87923841310779038</v>
      </c>
      <c r="I2190">
        <v>0.92122958693563883</v>
      </c>
      <c r="J2190">
        <v>0.91334730957372467</v>
      </c>
      <c r="K2190">
        <v>0.9309725237703077</v>
      </c>
      <c r="L2190">
        <v>0.9230865510983165</v>
      </c>
      <c r="M2190">
        <v>0.952631939215552</v>
      </c>
      <c r="N2190">
        <v>0.94926260180497468</v>
      </c>
      <c r="O2190">
        <v>0.97118644067796611</v>
      </c>
      <c r="P2190">
        <v>0.96195300076565171</v>
      </c>
      <c r="Q2190">
        <v>0.95752368716878111</v>
      </c>
      <c r="R2190">
        <v>0.94931122905361087</v>
      </c>
    </row>
    <row r="2191" spans="4:19" x14ac:dyDescent="0.25">
      <c r="D2191" t="s">
        <v>74</v>
      </c>
      <c r="E2191">
        <v>2014</v>
      </c>
      <c r="F2191" t="s">
        <v>22</v>
      </c>
      <c r="G2191">
        <v>0.98088820150243039</v>
      </c>
      <c r="H2191">
        <v>0.95499305643226862</v>
      </c>
      <c r="I2191">
        <v>0.96340721905920068</v>
      </c>
      <c r="J2191">
        <v>0.97288224495148179</v>
      </c>
      <c r="K2191">
        <v>0.97447301084440108</v>
      </c>
      <c r="L2191">
        <v>0.98892859234959873</v>
      </c>
      <c r="M2191">
        <v>0.98565790205125359</v>
      </c>
      <c r="N2191">
        <v>0.98601553829078803</v>
      </c>
      <c r="O2191">
        <v>0.98357942973523427</v>
      </c>
      <c r="P2191">
        <v>0.9706102383242492</v>
      </c>
      <c r="Q2191">
        <v>0.97991671144545944</v>
      </c>
      <c r="R2191">
        <v>0.97949807331291372</v>
      </c>
    </row>
    <row r="2192" spans="4:19" x14ac:dyDescent="0.25">
      <c r="D2192" t="s">
        <v>74</v>
      </c>
      <c r="E2192">
        <v>2015</v>
      </c>
      <c r="F2192" t="s">
        <v>22</v>
      </c>
      <c r="G2192">
        <v>0.96187898527455384</v>
      </c>
      <c r="H2192">
        <v>0.94665407765844445</v>
      </c>
      <c r="I2192">
        <v>0.92139380211094513</v>
      </c>
      <c r="J2192">
        <v>0.93454407869844869</v>
      </c>
      <c r="K2192">
        <v>0.96965640339134318</v>
      </c>
      <c r="L2192">
        <v>0.94751922066758987</v>
      </c>
      <c r="M2192">
        <v>0.91936167956738413</v>
      </c>
    </row>
    <row r="2193" spans="4:19" x14ac:dyDescent="0.25">
      <c r="D2193" t="s">
        <v>74</v>
      </c>
      <c r="E2193">
        <v>2013</v>
      </c>
      <c r="F2193" t="s">
        <v>23</v>
      </c>
      <c r="S2193">
        <v>356843</v>
      </c>
    </row>
    <row r="2194" spans="4:19" x14ac:dyDescent="0.25">
      <c r="D2194" t="s">
        <v>74</v>
      </c>
      <c r="E2194">
        <v>2014</v>
      </c>
      <c r="F2194" t="s">
        <v>23</v>
      </c>
      <c r="S2194">
        <v>322588</v>
      </c>
    </row>
    <row r="2195" spans="4:19" x14ac:dyDescent="0.25">
      <c r="D2195" t="s">
        <v>74</v>
      </c>
      <c r="E2195">
        <v>2015</v>
      </c>
      <c r="F2195" t="s">
        <v>23</v>
      </c>
      <c r="S2195">
        <v>318151</v>
      </c>
    </row>
    <row r="2196" spans="4:19" x14ac:dyDescent="0.25">
      <c r="D2196" t="s">
        <v>74</v>
      </c>
      <c r="E2196">
        <v>2013</v>
      </c>
      <c r="F2196" t="s">
        <v>24</v>
      </c>
      <c r="G2196">
        <v>65555</v>
      </c>
      <c r="H2196">
        <v>64540</v>
      </c>
      <c r="I2196">
        <v>51775</v>
      </c>
      <c r="J2196">
        <v>49583</v>
      </c>
      <c r="K2196">
        <v>46910</v>
      </c>
      <c r="L2196">
        <v>38906</v>
      </c>
      <c r="M2196">
        <v>39574</v>
      </c>
      <c r="N2196">
        <v>40851</v>
      </c>
      <c r="O2196">
        <v>45340</v>
      </c>
      <c r="P2196">
        <v>49827</v>
      </c>
      <c r="Q2196">
        <v>43013</v>
      </c>
      <c r="R2196">
        <v>41039</v>
      </c>
    </row>
    <row r="2197" spans="4:19" x14ac:dyDescent="0.25">
      <c r="D2197" t="s">
        <v>74</v>
      </c>
      <c r="E2197">
        <v>2014</v>
      </c>
      <c r="F2197" t="s">
        <v>24</v>
      </c>
      <c r="G2197">
        <v>48500</v>
      </c>
      <c r="H2197">
        <v>59626</v>
      </c>
      <c r="I2197">
        <v>47258</v>
      </c>
      <c r="J2197">
        <v>42461</v>
      </c>
      <c r="K2197">
        <v>39563</v>
      </c>
      <c r="L2197">
        <v>39844</v>
      </c>
      <c r="M2197">
        <v>45336</v>
      </c>
      <c r="N2197">
        <v>38113</v>
      </c>
      <c r="O2197">
        <v>60561</v>
      </c>
      <c r="P2197">
        <v>51037</v>
      </c>
      <c r="Q2197">
        <v>40306</v>
      </c>
      <c r="R2197">
        <v>39451</v>
      </c>
    </row>
    <row r="2198" spans="4:19" x14ac:dyDescent="0.25">
      <c r="D2198" t="s">
        <v>74</v>
      </c>
      <c r="E2198">
        <v>2015</v>
      </c>
      <c r="F2198" t="s">
        <v>24</v>
      </c>
      <c r="G2198">
        <v>46431</v>
      </c>
      <c r="H2198">
        <v>46767</v>
      </c>
      <c r="I2198">
        <v>51690</v>
      </c>
      <c r="J2198">
        <v>46713</v>
      </c>
      <c r="K2198">
        <v>37463</v>
      </c>
      <c r="L2198">
        <v>44314</v>
      </c>
      <c r="M2198">
        <v>44773</v>
      </c>
    </row>
    <row r="2199" spans="4:19" x14ac:dyDescent="0.25">
      <c r="D2199" t="s">
        <v>74</v>
      </c>
      <c r="E2199">
        <v>2013</v>
      </c>
      <c r="F2199" t="s">
        <v>25</v>
      </c>
      <c r="S2199">
        <v>801620</v>
      </c>
    </row>
    <row r="2200" spans="4:19" x14ac:dyDescent="0.25">
      <c r="D2200" t="s">
        <v>74</v>
      </c>
      <c r="E2200">
        <v>2014</v>
      </c>
      <c r="F2200" t="s">
        <v>25</v>
      </c>
      <c r="S2200">
        <v>816241</v>
      </c>
    </row>
    <row r="2201" spans="4:19" x14ac:dyDescent="0.25">
      <c r="D2201" t="s">
        <v>74</v>
      </c>
      <c r="E2201">
        <v>2015</v>
      </c>
      <c r="F2201" t="s">
        <v>25</v>
      </c>
      <c r="S2201">
        <v>877747</v>
      </c>
    </row>
    <row r="2202" spans="4:19" x14ac:dyDescent="0.25">
      <c r="D2202" t="s">
        <v>74</v>
      </c>
      <c r="E2202">
        <v>2013</v>
      </c>
      <c r="F2202" t="s">
        <v>26</v>
      </c>
      <c r="G2202">
        <v>138251</v>
      </c>
      <c r="H2202">
        <v>117214</v>
      </c>
      <c r="I2202">
        <v>108128</v>
      </c>
      <c r="J2202">
        <v>104044</v>
      </c>
      <c r="K2202">
        <v>100156</v>
      </c>
      <c r="L2202">
        <v>115851</v>
      </c>
      <c r="M2202">
        <v>117976</v>
      </c>
      <c r="N2202">
        <v>114209</v>
      </c>
      <c r="O2202">
        <v>153963</v>
      </c>
      <c r="P2202">
        <v>154637</v>
      </c>
      <c r="Q2202">
        <v>140779</v>
      </c>
      <c r="R2202">
        <v>136340</v>
      </c>
    </row>
    <row r="2203" spans="4:19" x14ac:dyDescent="0.25">
      <c r="D2203" t="s">
        <v>74</v>
      </c>
      <c r="E2203">
        <v>2014</v>
      </c>
      <c r="F2203" t="s">
        <v>26</v>
      </c>
      <c r="G2203">
        <v>137527</v>
      </c>
      <c r="H2203">
        <v>123309</v>
      </c>
      <c r="I2203">
        <v>112861</v>
      </c>
      <c r="J2203">
        <v>108615</v>
      </c>
      <c r="K2203">
        <v>103651</v>
      </c>
      <c r="L2203">
        <v>112144</v>
      </c>
      <c r="M2203">
        <v>118134</v>
      </c>
      <c r="N2203">
        <v>109623</v>
      </c>
      <c r="O2203">
        <v>145050</v>
      </c>
      <c r="P2203">
        <v>157717</v>
      </c>
      <c r="Q2203">
        <v>129625</v>
      </c>
      <c r="R2203">
        <v>155751</v>
      </c>
    </row>
    <row r="2204" spans="4:19" x14ac:dyDescent="0.25">
      <c r="D2204" t="s">
        <v>74</v>
      </c>
      <c r="E2204">
        <v>2015</v>
      </c>
      <c r="F2204" t="s">
        <v>26</v>
      </c>
      <c r="G2204">
        <v>146706</v>
      </c>
      <c r="H2204">
        <v>119217</v>
      </c>
      <c r="I2204">
        <v>127433</v>
      </c>
      <c r="J2204">
        <v>116697</v>
      </c>
      <c r="K2204">
        <v>109117</v>
      </c>
      <c r="L2204">
        <v>130654</v>
      </c>
      <c r="M2204">
        <v>127923</v>
      </c>
    </row>
    <row r="2205" spans="4:19" x14ac:dyDescent="0.25">
      <c r="D2205" t="s">
        <v>74</v>
      </c>
      <c r="E2205">
        <v>2013</v>
      </c>
      <c r="F2205" t="s">
        <v>27</v>
      </c>
      <c r="S2205">
        <v>1376904</v>
      </c>
    </row>
    <row r="2206" spans="4:19" x14ac:dyDescent="0.25">
      <c r="D2206" t="s">
        <v>74</v>
      </c>
      <c r="E2206">
        <v>2014</v>
      </c>
      <c r="F2206" t="s">
        <v>27</v>
      </c>
      <c r="S2206">
        <v>1376899</v>
      </c>
    </row>
    <row r="2207" spans="4:19" x14ac:dyDescent="0.25">
      <c r="D2207" t="s">
        <v>74</v>
      </c>
      <c r="E2207">
        <v>2015</v>
      </c>
      <c r="F2207" t="s">
        <v>27</v>
      </c>
      <c r="S2207">
        <v>1436799</v>
      </c>
    </row>
    <row r="2208" spans="4:19" x14ac:dyDescent="0.25">
      <c r="D2208" t="s">
        <v>74</v>
      </c>
      <c r="E2208">
        <v>2013</v>
      </c>
      <c r="F2208" t="s">
        <v>28</v>
      </c>
      <c r="G2208">
        <v>233896</v>
      </c>
      <c r="H2208">
        <v>205304</v>
      </c>
      <c r="I2208">
        <v>188507</v>
      </c>
      <c r="J2208">
        <v>178891</v>
      </c>
      <c r="K2208">
        <v>171906</v>
      </c>
      <c r="L2208">
        <v>192459</v>
      </c>
      <c r="M2208">
        <v>205941</v>
      </c>
      <c r="N2208">
        <v>189114</v>
      </c>
      <c r="O2208">
        <v>258093</v>
      </c>
      <c r="P2208">
        <v>267721</v>
      </c>
      <c r="Q2208">
        <v>226457</v>
      </c>
      <c r="R2208">
        <v>229458</v>
      </c>
    </row>
    <row r="2209" spans="4:19" x14ac:dyDescent="0.25">
      <c r="D2209" t="s">
        <v>74</v>
      </c>
      <c r="E2209">
        <v>2014</v>
      </c>
      <c r="F2209" t="s">
        <v>28</v>
      </c>
      <c r="G2209">
        <v>236625</v>
      </c>
      <c r="H2209">
        <v>214596</v>
      </c>
      <c r="I2209">
        <v>192965</v>
      </c>
      <c r="J2209">
        <v>185847</v>
      </c>
      <c r="K2209">
        <v>170264</v>
      </c>
      <c r="L2209">
        <v>183571</v>
      </c>
      <c r="M2209">
        <v>193031</v>
      </c>
      <c r="N2209">
        <v>175314</v>
      </c>
      <c r="O2209">
        <v>246914</v>
      </c>
      <c r="P2209">
        <v>259477</v>
      </c>
      <c r="Q2209">
        <v>207000</v>
      </c>
      <c r="R2209">
        <v>250422</v>
      </c>
    </row>
    <row r="2210" spans="4:19" x14ac:dyDescent="0.25">
      <c r="D2210" t="s">
        <v>74</v>
      </c>
      <c r="E2210">
        <v>2015</v>
      </c>
      <c r="F2210" t="s">
        <v>28</v>
      </c>
      <c r="G2210">
        <v>236808</v>
      </c>
      <c r="H2210">
        <v>202985</v>
      </c>
      <c r="I2210">
        <v>215588</v>
      </c>
      <c r="J2210">
        <v>190311</v>
      </c>
      <c r="K2210">
        <v>174754</v>
      </c>
      <c r="L2210">
        <v>210111</v>
      </c>
      <c r="M2210">
        <v>206242</v>
      </c>
    </row>
    <row r="2211" spans="4:19" x14ac:dyDescent="0.25">
      <c r="D2211" t="s">
        <v>74</v>
      </c>
      <c r="E2211">
        <v>2013</v>
      </c>
      <c r="F2211" t="s">
        <v>29</v>
      </c>
      <c r="S2211">
        <v>205567</v>
      </c>
    </row>
    <row r="2212" spans="4:19" x14ac:dyDescent="0.25">
      <c r="D2212" t="s">
        <v>74</v>
      </c>
      <c r="E2212">
        <v>2014</v>
      </c>
      <c r="F2212" t="s">
        <v>29</v>
      </c>
      <c r="S2212">
        <v>178247</v>
      </c>
    </row>
    <row r="2213" spans="4:19" x14ac:dyDescent="0.25">
      <c r="D2213" t="s">
        <v>74</v>
      </c>
      <c r="E2213">
        <v>2015</v>
      </c>
      <c r="F2213" t="s">
        <v>29</v>
      </c>
      <c r="S2213">
        <v>169088</v>
      </c>
    </row>
    <row r="2214" spans="4:19" x14ac:dyDescent="0.25">
      <c r="D2214" t="s">
        <v>74</v>
      </c>
      <c r="E2214">
        <v>2013</v>
      </c>
      <c r="F2214" t="s">
        <v>30</v>
      </c>
      <c r="G2214">
        <v>35183</v>
      </c>
      <c r="H2214">
        <v>30558</v>
      </c>
      <c r="I2214">
        <v>29463</v>
      </c>
      <c r="J2214">
        <v>28576</v>
      </c>
      <c r="K2214">
        <v>27682</v>
      </c>
      <c r="L2214">
        <v>26155</v>
      </c>
      <c r="M2214">
        <v>27950</v>
      </c>
      <c r="N2214">
        <v>21572</v>
      </c>
      <c r="O2214">
        <v>34775</v>
      </c>
      <c r="P2214">
        <v>31176</v>
      </c>
      <c r="Q2214">
        <v>27192</v>
      </c>
      <c r="R2214">
        <v>24906</v>
      </c>
    </row>
    <row r="2215" spans="4:19" x14ac:dyDescent="0.25">
      <c r="D2215" t="s">
        <v>74</v>
      </c>
      <c r="E2215">
        <v>2014</v>
      </c>
      <c r="F2215" t="s">
        <v>30</v>
      </c>
      <c r="G2215">
        <v>32354</v>
      </c>
      <c r="H2215">
        <v>29108</v>
      </c>
      <c r="I2215">
        <v>24965</v>
      </c>
      <c r="J2215">
        <v>24711</v>
      </c>
      <c r="K2215">
        <v>22164</v>
      </c>
      <c r="L2215">
        <v>21772</v>
      </c>
      <c r="M2215">
        <v>23173</v>
      </c>
      <c r="N2215">
        <v>20728</v>
      </c>
      <c r="O2215">
        <v>31511</v>
      </c>
      <c r="P2215">
        <v>27317</v>
      </c>
      <c r="Q2215">
        <v>23672</v>
      </c>
      <c r="R2215">
        <v>22396</v>
      </c>
    </row>
    <row r="2216" spans="4:19" x14ac:dyDescent="0.25">
      <c r="D2216" t="s">
        <v>74</v>
      </c>
      <c r="E2216">
        <v>2015</v>
      </c>
      <c r="F2216" t="s">
        <v>30</v>
      </c>
      <c r="G2216">
        <v>27561</v>
      </c>
      <c r="H2216">
        <v>24947</v>
      </c>
      <c r="I2216">
        <v>26860</v>
      </c>
      <c r="J2216">
        <v>23531</v>
      </c>
      <c r="K2216">
        <v>20994</v>
      </c>
      <c r="L2216">
        <v>23704</v>
      </c>
      <c r="M2216">
        <v>21491</v>
      </c>
    </row>
    <row r="2217" spans="4:19" x14ac:dyDescent="0.25">
      <c r="D2217" t="s">
        <v>74</v>
      </c>
      <c r="E2217">
        <v>2013</v>
      </c>
      <c r="F2217" t="s">
        <v>31</v>
      </c>
      <c r="S2217">
        <v>0.73541865750484103</v>
      </c>
    </row>
    <row r="2218" spans="4:19" x14ac:dyDescent="0.25">
      <c r="D2218" t="s">
        <v>74</v>
      </c>
      <c r="E2218">
        <v>2014</v>
      </c>
      <c r="F2218" t="s">
        <v>31</v>
      </c>
      <c r="S2218">
        <v>0.94606122980396046</v>
      </c>
    </row>
    <row r="2219" spans="4:19" x14ac:dyDescent="0.25">
      <c r="D2219" t="s">
        <v>74</v>
      </c>
      <c r="E2219">
        <v>2015</v>
      </c>
      <c r="F2219" t="s">
        <v>31</v>
      </c>
      <c r="S2219">
        <v>0.91920817473463856</v>
      </c>
    </row>
    <row r="2220" spans="4:19" x14ac:dyDescent="0.25">
      <c r="D2220" t="s">
        <v>74</v>
      </c>
      <c r="E2220">
        <v>2013</v>
      </c>
      <c r="F2220" t="s">
        <v>32</v>
      </c>
      <c r="G2220">
        <v>0.65422927312943335</v>
      </c>
      <c r="H2220">
        <v>0.6709947319491788</v>
      </c>
      <c r="I2220">
        <v>0.71851279575084503</v>
      </c>
      <c r="J2220">
        <v>0.72089224129237839</v>
      </c>
      <c r="K2220">
        <v>0.73585589426561504</v>
      </c>
      <c r="L2220">
        <v>0.80905258828972393</v>
      </c>
      <c r="M2220">
        <v>0.94238641532319201</v>
      </c>
      <c r="N2220">
        <v>0.95721034980783826</v>
      </c>
      <c r="O2220">
        <v>0.97891486546096163</v>
      </c>
      <c r="P2220">
        <v>0.97517410239428426</v>
      </c>
      <c r="Q2220">
        <v>0.96784692999790756</v>
      </c>
      <c r="R2220">
        <v>0.970832622627257</v>
      </c>
    </row>
    <row r="2221" spans="4:19" x14ac:dyDescent="0.25">
      <c r="D2221" t="s">
        <v>74</v>
      </c>
      <c r="E2221">
        <v>2014</v>
      </c>
      <c r="F2221" t="s">
        <v>32</v>
      </c>
      <c r="G2221">
        <v>0.9578969072164949</v>
      </c>
      <c r="H2221">
        <v>0.94983731929024251</v>
      </c>
      <c r="I2221">
        <v>0.95287570358457829</v>
      </c>
      <c r="J2221">
        <v>0.96712277148442105</v>
      </c>
      <c r="K2221">
        <v>0.95521067664231729</v>
      </c>
      <c r="L2221">
        <v>0.93680353378174885</v>
      </c>
      <c r="M2221">
        <v>0.90175577907181925</v>
      </c>
      <c r="N2221">
        <v>0.89790884999868814</v>
      </c>
      <c r="O2221">
        <v>0.91884215914532452</v>
      </c>
      <c r="P2221">
        <v>0.93635989576189826</v>
      </c>
      <c r="Q2221">
        <v>0.94241552126234307</v>
      </c>
      <c r="R2221">
        <v>0.93429824339053513</v>
      </c>
    </row>
    <row r="2222" spans="4:19" x14ac:dyDescent="0.25">
      <c r="D2222" t="s">
        <v>74</v>
      </c>
      <c r="E2222">
        <v>2015</v>
      </c>
      <c r="F2222" t="s">
        <v>32</v>
      </c>
      <c r="G2222">
        <v>0.92877603325364522</v>
      </c>
      <c r="H2222">
        <v>0.9267004511728355</v>
      </c>
      <c r="I2222">
        <v>0.92683304314180692</v>
      </c>
      <c r="J2222">
        <v>0.91860938068631859</v>
      </c>
      <c r="K2222">
        <v>0.91813255745669065</v>
      </c>
      <c r="L2222">
        <v>0.91350363316333438</v>
      </c>
      <c r="M2222">
        <v>0.89982802135215423</v>
      </c>
    </row>
    <row r="2223" spans="4:19" x14ac:dyDescent="0.25">
      <c r="D2223" t="s">
        <v>74</v>
      </c>
      <c r="E2223">
        <v>2013</v>
      </c>
      <c r="F2223" t="s">
        <v>33</v>
      </c>
      <c r="S2223">
        <v>0.86608613533041967</v>
      </c>
    </row>
    <row r="2224" spans="4:19" x14ac:dyDescent="0.25">
      <c r="D2224" t="s">
        <v>74</v>
      </c>
      <c r="E2224">
        <v>2014</v>
      </c>
      <c r="F2224" t="s">
        <v>33</v>
      </c>
      <c r="S2224">
        <v>0.91998178506375228</v>
      </c>
    </row>
    <row r="2225" spans="4:19" x14ac:dyDescent="0.25">
      <c r="D2225" t="s">
        <v>74</v>
      </c>
      <c r="E2225">
        <v>2015</v>
      </c>
      <c r="F2225" t="s">
        <v>33</v>
      </c>
      <c r="S2225">
        <v>0.91657798801293444</v>
      </c>
    </row>
    <row r="2226" spans="4:19" x14ac:dyDescent="0.25">
      <c r="D2226" t="s">
        <v>74</v>
      </c>
      <c r="E2226">
        <v>2013</v>
      </c>
      <c r="F2226" t="s">
        <v>34</v>
      </c>
      <c r="G2226">
        <v>0.80728016090210686</v>
      </c>
      <c r="H2226">
        <v>0.78141043924700515</v>
      </c>
      <c r="I2226">
        <v>0.87753456221198156</v>
      </c>
      <c r="J2226">
        <v>0.87399570439901364</v>
      </c>
      <c r="K2226">
        <v>0.87594394863304126</v>
      </c>
      <c r="L2226">
        <v>0.93190850481321208</v>
      </c>
      <c r="M2226">
        <v>0.94265617548879355</v>
      </c>
      <c r="N2226">
        <v>0.92412535810400209</v>
      </c>
      <c r="O2226">
        <v>0.96039439887314604</v>
      </c>
      <c r="P2226">
        <v>0.95332075471698108</v>
      </c>
      <c r="Q2226">
        <v>0.93863696867512647</v>
      </c>
      <c r="R2226">
        <v>0.94764237599510104</v>
      </c>
    </row>
    <row r="2227" spans="4:19" x14ac:dyDescent="0.25">
      <c r="D2227" t="s">
        <v>74</v>
      </c>
      <c r="E2227">
        <v>2014</v>
      </c>
      <c r="F2227" t="s">
        <v>34</v>
      </c>
      <c r="G2227">
        <v>0.92797432189340767</v>
      </c>
      <c r="H2227">
        <v>0.88905374828443196</v>
      </c>
      <c r="I2227">
        <v>0.90971011554834791</v>
      </c>
      <c r="J2227">
        <v>0.9387665584700412</v>
      </c>
      <c r="K2227">
        <v>0.91514629124167979</v>
      </c>
      <c r="L2227">
        <v>0.92522675997974124</v>
      </c>
      <c r="M2227">
        <v>0.94168175937904264</v>
      </c>
      <c r="N2227">
        <v>0.92967979656442989</v>
      </c>
      <c r="O2227">
        <v>0.89640175791979493</v>
      </c>
      <c r="P2227">
        <v>0.96537541846006691</v>
      </c>
      <c r="Q2227">
        <v>0.96461461182117547</v>
      </c>
      <c r="R2227">
        <v>0.96134008194745724</v>
      </c>
    </row>
    <row r="2228" spans="4:19" x14ac:dyDescent="0.25">
      <c r="D2228" t="s">
        <v>74</v>
      </c>
      <c r="E2228">
        <v>2015</v>
      </c>
      <c r="F2228" t="s">
        <v>34</v>
      </c>
      <c r="G2228">
        <v>0.94072480276758219</v>
      </c>
      <c r="H2228">
        <v>0.92256529974012247</v>
      </c>
      <c r="I2228">
        <v>0.92740454325761235</v>
      </c>
      <c r="J2228">
        <v>0.89538377492488386</v>
      </c>
      <c r="K2228">
        <v>0.91855992306767642</v>
      </c>
      <c r="L2228">
        <v>0.91618758017769752</v>
      </c>
      <c r="M2228">
        <v>0.89136502591821365</v>
      </c>
    </row>
    <row r="2229" spans="4:19" x14ac:dyDescent="0.25">
      <c r="D2229" t="s">
        <v>75</v>
      </c>
      <c r="E2229">
        <v>2013</v>
      </c>
      <c r="F2229" t="s">
        <v>17</v>
      </c>
      <c r="S2229">
        <v>0.90139919858109441</v>
      </c>
    </row>
    <row r="2230" spans="4:19" x14ac:dyDescent="0.25">
      <c r="D2230" t="s">
        <v>75</v>
      </c>
      <c r="E2230">
        <v>2014</v>
      </c>
      <c r="F2230" t="s">
        <v>17</v>
      </c>
      <c r="S2230">
        <v>0.88634462243981038</v>
      </c>
    </row>
    <row r="2231" spans="4:19" x14ac:dyDescent="0.25">
      <c r="D2231" t="s">
        <v>75</v>
      </c>
      <c r="E2231">
        <v>2015</v>
      </c>
      <c r="F2231" t="s">
        <v>17</v>
      </c>
      <c r="S2231">
        <v>0.94165698049851476</v>
      </c>
    </row>
    <row r="2232" spans="4:19" x14ac:dyDescent="0.25">
      <c r="D2232" t="s">
        <v>75</v>
      </c>
      <c r="E2232">
        <v>2013</v>
      </c>
      <c r="F2232" t="s">
        <v>18</v>
      </c>
      <c r="G2232">
        <v>0.85693483800509651</v>
      </c>
      <c r="H2232">
        <v>0.84228890439637127</v>
      </c>
      <c r="I2232">
        <v>0.90264064293915036</v>
      </c>
      <c r="J2232">
        <v>0.92077464788732399</v>
      </c>
      <c r="K2232">
        <v>0.91768292682926833</v>
      </c>
      <c r="L2232">
        <v>0.93184796854521623</v>
      </c>
      <c r="M2232">
        <v>0.95569172755126086</v>
      </c>
      <c r="N2232">
        <v>0.95809622348680812</v>
      </c>
      <c r="O2232">
        <v>0.94947830862163651</v>
      </c>
      <c r="P2232">
        <v>0.93213492223793171</v>
      </c>
      <c r="Q2232">
        <v>0.91957648118945712</v>
      </c>
      <c r="R2232">
        <v>0.92680254218715752</v>
      </c>
    </row>
    <row r="2233" spans="4:19" x14ac:dyDescent="0.25">
      <c r="D2233" t="s">
        <v>75</v>
      </c>
      <c r="E2233">
        <v>2014</v>
      </c>
      <c r="F2233" t="s">
        <v>18</v>
      </c>
      <c r="G2233">
        <v>0.80801896109026272</v>
      </c>
      <c r="H2233">
        <v>0.89796365228815411</v>
      </c>
      <c r="I2233">
        <v>0.90217608305050911</v>
      </c>
      <c r="J2233">
        <v>0.91312299954275267</v>
      </c>
      <c r="K2233">
        <v>0.84907860975040816</v>
      </c>
      <c r="L2233">
        <v>0.91549295774647887</v>
      </c>
      <c r="M2233">
        <v>0.92555555555555558</v>
      </c>
      <c r="N2233">
        <v>0.92749999999999999</v>
      </c>
      <c r="O2233">
        <v>0.85041705282669133</v>
      </c>
      <c r="P2233">
        <v>0.87155782848151064</v>
      </c>
      <c r="Q2233">
        <v>0.91088654111162148</v>
      </c>
      <c r="R2233">
        <v>0.92347047537838411</v>
      </c>
    </row>
    <row r="2234" spans="4:19" x14ac:dyDescent="0.25">
      <c r="D2234" t="s">
        <v>75</v>
      </c>
      <c r="E2234">
        <v>2015</v>
      </c>
      <c r="F2234" t="s">
        <v>18</v>
      </c>
      <c r="G2234">
        <v>0.91333597150771662</v>
      </c>
      <c r="H2234">
        <v>0.91168333688018732</v>
      </c>
      <c r="I2234">
        <v>0.94378015523389969</v>
      </c>
      <c r="J2234">
        <v>0.95667870036101088</v>
      </c>
      <c r="K2234">
        <v>0.93902112864402243</v>
      </c>
      <c r="L2234">
        <v>0.96959926301243671</v>
      </c>
      <c r="M2234">
        <v>0.965981213505966</v>
      </c>
    </row>
    <row r="2235" spans="4:19" x14ac:dyDescent="0.25">
      <c r="D2235" t="s">
        <v>75</v>
      </c>
      <c r="E2235">
        <v>2013</v>
      </c>
      <c r="F2235" t="s">
        <v>19</v>
      </c>
      <c r="S2235">
        <v>0.84779865726527448</v>
      </c>
    </row>
    <row r="2236" spans="4:19" x14ac:dyDescent="0.25">
      <c r="D2236" t="s">
        <v>75</v>
      </c>
      <c r="E2236">
        <v>2014</v>
      </c>
      <c r="F2236" t="s">
        <v>19</v>
      </c>
      <c r="S2236">
        <v>0.87857689527615968</v>
      </c>
    </row>
    <row r="2237" spans="4:19" x14ac:dyDescent="0.25">
      <c r="D2237" t="s">
        <v>75</v>
      </c>
      <c r="E2237">
        <v>2015</v>
      </c>
      <c r="F2237" t="s">
        <v>19</v>
      </c>
      <c r="S2237">
        <v>0.99380489833867536</v>
      </c>
    </row>
    <row r="2238" spans="4:19" x14ac:dyDescent="0.25">
      <c r="D2238" t="s">
        <v>75</v>
      </c>
      <c r="E2238">
        <v>2013</v>
      </c>
      <c r="F2238" t="s">
        <v>20</v>
      </c>
      <c r="G2238">
        <v>0.75191473988439306</v>
      </c>
      <c r="H2238">
        <v>0.88175765645805593</v>
      </c>
      <c r="I2238">
        <v>0.74902094329984681</v>
      </c>
      <c r="J2238">
        <v>0.77560870964281881</v>
      </c>
      <c r="K2238">
        <v>0.86454495210022109</v>
      </c>
      <c r="L2238">
        <v>0.9888949671772429</v>
      </c>
      <c r="M2238">
        <v>0.98746177370030586</v>
      </c>
      <c r="N2238">
        <v>0.86571879936808849</v>
      </c>
      <c r="O2238">
        <v>0.92814297955686131</v>
      </c>
      <c r="P2238">
        <v>0.99045739698995672</v>
      </c>
      <c r="Q2238">
        <v>0.90313521669880126</v>
      </c>
      <c r="R2238">
        <v>0.88271710357783284</v>
      </c>
    </row>
    <row r="2239" spans="4:19" x14ac:dyDescent="0.25">
      <c r="D2239" t="s">
        <v>75</v>
      </c>
      <c r="E2239">
        <v>2014</v>
      </c>
      <c r="F2239" t="s">
        <v>20</v>
      </c>
      <c r="G2239">
        <v>0.89160159264174821</v>
      </c>
      <c r="H2239">
        <v>0.93121340152694387</v>
      </c>
      <c r="I2239">
        <v>0.88817423163036846</v>
      </c>
      <c r="J2239">
        <v>0.7861307788421491</v>
      </c>
      <c r="K2239">
        <v>0.72158148193112381</v>
      </c>
      <c r="L2239">
        <v>0.96559353910830847</v>
      </c>
      <c r="M2239">
        <v>0.96791988457947886</v>
      </c>
      <c r="N2239">
        <v>0.76450924322364977</v>
      </c>
      <c r="O2239">
        <v>0.79393999405881766</v>
      </c>
      <c r="P2239">
        <v>0.92273411274453065</v>
      </c>
      <c r="Q2239">
        <v>0.86536675951717734</v>
      </c>
      <c r="R2239">
        <v>0.84553040045458627</v>
      </c>
    </row>
    <row r="2240" spans="4:19" x14ac:dyDescent="0.25">
      <c r="D2240" t="s">
        <v>75</v>
      </c>
      <c r="E2240">
        <v>2015</v>
      </c>
      <c r="F2240" t="s">
        <v>20</v>
      </c>
      <c r="G2240">
        <v>0.98609882111152347</v>
      </c>
      <c r="H2240">
        <v>0.99807504078303422</v>
      </c>
      <c r="I2240">
        <v>0.99735496385117262</v>
      </c>
      <c r="J2240">
        <v>0.9926238519096422</v>
      </c>
      <c r="K2240">
        <v>0.98541963015647227</v>
      </c>
      <c r="L2240">
        <v>0.99827081670657092</v>
      </c>
      <c r="M2240">
        <v>0.99940160071807915</v>
      </c>
    </row>
    <row r="2241" spans="4:19" x14ac:dyDescent="0.25">
      <c r="D2241" t="s">
        <v>75</v>
      </c>
      <c r="E2241">
        <v>2013</v>
      </c>
      <c r="F2241" t="s">
        <v>21</v>
      </c>
      <c r="S2241">
        <v>0.95157397972864266</v>
      </c>
    </row>
    <row r="2242" spans="4:19" x14ac:dyDescent="0.25">
      <c r="D2242" t="s">
        <v>75</v>
      </c>
      <c r="E2242">
        <v>2014</v>
      </c>
      <c r="F2242" t="s">
        <v>21</v>
      </c>
      <c r="S2242">
        <v>0.94745869504340519</v>
      </c>
    </row>
    <row r="2243" spans="4:19" x14ac:dyDescent="0.25">
      <c r="D2243" t="s">
        <v>75</v>
      </c>
      <c r="E2243">
        <v>2015</v>
      </c>
      <c r="F2243" t="s">
        <v>21</v>
      </c>
      <c r="S2243">
        <v>0.99015321053537619</v>
      </c>
    </row>
    <row r="2244" spans="4:19" x14ac:dyDescent="0.25">
      <c r="D2244" t="s">
        <v>75</v>
      </c>
      <c r="E2244">
        <v>2013</v>
      </c>
      <c r="F2244" t="s">
        <v>22</v>
      </c>
      <c r="G2244">
        <v>0.87776412776412771</v>
      </c>
      <c r="H2244">
        <v>0.91936758893280635</v>
      </c>
      <c r="I2244">
        <v>0.99005964214711728</v>
      </c>
      <c r="J2244">
        <v>0.96996996996996998</v>
      </c>
      <c r="K2244">
        <v>0.94985250737463123</v>
      </c>
      <c r="L2244">
        <v>0.98471705906650142</v>
      </c>
      <c r="M2244">
        <v>0.98447687053710031</v>
      </c>
      <c r="N2244">
        <v>0.96632329635499203</v>
      </c>
      <c r="O2244">
        <v>0.98841698841698844</v>
      </c>
      <c r="P2244">
        <v>0.99145299145299148</v>
      </c>
      <c r="Q2244">
        <v>0.96651641983258207</v>
      </c>
      <c r="R2244">
        <v>0.92014519056261346</v>
      </c>
    </row>
    <row r="2245" spans="4:19" x14ac:dyDescent="0.25">
      <c r="D2245" t="s">
        <v>75</v>
      </c>
      <c r="E2245">
        <v>2014</v>
      </c>
      <c r="F2245" t="s">
        <v>22</v>
      </c>
      <c r="G2245">
        <v>0.99396331553285344</v>
      </c>
      <c r="H2245">
        <v>0.98135198135198132</v>
      </c>
      <c r="I2245">
        <v>0.98590876522569859</v>
      </c>
      <c r="J2245">
        <v>0.98434442270058709</v>
      </c>
      <c r="K2245">
        <v>0.75897714907508163</v>
      </c>
      <c r="L2245">
        <v>0.92162162162162165</v>
      </c>
      <c r="M2245">
        <v>0.98783235691753046</v>
      </c>
      <c r="N2245">
        <v>0.98901808785529721</v>
      </c>
      <c r="O2245">
        <v>0.92309479553903351</v>
      </c>
      <c r="P2245">
        <v>0.9662233481106185</v>
      </c>
      <c r="Q2245">
        <v>0.98509933774834435</v>
      </c>
      <c r="R2245">
        <v>0.98890560361037982</v>
      </c>
    </row>
    <row r="2246" spans="4:19" x14ac:dyDescent="0.25">
      <c r="D2246" t="s">
        <v>75</v>
      </c>
      <c r="E2246">
        <v>2015</v>
      </c>
      <c r="F2246" t="s">
        <v>22</v>
      </c>
      <c r="G2246">
        <v>0.99913513513513519</v>
      </c>
      <c r="H2246">
        <v>0.98926305514885315</v>
      </c>
      <c r="I2246">
        <v>0.98622589531680438</v>
      </c>
      <c r="J2246">
        <v>0.97010331941085948</v>
      </c>
      <c r="K2246">
        <v>0.98846045595271603</v>
      </c>
      <c r="L2246">
        <v>0.99976030680728667</v>
      </c>
      <c r="M2246">
        <v>1</v>
      </c>
    </row>
    <row r="2247" spans="4:19" x14ac:dyDescent="0.25">
      <c r="D2247" t="s">
        <v>75</v>
      </c>
      <c r="E2247">
        <v>2013</v>
      </c>
      <c r="F2247" t="s">
        <v>23</v>
      </c>
      <c r="S2247">
        <v>61934</v>
      </c>
    </row>
    <row r="2248" spans="4:19" x14ac:dyDescent="0.25">
      <c r="D2248" t="s">
        <v>75</v>
      </c>
      <c r="E2248">
        <v>2014</v>
      </c>
      <c r="F2248" t="s">
        <v>23</v>
      </c>
      <c r="S2248">
        <v>63389</v>
      </c>
    </row>
    <row r="2249" spans="4:19" x14ac:dyDescent="0.25">
      <c r="D2249" t="s">
        <v>75</v>
      </c>
      <c r="E2249">
        <v>2015</v>
      </c>
      <c r="F2249" t="s">
        <v>23</v>
      </c>
      <c r="S2249">
        <v>57441</v>
      </c>
    </row>
    <row r="2250" spans="4:19" x14ac:dyDescent="0.25">
      <c r="D2250" t="s">
        <v>75</v>
      </c>
      <c r="E2250">
        <v>2013</v>
      </c>
      <c r="F2250" t="s">
        <v>24</v>
      </c>
      <c r="G2250">
        <v>11119</v>
      </c>
      <c r="H2250">
        <v>9800</v>
      </c>
      <c r="I2250">
        <v>10229</v>
      </c>
      <c r="J2250">
        <v>8270</v>
      </c>
      <c r="K2250">
        <v>7854</v>
      </c>
      <c r="L2250">
        <v>6790</v>
      </c>
      <c r="M2250">
        <v>7872</v>
      </c>
      <c r="N2250">
        <v>7502</v>
      </c>
      <c r="O2250">
        <v>9066</v>
      </c>
      <c r="P2250">
        <v>8142</v>
      </c>
      <c r="Q2250">
        <v>7732</v>
      </c>
      <c r="R2250">
        <v>7583</v>
      </c>
    </row>
    <row r="2251" spans="4:19" x14ac:dyDescent="0.25">
      <c r="D2251" t="s">
        <v>75</v>
      </c>
      <c r="E2251">
        <v>2014</v>
      </c>
      <c r="F2251" t="s">
        <v>24</v>
      </c>
      <c r="G2251">
        <v>9174</v>
      </c>
      <c r="H2251">
        <v>9662</v>
      </c>
      <c r="I2251">
        <v>9765</v>
      </c>
      <c r="J2251">
        <v>8545</v>
      </c>
      <c r="K2251">
        <v>8578</v>
      </c>
      <c r="L2251">
        <v>8769</v>
      </c>
      <c r="M2251">
        <v>8896</v>
      </c>
      <c r="N2251">
        <v>8436</v>
      </c>
      <c r="O2251">
        <v>12171</v>
      </c>
      <c r="P2251">
        <v>9779</v>
      </c>
      <c r="Q2251">
        <v>7996</v>
      </c>
      <c r="R2251">
        <v>8365</v>
      </c>
    </row>
    <row r="2252" spans="4:19" x14ac:dyDescent="0.25">
      <c r="D2252" t="s">
        <v>75</v>
      </c>
      <c r="E2252">
        <v>2015</v>
      </c>
      <c r="F2252" t="s">
        <v>24</v>
      </c>
      <c r="G2252">
        <v>9253</v>
      </c>
      <c r="H2252">
        <v>9402</v>
      </c>
      <c r="I2252">
        <v>8866</v>
      </c>
      <c r="J2252">
        <v>8019</v>
      </c>
      <c r="K2252">
        <v>6867</v>
      </c>
      <c r="L2252">
        <v>7158</v>
      </c>
      <c r="M2252">
        <v>7876</v>
      </c>
    </row>
    <row r="2253" spans="4:19" x14ac:dyDescent="0.25">
      <c r="D2253" t="s">
        <v>75</v>
      </c>
      <c r="E2253">
        <v>2013</v>
      </c>
      <c r="F2253" t="s">
        <v>25</v>
      </c>
      <c r="S2253">
        <v>165251</v>
      </c>
    </row>
    <row r="2254" spans="4:19" x14ac:dyDescent="0.25">
      <c r="D2254" t="s">
        <v>75</v>
      </c>
      <c r="E2254">
        <v>2014</v>
      </c>
      <c r="F2254" t="s">
        <v>25</v>
      </c>
      <c r="S2254">
        <v>169147</v>
      </c>
    </row>
    <row r="2255" spans="4:19" x14ac:dyDescent="0.25">
      <c r="D2255" t="s">
        <v>75</v>
      </c>
      <c r="E2255">
        <v>2015</v>
      </c>
      <c r="F2255" t="s">
        <v>25</v>
      </c>
      <c r="S2255">
        <v>163188</v>
      </c>
    </row>
    <row r="2256" spans="4:19" x14ac:dyDescent="0.25">
      <c r="D2256" t="s">
        <v>75</v>
      </c>
      <c r="E2256">
        <v>2013</v>
      </c>
      <c r="F2256" t="s">
        <v>26</v>
      </c>
      <c r="G2256">
        <v>30155</v>
      </c>
      <c r="H2256">
        <v>22148</v>
      </c>
      <c r="I2256">
        <v>24172</v>
      </c>
      <c r="J2256">
        <v>20007</v>
      </c>
      <c r="K2256">
        <v>22815</v>
      </c>
      <c r="L2256">
        <v>21692</v>
      </c>
      <c r="M2256">
        <v>24262</v>
      </c>
      <c r="N2256">
        <v>20839</v>
      </c>
      <c r="O2256">
        <v>26979</v>
      </c>
      <c r="P2256">
        <v>31672</v>
      </c>
      <c r="Q2256">
        <v>25267</v>
      </c>
      <c r="R2256">
        <v>29918</v>
      </c>
    </row>
    <row r="2257" spans="4:19" x14ac:dyDescent="0.25">
      <c r="D2257" t="s">
        <v>75</v>
      </c>
      <c r="E2257">
        <v>2014</v>
      </c>
      <c r="F2257" t="s">
        <v>26</v>
      </c>
      <c r="G2257">
        <v>29175</v>
      </c>
      <c r="H2257">
        <v>24180</v>
      </c>
      <c r="I2257">
        <v>24231</v>
      </c>
      <c r="J2257">
        <v>23748</v>
      </c>
      <c r="K2257">
        <v>20757</v>
      </c>
      <c r="L2257">
        <v>23103</v>
      </c>
      <c r="M2257">
        <v>23953</v>
      </c>
      <c r="N2257">
        <v>22421</v>
      </c>
      <c r="O2257">
        <v>27662</v>
      </c>
      <c r="P2257">
        <v>30589</v>
      </c>
      <c r="Q2257">
        <v>27873</v>
      </c>
      <c r="R2257">
        <v>31970</v>
      </c>
    </row>
    <row r="2258" spans="4:19" x14ac:dyDescent="0.25">
      <c r="D2258" t="s">
        <v>75</v>
      </c>
      <c r="E2258">
        <v>2015</v>
      </c>
      <c r="F2258" t="s">
        <v>26</v>
      </c>
      <c r="G2258">
        <v>27841</v>
      </c>
      <c r="H2258">
        <v>24155</v>
      </c>
      <c r="I2258">
        <v>23167</v>
      </c>
      <c r="J2258">
        <v>22437</v>
      </c>
      <c r="K2258">
        <v>18676</v>
      </c>
      <c r="L2258">
        <v>23405</v>
      </c>
      <c r="M2258">
        <v>23507</v>
      </c>
    </row>
    <row r="2259" spans="4:19" x14ac:dyDescent="0.25">
      <c r="D2259" t="s">
        <v>75</v>
      </c>
      <c r="E2259">
        <v>2013</v>
      </c>
      <c r="F2259" t="s">
        <v>27</v>
      </c>
      <c r="S2259">
        <v>271460</v>
      </c>
    </row>
    <row r="2260" spans="4:19" x14ac:dyDescent="0.25">
      <c r="D2260" t="s">
        <v>75</v>
      </c>
      <c r="E2260">
        <v>2014</v>
      </c>
      <c r="F2260" t="s">
        <v>27</v>
      </c>
      <c r="S2260">
        <v>274365</v>
      </c>
    </row>
    <row r="2261" spans="4:19" x14ac:dyDescent="0.25">
      <c r="D2261" t="s">
        <v>75</v>
      </c>
      <c r="E2261">
        <v>2015</v>
      </c>
      <c r="F2261" t="s">
        <v>27</v>
      </c>
      <c r="S2261">
        <v>267973</v>
      </c>
    </row>
    <row r="2262" spans="4:19" x14ac:dyDescent="0.25">
      <c r="D2262" t="s">
        <v>75</v>
      </c>
      <c r="E2262">
        <v>2013</v>
      </c>
      <c r="F2262" t="s">
        <v>28</v>
      </c>
      <c r="G2262">
        <v>48358</v>
      </c>
      <c r="H2262">
        <v>37324</v>
      </c>
      <c r="I2262">
        <v>40388</v>
      </c>
      <c r="J2262">
        <v>32055</v>
      </c>
      <c r="K2262">
        <v>38116</v>
      </c>
      <c r="L2262">
        <v>35442</v>
      </c>
      <c r="M2262">
        <v>39777</v>
      </c>
      <c r="N2262">
        <v>32729</v>
      </c>
      <c r="O2262">
        <v>43918</v>
      </c>
      <c r="P2262">
        <v>51863</v>
      </c>
      <c r="Q2262">
        <v>40444</v>
      </c>
      <c r="R2262">
        <v>46809</v>
      </c>
    </row>
    <row r="2263" spans="4:19" x14ac:dyDescent="0.25">
      <c r="D2263" t="s">
        <v>75</v>
      </c>
      <c r="E2263">
        <v>2014</v>
      </c>
      <c r="F2263" t="s">
        <v>28</v>
      </c>
      <c r="G2263">
        <v>46954</v>
      </c>
      <c r="H2263">
        <v>40009</v>
      </c>
      <c r="I2263">
        <v>40447</v>
      </c>
      <c r="J2263">
        <v>38749</v>
      </c>
      <c r="K2263">
        <v>33554</v>
      </c>
      <c r="L2263">
        <v>36557</v>
      </c>
      <c r="M2263">
        <v>38095</v>
      </c>
      <c r="N2263">
        <v>34431</v>
      </c>
      <c r="O2263">
        <v>44344</v>
      </c>
      <c r="P2263">
        <v>49590</v>
      </c>
      <c r="Q2263">
        <v>42912</v>
      </c>
      <c r="R2263">
        <v>51842</v>
      </c>
    </row>
    <row r="2264" spans="4:19" x14ac:dyDescent="0.25">
      <c r="D2264" t="s">
        <v>75</v>
      </c>
      <c r="E2264">
        <v>2015</v>
      </c>
      <c r="F2264" t="s">
        <v>28</v>
      </c>
      <c r="G2264">
        <v>45024</v>
      </c>
      <c r="H2264">
        <v>39643</v>
      </c>
      <c r="I2264">
        <v>38940</v>
      </c>
      <c r="J2264">
        <v>35740</v>
      </c>
      <c r="K2264">
        <v>30381</v>
      </c>
      <c r="L2264">
        <v>38928</v>
      </c>
      <c r="M2264">
        <v>39317</v>
      </c>
    </row>
    <row r="2265" spans="4:19" x14ac:dyDescent="0.25">
      <c r="D2265" t="s">
        <v>75</v>
      </c>
      <c r="E2265">
        <v>2013</v>
      </c>
      <c r="F2265" t="s">
        <v>29</v>
      </c>
      <c r="S2265">
        <v>30446</v>
      </c>
    </row>
    <row r="2266" spans="4:19" x14ac:dyDescent="0.25">
      <c r="D2266" t="s">
        <v>75</v>
      </c>
      <c r="E2266">
        <v>2014</v>
      </c>
      <c r="F2266" t="s">
        <v>29</v>
      </c>
      <c r="S2266">
        <v>32273</v>
      </c>
    </row>
    <row r="2267" spans="4:19" x14ac:dyDescent="0.25">
      <c r="D2267" t="s">
        <v>75</v>
      </c>
      <c r="E2267">
        <v>2015</v>
      </c>
      <c r="F2267" t="s">
        <v>29</v>
      </c>
      <c r="S2267">
        <v>30972</v>
      </c>
    </row>
    <row r="2268" spans="4:19" x14ac:dyDescent="0.25">
      <c r="D2268" t="s">
        <v>75</v>
      </c>
      <c r="E2268">
        <v>2013</v>
      </c>
      <c r="F2268" t="s">
        <v>30</v>
      </c>
      <c r="G2268">
        <v>5494</v>
      </c>
      <c r="H2268">
        <v>4299</v>
      </c>
      <c r="I2268">
        <v>4355</v>
      </c>
      <c r="J2268">
        <v>3976</v>
      </c>
      <c r="K2268">
        <v>4264</v>
      </c>
      <c r="L2268">
        <v>3815</v>
      </c>
      <c r="M2268">
        <v>4243</v>
      </c>
      <c r="N2268">
        <v>3866</v>
      </c>
      <c r="O2268">
        <v>5463</v>
      </c>
      <c r="P2268">
        <v>4951</v>
      </c>
      <c r="Q2268">
        <v>4439</v>
      </c>
      <c r="R2268">
        <v>4563</v>
      </c>
    </row>
    <row r="2269" spans="4:19" x14ac:dyDescent="0.25">
      <c r="D2269" t="s">
        <v>75</v>
      </c>
      <c r="E2269">
        <v>2014</v>
      </c>
      <c r="F2269" t="s">
        <v>30</v>
      </c>
      <c r="G2269">
        <v>5063</v>
      </c>
      <c r="H2269">
        <v>4567</v>
      </c>
      <c r="I2269">
        <v>5009</v>
      </c>
      <c r="J2269">
        <v>4374</v>
      </c>
      <c r="K2269">
        <v>4287</v>
      </c>
      <c r="L2269">
        <v>4473</v>
      </c>
      <c r="M2269">
        <v>4500</v>
      </c>
      <c r="N2269">
        <v>4000</v>
      </c>
      <c r="O2269">
        <v>5395</v>
      </c>
      <c r="P2269">
        <v>5084</v>
      </c>
      <c r="Q2269">
        <v>4354</v>
      </c>
      <c r="R2269">
        <v>4691</v>
      </c>
    </row>
    <row r="2270" spans="4:19" x14ac:dyDescent="0.25">
      <c r="D2270" t="s">
        <v>75</v>
      </c>
      <c r="E2270">
        <v>2015</v>
      </c>
      <c r="F2270" t="s">
        <v>30</v>
      </c>
      <c r="G2270">
        <v>5054</v>
      </c>
      <c r="H2270">
        <v>4699</v>
      </c>
      <c r="I2270">
        <v>4767</v>
      </c>
      <c r="J2270">
        <v>4432</v>
      </c>
      <c r="K2270">
        <v>3739</v>
      </c>
      <c r="L2270">
        <v>4342</v>
      </c>
      <c r="M2270">
        <v>3939</v>
      </c>
    </row>
    <row r="2271" spans="4:19" x14ac:dyDescent="0.25">
      <c r="D2271" t="s">
        <v>75</v>
      </c>
      <c r="E2271">
        <v>2013</v>
      </c>
      <c r="F2271" t="s">
        <v>31</v>
      </c>
      <c r="S2271">
        <v>0.86004456356766878</v>
      </c>
    </row>
    <row r="2272" spans="4:19" x14ac:dyDescent="0.25">
      <c r="D2272" t="s">
        <v>75</v>
      </c>
      <c r="E2272">
        <v>2014</v>
      </c>
      <c r="F2272" t="s">
        <v>31</v>
      </c>
      <c r="S2272">
        <v>0.91380207922510215</v>
      </c>
    </row>
    <row r="2273" spans="4:19" x14ac:dyDescent="0.25">
      <c r="D2273" t="s">
        <v>75</v>
      </c>
      <c r="E2273">
        <v>2015</v>
      </c>
      <c r="F2273" t="s">
        <v>31</v>
      </c>
      <c r="S2273">
        <v>0.89213279713096916</v>
      </c>
    </row>
    <row r="2274" spans="4:19" x14ac:dyDescent="0.25">
      <c r="D2274" t="s">
        <v>75</v>
      </c>
      <c r="E2274">
        <v>2013</v>
      </c>
      <c r="F2274" t="s">
        <v>32</v>
      </c>
      <c r="G2274">
        <v>0.82264592139580894</v>
      </c>
      <c r="H2274">
        <v>0.87653061224489792</v>
      </c>
      <c r="I2274">
        <v>0.82197673281845729</v>
      </c>
      <c r="J2274">
        <v>0.89093107617896006</v>
      </c>
      <c r="K2274">
        <v>0.89050165520753755</v>
      </c>
      <c r="L2274">
        <v>0.84079528718703977</v>
      </c>
      <c r="M2274">
        <v>0.89557926829268297</v>
      </c>
      <c r="N2274">
        <v>0.9448147160757131</v>
      </c>
      <c r="O2274">
        <v>0.9038164570924333</v>
      </c>
      <c r="P2274">
        <v>0.98366494718742326</v>
      </c>
      <c r="Q2274">
        <v>0.96469218830832903</v>
      </c>
      <c r="R2274">
        <v>0.98338388500593432</v>
      </c>
    </row>
    <row r="2275" spans="4:19" x14ac:dyDescent="0.25">
      <c r="D2275" t="s">
        <v>75</v>
      </c>
      <c r="E2275">
        <v>2014</v>
      </c>
      <c r="F2275" t="s">
        <v>32</v>
      </c>
      <c r="G2275">
        <v>0.96173969914977109</v>
      </c>
      <c r="H2275">
        <v>0.96098116332022354</v>
      </c>
      <c r="I2275">
        <v>0.91264720942140298</v>
      </c>
      <c r="J2275">
        <v>0.90743124634289063</v>
      </c>
      <c r="K2275">
        <v>0.83970622522732574</v>
      </c>
      <c r="L2275">
        <v>0.88208461626183143</v>
      </c>
      <c r="M2275">
        <v>0.9232239208633094</v>
      </c>
      <c r="N2275">
        <v>0.93622569938359412</v>
      </c>
      <c r="O2275">
        <v>0.93180511050858594</v>
      </c>
      <c r="P2275">
        <v>0.90694345025053691</v>
      </c>
      <c r="Q2275">
        <v>0.91445722861430712</v>
      </c>
      <c r="R2275">
        <v>0.93604303646144649</v>
      </c>
    </row>
    <row r="2276" spans="4:19" x14ac:dyDescent="0.25">
      <c r="D2276" t="s">
        <v>75</v>
      </c>
      <c r="E2276">
        <v>2015</v>
      </c>
      <c r="F2276" t="s">
        <v>32</v>
      </c>
      <c r="G2276">
        <v>0.88760402031773478</v>
      </c>
      <c r="H2276">
        <v>0.87928100404169329</v>
      </c>
      <c r="I2276">
        <v>0.86758402887435149</v>
      </c>
      <c r="J2276">
        <v>0.90996383588976182</v>
      </c>
      <c r="K2276">
        <v>0.85291976117664192</v>
      </c>
      <c r="L2276">
        <v>0.92609667504889637</v>
      </c>
      <c r="M2276">
        <v>0.92559674961909599</v>
      </c>
    </row>
    <row r="2277" spans="4:19" x14ac:dyDescent="0.25">
      <c r="D2277" t="s">
        <v>75</v>
      </c>
      <c r="E2277">
        <v>2013</v>
      </c>
      <c r="F2277" t="s">
        <v>33</v>
      </c>
      <c r="S2277">
        <v>0.87035647733597932</v>
      </c>
    </row>
    <row r="2278" spans="4:19" x14ac:dyDescent="0.25">
      <c r="D2278" t="s">
        <v>75</v>
      </c>
      <c r="E2278">
        <v>2014</v>
      </c>
      <c r="F2278" t="s">
        <v>33</v>
      </c>
      <c r="S2278">
        <v>0.92156913249536365</v>
      </c>
    </row>
    <row r="2279" spans="4:19" x14ac:dyDescent="0.25">
      <c r="D2279" t="s">
        <v>75</v>
      </c>
      <c r="E2279">
        <v>2015</v>
      </c>
      <c r="F2279" t="s">
        <v>33</v>
      </c>
      <c r="S2279">
        <v>0.89933306732029872</v>
      </c>
    </row>
    <row r="2280" spans="4:19" x14ac:dyDescent="0.25">
      <c r="D2280" t="s">
        <v>75</v>
      </c>
      <c r="E2280">
        <v>2013</v>
      </c>
      <c r="F2280" t="s">
        <v>34</v>
      </c>
      <c r="G2280">
        <v>0.82502364545331708</v>
      </c>
      <c r="H2280">
        <v>0.90007806401249024</v>
      </c>
      <c r="I2280">
        <v>0.82890898483080511</v>
      </c>
      <c r="J2280">
        <v>0.92109529814447844</v>
      </c>
      <c r="K2280">
        <v>0.92383107088989447</v>
      </c>
      <c r="L2280">
        <v>0.85101775660459078</v>
      </c>
      <c r="M2280">
        <v>0.86135750096413422</v>
      </c>
      <c r="N2280">
        <v>0.91273187183811133</v>
      </c>
      <c r="O2280">
        <v>0.86101370736372329</v>
      </c>
      <c r="P2280">
        <v>0.97620751341681578</v>
      </c>
      <c r="Q2280">
        <v>0.94465842286640989</v>
      </c>
      <c r="R2280">
        <v>0.97475961538461542</v>
      </c>
    </row>
    <row r="2281" spans="4:19" x14ac:dyDescent="0.25">
      <c r="D2281" t="s">
        <v>75</v>
      </c>
      <c r="E2281">
        <v>2014</v>
      </c>
      <c r="F2281" t="s">
        <v>34</v>
      </c>
      <c r="G2281">
        <v>0.94488930758360812</v>
      </c>
      <c r="H2281">
        <v>0.9421601718318503</v>
      </c>
      <c r="I2281">
        <v>0.87560157503281322</v>
      </c>
      <c r="J2281">
        <v>0.86615905245346869</v>
      </c>
      <c r="K2281">
        <v>0.87631167671355215</v>
      </c>
      <c r="L2281">
        <v>0.98801843317972349</v>
      </c>
      <c r="M2281">
        <v>0.98460124109400138</v>
      </c>
      <c r="N2281">
        <v>0.99108547456738327</v>
      </c>
      <c r="O2281">
        <v>0.94834748058515439</v>
      </c>
      <c r="P2281">
        <v>0.93242442205097809</v>
      </c>
      <c r="Q2281">
        <v>0.91257485029940122</v>
      </c>
      <c r="R2281">
        <v>0.95909090909090911</v>
      </c>
    </row>
    <row r="2282" spans="4:19" x14ac:dyDescent="0.25">
      <c r="D2282" t="s">
        <v>75</v>
      </c>
      <c r="E2282">
        <v>2015</v>
      </c>
      <c r="F2282" t="s">
        <v>34</v>
      </c>
      <c r="G2282">
        <v>0.87815587266739847</v>
      </c>
      <c r="H2282">
        <v>0.86260839993198435</v>
      </c>
      <c r="I2282">
        <v>0.86953443087272086</v>
      </c>
      <c r="J2282">
        <v>0.92723285486443385</v>
      </c>
      <c r="K2282">
        <v>0.82196531791907512</v>
      </c>
      <c r="L2282">
        <v>0.95371441795880585</v>
      </c>
      <c r="M2282">
        <v>1.0031616982836495</v>
      </c>
    </row>
    <row r="2283" spans="4:19" x14ac:dyDescent="0.25">
      <c r="D2283" t="s">
        <v>76</v>
      </c>
      <c r="E2283">
        <v>2013</v>
      </c>
      <c r="F2283" t="s">
        <v>17</v>
      </c>
      <c r="S2283">
        <v>0.94499978174516563</v>
      </c>
    </row>
    <row r="2284" spans="4:19" x14ac:dyDescent="0.25">
      <c r="D2284" t="s">
        <v>76</v>
      </c>
      <c r="E2284">
        <v>2014</v>
      </c>
      <c r="F2284" t="s">
        <v>17</v>
      </c>
      <c r="S2284">
        <v>0.95380266004154979</v>
      </c>
    </row>
    <row r="2285" spans="4:19" x14ac:dyDescent="0.25">
      <c r="D2285" t="s">
        <v>76</v>
      </c>
      <c r="E2285">
        <v>2015</v>
      </c>
      <c r="F2285" t="s">
        <v>17</v>
      </c>
      <c r="S2285">
        <v>0.93278847589192415</v>
      </c>
    </row>
    <row r="2286" spans="4:19" x14ac:dyDescent="0.25">
      <c r="D2286" t="s">
        <v>76</v>
      </c>
      <c r="E2286">
        <v>2013</v>
      </c>
      <c r="F2286" t="s">
        <v>18</v>
      </c>
      <c r="G2286">
        <v>0.88801668097632769</v>
      </c>
      <c r="H2286">
        <v>0.90005409791723023</v>
      </c>
      <c r="I2286">
        <v>0.95851897372868333</v>
      </c>
      <c r="J2286">
        <v>0.98169826875515254</v>
      </c>
      <c r="K2286">
        <v>0.97258147956544228</v>
      </c>
      <c r="L2286">
        <v>0.97796488713722685</v>
      </c>
      <c r="M2286">
        <v>0.96754274857504752</v>
      </c>
      <c r="N2286">
        <v>0.95582261340555175</v>
      </c>
      <c r="O2286">
        <v>0.97348725104655587</v>
      </c>
      <c r="P2286">
        <v>0.98255363142930985</v>
      </c>
      <c r="Q2286">
        <v>0.95232329347661571</v>
      </c>
      <c r="R2286">
        <v>0.94938812509442516</v>
      </c>
    </row>
    <row r="2287" spans="4:19" x14ac:dyDescent="0.25">
      <c r="D2287" t="s">
        <v>76</v>
      </c>
      <c r="E2287">
        <v>2014</v>
      </c>
      <c r="F2287" t="s">
        <v>18</v>
      </c>
      <c r="G2287">
        <v>0.96378653113087676</v>
      </c>
      <c r="H2287">
        <v>0.93968208912858364</v>
      </c>
      <c r="I2287">
        <v>0.9521130823597288</v>
      </c>
      <c r="J2287">
        <v>0.96260086902545006</v>
      </c>
      <c r="K2287">
        <v>0.94654138992386194</v>
      </c>
      <c r="L2287">
        <v>0.94847512038523274</v>
      </c>
      <c r="M2287">
        <v>0.96280233527939951</v>
      </c>
      <c r="N2287">
        <v>0.93976109215017067</v>
      </c>
      <c r="O2287">
        <v>0.94954591321897075</v>
      </c>
      <c r="P2287">
        <v>0.93582671868693668</v>
      </c>
      <c r="Q2287">
        <v>0.95588911012406186</v>
      </c>
      <c r="R2287">
        <v>0.96535008976660686</v>
      </c>
    </row>
    <row r="2288" spans="4:19" x14ac:dyDescent="0.25">
      <c r="D2288" t="s">
        <v>76</v>
      </c>
      <c r="E2288">
        <v>2015</v>
      </c>
      <c r="F2288" t="s">
        <v>18</v>
      </c>
      <c r="G2288">
        <v>0.9330133973205359</v>
      </c>
      <c r="H2288">
        <v>0.9223587223587224</v>
      </c>
      <c r="I2288">
        <v>0.90038412291933423</v>
      </c>
      <c r="J2288">
        <v>0.96421582331562761</v>
      </c>
      <c r="K2288">
        <v>0.95507382972038957</v>
      </c>
      <c r="L2288">
        <v>0.91972222222222222</v>
      </c>
      <c r="M2288">
        <v>0.94190751445086707</v>
      </c>
    </row>
    <row r="2289" spans="4:19" x14ac:dyDescent="0.25">
      <c r="D2289" t="s">
        <v>76</v>
      </c>
      <c r="E2289">
        <v>2013</v>
      </c>
      <c r="F2289" t="s">
        <v>19</v>
      </c>
      <c r="S2289">
        <v>0.96152725497298919</v>
      </c>
    </row>
    <row r="2290" spans="4:19" x14ac:dyDescent="0.25">
      <c r="D2290" t="s">
        <v>76</v>
      </c>
      <c r="E2290">
        <v>2014</v>
      </c>
      <c r="F2290" t="s">
        <v>19</v>
      </c>
      <c r="S2290">
        <v>0.98304764510811848</v>
      </c>
    </row>
    <row r="2291" spans="4:19" x14ac:dyDescent="0.25">
      <c r="D2291" t="s">
        <v>76</v>
      </c>
      <c r="E2291">
        <v>2015</v>
      </c>
      <c r="F2291" t="s">
        <v>19</v>
      </c>
      <c r="S2291">
        <v>0.98161720788615148</v>
      </c>
    </row>
    <row r="2292" spans="4:19" x14ac:dyDescent="0.25">
      <c r="D2292" t="s">
        <v>76</v>
      </c>
      <c r="E2292">
        <v>2013</v>
      </c>
      <c r="F2292" t="s">
        <v>20</v>
      </c>
      <c r="G2292">
        <v>0.86885893838188211</v>
      </c>
      <c r="H2292">
        <v>0.99600154778795302</v>
      </c>
      <c r="I2292">
        <v>0.98690823727691335</v>
      </c>
      <c r="J2292">
        <v>0.98180879494655005</v>
      </c>
      <c r="K2292">
        <v>0.93950972104818253</v>
      </c>
      <c r="L2292">
        <v>0.99703539003149899</v>
      </c>
      <c r="M2292">
        <v>0.99832844655139341</v>
      </c>
      <c r="N2292">
        <v>0.998891460989208</v>
      </c>
      <c r="O2292">
        <v>0.99944673434949793</v>
      </c>
      <c r="P2292">
        <v>0.99525068231147784</v>
      </c>
      <c r="Q2292">
        <v>0.96871913828345702</v>
      </c>
      <c r="R2292">
        <v>0.97266226506634046</v>
      </c>
    </row>
    <row r="2293" spans="4:19" x14ac:dyDescent="0.25">
      <c r="D2293" t="s">
        <v>76</v>
      </c>
      <c r="E2293">
        <v>2014</v>
      </c>
      <c r="F2293" t="s">
        <v>20</v>
      </c>
      <c r="G2293">
        <v>0.99742452156258221</v>
      </c>
      <c r="H2293">
        <v>0.99338183410788583</v>
      </c>
      <c r="I2293">
        <v>0.99064843041937878</v>
      </c>
      <c r="J2293">
        <v>0.98592177013422821</v>
      </c>
      <c r="K2293">
        <v>0.91658053293669806</v>
      </c>
      <c r="L2293">
        <v>0.99375371802498513</v>
      </c>
      <c r="M2293">
        <v>0.99488002445361456</v>
      </c>
      <c r="N2293">
        <v>0.9842860740367666</v>
      </c>
      <c r="O2293">
        <v>0.97216963640976595</v>
      </c>
      <c r="P2293">
        <v>0.98874423372629416</v>
      </c>
      <c r="Q2293">
        <v>0.98689875753475209</v>
      </c>
      <c r="R2293">
        <v>0.99445030500389853</v>
      </c>
    </row>
    <row r="2294" spans="4:19" x14ac:dyDescent="0.25">
      <c r="D2294" t="s">
        <v>76</v>
      </c>
      <c r="E2294">
        <v>2015</v>
      </c>
      <c r="F2294" t="s">
        <v>20</v>
      </c>
      <c r="G2294">
        <v>0.95975737227202185</v>
      </c>
      <c r="H2294">
        <v>0.99375263654808055</v>
      </c>
      <c r="I2294">
        <v>0.97712354266679735</v>
      </c>
      <c r="J2294">
        <v>0.98904785397138628</v>
      </c>
      <c r="K2294">
        <v>0.98067736185383247</v>
      </c>
      <c r="L2294">
        <v>0.98141496173668596</v>
      </c>
      <c r="M2294">
        <v>0.99553374609442391</v>
      </c>
    </row>
    <row r="2295" spans="4:19" x14ac:dyDescent="0.25">
      <c r="D2295" t="s">
        <v>76</v>
      </c>
      <c r="E2295">
        <v>2013</v>
      </c>
      <c r="F2295" t="s">
        <v>21</v>
      </c>
      <c r="S2295">
        <v>0.99175674200240205</v>
      </c>
    </row>
    <row r="2296" spans="4:19" x14ac:dyDescent="0.25">
      <c r="D2296" t="s">
        <v>76</v>
      </c>
      <c r="E2296">
        <v>2014</v>
      </c>
      <c r="F2296" t="s">
        <v>21</v>
      </c>
      <c r="S2296">
        <v>0.99813120403854083</v>
      </c>
    </row>
    <row r="2297" spans="4:19" x14ac:dyDescent="0.25">
      <c r="D2297" t="s">
        <v>76</v>
      </c>
      <c r="E2297">
        <v>2015</v>
      </c>
      <c r="F2297" t="s">
        <v>21</v>
      </c>
      <c r="S2297">
        <v>0.99624713173639856</v>
      </c>
    </row>
    <row r="2298" spans="4:19" x14ac:dyDescent="0.25">
      <c r="D2298" t="s">
        <v>76</v>
      </c>
      <c r="E2298">
        <v>2013</v>
      </c>
      <c r="F2298" t="s">
        <v>22</v>
      </c>
      <c r="G2298">
        <v>0.98978454680534922</v>
      </c>
      <c r="H2298">
        <v>0.99602344077019678</v>
      </c>
      <c r="I2298">
        <v>0.99210475640285001</v>
      </c>
      <c r="J2298">
        <v>0.98841209487597326</v>
      </c>
      <c r="K2298">
        <v>0.97928146352215117</v>
      </c>
      <c r="L2298">
        <v>0.99605707848291403</v>
      </c>
      <c r="M2298">
        <v>0.99864291772688718</v>
      </c>
      <c r="N2298">
        <v>0.99722222222222223</v>
      </c>
      <c r="O2298">
        <v>0.99709583736689256</v>
      </c>
      <c r="P2298">
        <v>0.99131147540983611</v>
      </c>
      <c r="Q2298">
        <v>0.98192771084337349</v>
      </c>
      <c r="R2298">
        <v>0.98857469294487288</v>
      </c>
    </row>
    <row r="2299" spans="4:19" x14ac:dyDescent="0.25">
      <c r="D2299" t="s">
        <v>76</v>
      </c>
      <c r="E2299">
        <v>2014</v>
      </c>
      <c r="F2299" t="s">
        <v>22</v>
      </c>
      <c r="G2299">
        <v>0.99833333333333329</v>
      </c>
      <c r="H2299">
        <v>0.99827354690197578</v>
      </c>
      <c r="I2299">
        <v>0.99692685925015367</v>
      </c>
      <c r="J2299">
        <v>0.99933177413965923</v>
      </c>
      <c r="K2299">
        <v>0.99807061547366394</v>
      </c>
      <c r="L2299">
        <v>0.99700787401574809</v>
      </c>
      <c r="M2299">
        <v>0.99916149589132985</v>
      </c>
      <c r="N2299">
        <v>0.99880786807073318</v>
      </c>
      <c r="O2299">
        <v>0.99899091826437947</v>
      </c>
      <c r="P2299">
        <v>0.99788549121665582</v>
      </c>
      <c r="Q2299">
        <v>0.99825692870838423</v>
      </c>
      <c r="R2299">
        <v>0.99801245528024385</v>
      </c>
    </row>
    <row r="2300" spans="4:19" x14ac:dyDescent="0.25">
      <c r="D2300" t="s">
        <v>76</v>
      </c>
      <c r="E2300">
        <v>2015</v>
      </c>
      <c r="F2300" t="s">
        <v>22</v>
      </c>
      <c r="G2300">
        <v>0.99455642195086069</v>
      </c>
      <c r="H2300">
        <v>0.9968646864686469</v>
      </c>
      <c r="I2300">
        <v>0.99825104264765241</v>
      </c>
      <c r="J2300">
        <v>0.99582947173308622</v>
      </c>
      <c r="K2300">
        <v>0.99565419835480362</v>
      </c>
      <c r="L2300">
        <v>0.99499255650290974</v>
      </c>
      <c r="M2300">
        <v>0.9976801988400994</v>
      </c>
    </row>
    <row r="2301" spans="4:19" x14ac:dyDescent="0.25">
      <c r="D2301" t="s">
        <v>76</v>
      </c>
      <c r="E2301">
        <v>2013</v>
      </c>
      <c r="F2301" t="s">
        <v>23</v>
      </c>
      <c r="S2301">
        <v>88604</v>
      </c>
    </row>
    <row r="2302" spans="4:19" x14ac:dyDescent="0.25">
      <c r="D2302" t="s">
        <v>76</v>
      </c>
      <c r="E2302">
        <v>2014</v>
      </c>
      <c r="F2302" t="s">
        <v>23</v>
      </c>
      <c r="S2302">
        <v>90063</v>
      </c>
    </row>
    <row r="2303" spans="4:19" x14ac:dyDescent="0.25">
      <c r="D2303" t="s">
        <v>76</v>
      </c>
      <c r="E2303">
        <v>2015</v>
      </c>
      <c r="F2303" t="s">
        <v>23</v>
      </c>
      <c r="S2303">
        <v>89274</v>
      </c>
    </row>
    <row r="2304" spans="4:19" x14ac:dyDescent="0.25">
      <c r="D2304" t="s">
        <v>76</v>
      </c>
      <c r="E2304">
        <v>2013</v>
      </c>
      <c r="F2304" t="s">
        <v>24</v>
      </c>
      <c r="G2304">
        <v>15677</v>
      </c>
      <c r="H2304">
        <v>15905</v>
      </c>
      <c r="I2304">
        <v>12324</v>
      </c>
      <c r="J2304">
        <v>11874</v>
      </c>
      <c r="K2304">
        <v>11766</v>
      </c>
      <c r="L2304">
        <v>10265</v>
      </c>
      <c r="M2304">
        <v>10793</v>
      </c>
      <c r="N2304">
        <v>10782</v>
      </c>
      <c r="O2304">
        <v>13605</v>
      </c>
      <c r="P2304">
        <v>13490</v>
      </c>
      <c r="Q2304">
        <v>13003</v>
      </c>
      <c r="R2304">
        <v>13188</v>
      </c>
    </row>
    <row r="2305" spans="4:19" x14ac:dyDescent="0.25">
      <c r="D2305" t="s">
        <v>76</v>
      </c>
      <c r="E2305">
        <v>2014</v>
      </c>
      <c r="F2305" t="s">
        <v>24</v>
      </c>
      <c r="G2305">
        <v>14775</v>
      </c>
      <c r="H2305">
        <v>14223</v>
      </c>
      <c r="I2305">
        <v>12988</v>
      </c>
      <c r="J2305">
        <v>11908</v>
      </c>
      <c r="K2305">
        <v>11567</v>
      </c>
      <c r="L2305">
        <v>11911</v>
      </c>
      <c r="M2305">
        <v>12691</v>
      </c>
      <c r="N2305">
        <v>12657</v>
      </c>
      <c r="O2305">
        <v>17204</v>
      </c>
      <c r="P2305">
        <v>14711</v>
      </c>
      <c r="Q2305">
        <v>12921</v>
      </c>
      <c r="R2305">
        <v>12051</v>
      </c>
    </row>
    <row r="2306" spans="4:19" x14ac:dyDescent="0.25">
      <c r="D2306" t="s">
        <v>76</v>
      </c>
      <c r="E2306">
        <v>2015</v>
      </c>
      <c r="F2306" t="s">
        <v>24</v>
      </c>
      <c r="G2306">
        <v>14661</v>
      </c>
      <c r="H2306">
        <v>14241</v>
      </c>
      <c r="I2306">
        <v>14544</v>
      </c>
      <c r="J2306">
        <v>11611</v>
      </c>
      <c r="K2306">
        <v>10241</v>
      </c>
      <c r="L2306">
        <v>12205</v>
      </c>
      <c r="M2306">
        <v>11771</v>
      </c>
    </row>
    <row r="2307" spans="4:19" x14ac:dyDescent="0.25">
      <c r="D2307" t="s">
        <v>76</v>
      </c>
      <c r="E2307">
        <v>2013</v>
      </c>
      <c r="F2307" t="s">
        <v>25</v>
      </c>
      <c r="S2307">
        <v>226413</v>
      </c>
    </row>
    <row r="2308" spans="4:19" x14ac:dyDescent="0.25">
      <c r="D2308" t="s">
        <v>76</v>
      </c>
      <c r="E2308">
        <v>2014</v>
      </c>
      <c r="F2308" t="s">
        <v>25</v>
      </c>
      <c r="S2308">
        <v>232129</v>
      </c>
    </row>
    <row r="2309" spans="4:19" x14ac:dyDescent="0.25">
      <c r="D2309" t="s">
        <v>76</v>
      </c>
      <c r="E2309">
        <v>2015</v>
      </c>
      <c r="F2309" t="s">
        <v>25</v>
      </c>
      <c r="S2309">
        <v>260982</v>
      </c>
    </row>
    <row r="2310" spans="4:19" x14ac:dyDescent="0.25">
      <c r="D2310" t="s">
        <v>76</v>
      </c>
      <c r="E2310">
        <v>2013</v>
      </c>
      <c r="F2310" t="s">
        <v>26</v>
      </c>
      <c r="G2310">
        <v>40381</v>
      </c>
      <c r="H2310">
        <v>34467</v>
      </c>
      <c r="I2310">
        <v>30415</v>
      </c>
      <c r="J2310">
        <v>29825</v>
      </c>
      <c r="K2310">
        <v>27492</v>
      </c>
      <c r="L2310">
        <v>29192</v>
      </c>
      <c r="M2310">
        <v>34641</v>
      </c>
      <c r="N2310">
        <v>30160</v>
      </c>
      <c r="O2310">
        <v>36925</v>
      </c>
      <c r="P2310">
        <v>40356</v>
      </c>
      <c r="Q2310">
        <v>37188</v>
      </c>
      <c r="R2310">
        <v>46902</v>
      </c>
    </row>
    <row r="2311" spans="4:19" x14ac:dyDescent="0.25">
      <c r="D2311" t="s">
        <v>76</v>
      </c>
      <c r="E2311">
        <v>2014</v>
      </c>
      <c r="F2311" t="s">
        <v>26</v>
      </c>
      <c r="G2311">
        <v>40822</v>
      </c>
      <c r="H2311">
        <v>33721</v>
      </c>
      <c r="I2311">
        <v>32636</v>
      </c>
      <c r="J2311">
        <v>31160</v>
      </c>
      <c r="K2311">
        <v>28998</v>
      </c>
      <c r="L2311">
        <v>31854</v>
      </c>
      <c r="M2311">
        <v>32938</v>
      </c>
      <c r="N2311">
        <v>34002</v>
      </c>
      <c r="O2311">
        <v>40227</v>
      </c>
      <c r="P2311">
        <v>39866</v>
      </c>
      <c r="Q2311">
        <v>38029</v>
      </c>
      <c r="R2311">
        <v>47472</v>
      </c>
    </row>
    <row r="2312" spans="4:19" x14ac:dyDescent="0.25">
      <c r="D2312" t="s">
        <v>76</v>
      </c>
      <c r="E2312">
        <v>2015</v>
      </c>
      <c r="F2312" t="s">
        <v>26</v>
      </c>
      <c r="G2312">
        <v>41160</v>
      </c>
      <c r="H2312">
        <v>35764</v>
      </c>
      <c r="I2312">
        <v>39024</v>
      </c>
      <c r="J2312">
        <v>34378</v>
      </c>
      <c r="K2312">
        <v>30825</v>
      </c>
      <c r="L2312">
        <v>38930</v>
      </c>
      <c r="M2312">
        <v>40901</v>
      </c>
    </row>
    <row r="2313" spans="4:19" x14ac:dyDescent="0.25">
      <c r="D2313" t="s">
        <v>76</v>
      </c>
      <c r="E2313">
        <v>2013</v>
      </c>
      <c r="F2313" t="s">
        <v>27</v>
      </c>
      <c r="S2313">
        <v>390427</v>
      </c>
    </row>
    <row r="2314" spans="4:19" x14ac:dyDescent="0.25">
      <c r="D2314" t="s">
        <v>76</v>
      </c>
      <c r="E2314">
        <v>2014</v>
      </c>
      <c r="F2314" t="s">
        <v>27</v>
      </c>
      <c r="S2314">
        <v>403678</v>
      </c>
    </row>
    <row r="2315" spans="4:19" x14ac:dyDescent="0.25">
      <c r="D2315" t="s">
        <v>76</v>
      </c>
      <c r="E2315">
        <v>2015</v>
      </c>
      <c r="F2315" t="s">
        <v>27</v>
      </c>
      <c r="S2315">
        <v>461649</v>
      </c>
    </row>
    <row r="2316" spans="4:19" x14ac:dyDescent="0.25">
      <c r="D2316" t="s">
        <v>76</v>
      </c>
      <c r="E2316">
        <v>2013</v>
      </c>
      <c r="F2316" t="s">
        <v>28</v>
      </c>
      <c r="G2316">
        <v>68626</v>
      </c>
      <c r="H2316">
        <v>61507</v>
      </c>
      <c r="I2316">
        <v>53571</v>
      </c>
      <c r="J2316">
        <v>51167</v>
      </c>
      <c r="K2316">
        <v>47799</v>
      </c>
      <c r="L2316">
        <v>49523</v>
      </c>
      <c r="M2316">
        <v>58234</v>
      </c>
      <c r="N2316">
        <v>49911</v>
      </c>
      <c r="O2316">
        <v>64035</v>
      </c>
      <c r="P2316">
        <v>69883</v>
      </c>
      <c r="Q2316">
        <v>66209</v>
      </c>
      <c r="R2316">
        <v>74957</v>
      </c>
    </row>
    <row r="2317" spans="4:19" x14ac:dyDescent="0.25">
      <c r="D2317" t="s">
        <v>76</v>
      </c>
      <c r="E2317">
        <v>2014</v>
      </c>
      <c r="F2317" t="s">
        <v>28</v>
      </c>
      <c r="G2317">
        <v>68590</v>
      </c>
      <c r="H2317">
        <v>60140</v>
      </c>
      <c r="I2317">
        <v>57532</v>
      </c>
      <c r="J2317">
        <v>54826</v>
      </c>
      <c r="K2317">
        <v>50291</v>
      </c>
      <c r="L2317">
        <v>55750</v>
      </c>
      <c r="M2317">
        <v>56549</v>
      </c>
      <c r="N2317">
        <v>53637</v>
      </c>
      <c r="O2317">
        <v>69135</v>
      </c>
      <c r="P2317">
        <v>69027</v>
      </c>
      <c r="Q2317">
        <v>63560</v>
      </c>
      <c r="R2317">
        <v>78793</v>
      </c>
    </row>
    <row r="2318" spans="4:19" x14ac:dyDescent="0.25">
      <c r="D2318" t="s">
        <v>76</v>
      </c>
      <c r="E2318">
        <v>2015</v>
      </c>
      <c r="F2318" t="s">
        <v>28</v>
      </c>
      <c r="G2318">
        <v>72648</v>
      </c>
      <c r="H2318">
        <v>67683</v>
      </c>
      <c r="I2318">
        <v>71169</v>
      </c>
      <c r="J2318">
        <v>60625</v>
      </c>
      <c r="K2318">
        <v>53369</v>
      </c>
      <c r="L2318">
        <v>67309</v>
      </c>
      <c r="M2318">
        <v>68846</v>
      </c>
    </row>
    <row r="2319" spans="4:19" x14ac:dyDescent="0.25">
      <c r="D2319" t="s">
        <v>76</v>
      </c>
      <c r="E2319">
        <v>2013</v>
      </c>
      <c r="F2319" t="s">
        <v>29</v>
      </c>
      <c r="S2319">
        <v>45818</v>
      </c>
    </row>
    <row r="2320" spans="4:19" x14ac:dyDescent="0.25">
      <c r="D2320" t="s">
        <v>76</v>
      </c>
      <c r="E2320">
        <v>2014</v>
      </c>
      <c r="F2320" t="s">
        <v>29</v>
      </c>
      <c r="S2320">
        <v>46691</v>
      </c>
    </row>
    <row r="2321" spans="4:19" x14ac:dyDescent="0.25">
      <c r="D2321" t="s">
        <v>76</v>
      </c>
      <c r="E2321">
        <v>2015</v>
      </c>
      <c r="F2321" t="s">
        <v>29</v>
      </c>
      <c r="S2321">
        <v>26796</v>
      </c>
    </row>
    <row r="2322" spans="4:19" x14ac:dyDescent="0.25">
      <c r="D2322" t="s">
        <v>76</v>
      </c>
      <c r="E2322">
        <v>2013</v>
      </c>
      <c r="F2322" t="s">
        <v>30</v>
      </c>
      <c r="G2322">
        <v>8153</v>
      </c>
      <c r="H2322">
        <v>7394</v>
      </c>
      <c r="I2322">
        <v>6509</v>
      </c>
      <c r="J2322">
        <v>6065</v>
      </c>
      <c r="K2322">
        <v>5799</v>
      </c>
      <c r="L2322">
        <v>5582</v>
      </c>
      <c r="M2322">
        <v>6316</v>
      </c>
      <c r="N2322">
        <v>5908</v>
      </c>
      <c r="O2322">
        <v>7883</v>
      </c>
      <c r="P2322">
        <v>7738</v>
      </c>
      <c r="Q2322">
        <v>6607</v>
      </c>
      <c r="R2322">
        <v>6619</v>
      </c>
    </row>
    <row r="2323" spans="4:19" x14ac:dyDescent="0.25">
      <c r="D2323" t="s">
        <v>76</v>
      </c>
      <c r="E2323">
        <v>2014</v>
      </c>
      <c r="F2323" t="s">
        <v>30</v>
      </c>
      <c r="G2323">
        <v>7870</v>
      </c>
      <c r="H2323">
        <v>7046</v>
      </c>
      <c r="I2323">
        <v>6933</v>
      </c>
      <c r="J2323">
        <v>6444</v>
      </c>
      <c r="K2323">
        <v>6173</v>
      </c>
      <c r="L2323">
        <v>6230</v>
      </c>
      <c r="M2323">
        <v>5995</v>
      </c>
      <c r="N2323">
        <v>5860</v>
      </c>
      <c r="O2323">
        <v>7928</v>
      </c>
      <c r="P2323">
        <v>7433</v>
      </c>
      <c r="Q2323">
        <v>6529</v>
      </c>
      <c r="R2323">
        <v>5570</v>
      </c>
    </row>
    <row r="2324" spans="4:19" x14ac:dyDescent="0.25">
      <c r="D2324" t="s">
        <v>76</v>
      </c>
      <c r="E2324">
        <v>2015</v>
      </c>
      <c r="F2324" t="s">
        <v>30</v>
      </c>
      <c r="G2324">
        <v>5001</v>
      </c>
      <c r="H2324">
        <v>4070</v>
      </c>
      <c r="I2324">
        <v>3905</v>
      </c>
      <c r="J2324">
        <v>3577</v>
      </c>
      <c r="K2324">
        <v>3183</v>
      </c>
      <c r="L2324">
        <v>3600</v>
      </c>
      <c r="M2324">
        <v>3460</v>
      </c>
    </row>
    <row r="2325" spans="4:19" x14ac:dyDescent="0.25">
      <c r="D2325" t="s">
        <v>76</v>
      </c>
      <c r="E2325">
        <v>2013</v>
      </c>
      <c r="F2325" t="s">
        <v>31</v>
      </c>
      <c r="S2325">
        <v>0.91144869306126131</v>
      </c>
    </row>
    <row r="2326" spans="4:19" x14ac:dyDescent="0.25">
      <c r="D2326" t="s">
        <v>76</v>
      </c>
      <c r="E2326">
        <v>2014</v>
      </c>
      <c r="F2326" t="s">
        <v>31</v>
      </c>
      <c r="S2326">
        <v>0.93805447298002509</v>
      </c>
    </row>
    <row r="2327" spans="4:19" x14ac:dyDescent="0.25">
      <c r="D2327" t="s">
        <v>76</v>
      </c>
      <c r="E2327">
        <v>2015</v>
      </c>
      <c r="F2327" t="s">
        <v>31</v>
      </c>
      <c r="S2327">
        <v>0.90279364652642424</v>
      </c>
    </row>
    <row r="2328" spans="4:19" x14ac:dyDescent="0.25">
      <c r="D2328" t="s">
        <v>76</v>
      </c>
      <c r="E2328">
        <v>2013</v>
      </c>
      <c r="F2328" t="s">
        <v>32</v>
      </c>
      <c r="G2328">
        <v>0.89175224851693569</v>
      </c>
      <c r="H2328">
        <v>0.88959446714869539</v>
      </c>
      <c r="I2328">
        <v>0.91398896462187607</v>
      </c>
      <c r="J2328">
        <v>0.91830891022401884</v>
      </c>
      <c r="K2328">
        <v>0.91339452660207376</v>
      </c>
      <c r="L2328">
        <v>0.91397954213346322</v>
      </c>
      <c r="M2328">
        <v>0.95728713054757708</v>
      </c>
      <c r="N2328">
        <v>0.98256353181227973</v>
      </c>
      <c r="O2328">
        <v>0.95516354281514149</v>
      </c>
      <c r="P2328">
        <v>0.94588584136397336</v>
      </c>
      <c r="Q2328">
        <v>0.9380143043912943</v>
      </c>
      <c r="R2328">
        <v>0.94077949651198056</v>
      </c>
    </row>
    <row r="2329" spans="4:19" x14ac:dyDescent="0.25">
      <c r="D2329" t="s">
        <v>76</v>
      </c>
      <c r="E2329">
        <v>2014</v>
      </c>
      <c r="F2329" t="s">
        <v>32</v>
      </c>
      <c r="G2329">
        <v>0.95587140439932317</v>
      </c>
      <c r="H2329">
        <v>0.94691696547845039</v>
      </c>
      <c r="I2329">
        <v>0.93732676316599939</v>
      </c>
      <c r="J2329">
        <v>0.93197850184749753</v>
      </c>
      <c r="K2329">
        <v>0.92590991614074525</v>
      </c>
      <c r="L2329">
        <v>0.9464360675006297</v>
      </c>
      <c r="M2329">
        <v>0.9170278149869987</v>
      </c>
      <c r="N2329">
        <v>0.9010824049932844</v>
      </c>
      <c r="O2329">
        <v>0.90938153917693565</v>
      </c>
      <c r="P2329">
        <v>0.91434980626741891</v>
      </c>
      <c r="Q2329">
        <v>0.89567370946521163</v>
      </c>
      <c r="R2329">
        <v>0.93386440959256489</v>
      </c>
    </row>
    <row r="2330" spans="4:19" x14ac:dyDescent="0.25">
      <c r="D2330" t="s">
        <v>76</v>
      </c>
      <c r="E2330">
        <v>2015</v>
      </c>
      <c r="F2330" t="s">
        <v>32</v>
      </c>
      <c r="G2330">
        <v>0.90580451538094264</v>
      </c>
      <c r="H2330">
        <v>0.88069658029632747</v>
      </c>
      <c r="I2330">
        <v>0.89686468646864681</v>
      </c>
      <c r="J2330">
        <v>0.9224872965291534</v>
      </c>
      <c r="K2330">
        <v>0.89581095596133187</v>
      </c>
      <c r="L2330">
        <v>0.91437935272429327</v>
      </c>
      <c r="M2330">
        <v>0.90773935944269812</v>
      </c>
    </row>
    <row r="2331" spans="4:19" x14ac:dyDescent="0.25">
      <c r="D2331" t="s">
        <v>76</v>
      </c>
      <c r="E2331">
        <v>2013</v>
      </c>
      <c r="F2331" t="s">
        <v>33</v>
      </c>
      <c r="S2331">
        <v>0.94014760147601473</v>
      </c>
    </row>
    <row r="2332" spans="4:19" x14ac:dyDescent="0.25">
      <c r="D2332" t="s">
        <v>76</v>
      </c>
      <c r="E2332">
        <v>2014</v>
      </c>
      <c r="F2332" t="s">
        <v>33</v>
      </c>
      <c r="S2332">
        <v>0.91494055437674715</v>
      </c>
    </row>
    <row r="2333" spans="4:19" x14ac:dyDescent="0.25">
      <c r="D2333" t="s">
        <v>76</v>
      </c>
      <c r="E2333">
        <v>2015</v>
      </c>
      <c r="F2333" t="s">
        <v>33</v>
      </c>
      <c r="S2333">
        <v>0.91780544403108766</v>
      </c>
    </row>
    <row r="2334" spans="4:19" x14ac:dyDescent="0.25">
      <c r="D2334" t="s">
        <v>76</v>
      </c>
      <c r="E2334">
        <v>2013</v>
      </c>
      <c r="F2334" t="s">
        <v>34</v>
      </c>
      <c r="G2334">
        <v>0.90450599421248445</v>
      </c>
      <c r="H2334">
        <v>0.9031919361612768</v>
      </c>
      <c r="I2334">
        <v>0.95702195186458605</v>
      </c>
      <c r="J2334">
        <v>0.9679129464285714</v>
      </c>
      <c r="K2334">
        <v>0.95696022727272723</v>
      </c>
      <c r="L2334">
        <v>0.96582704957484355</v>
      </c>
      <c r="M2334">
        <v>0.95326568529369726</v>
      </c>
      <c r="N2334">
        <v>0.97263862610973661</v>
      </c>
      <c r="O2334">
        <v>0.93072904837610715</v>
      </c>
      <c r="P2334">
        <v>0.91830796777081469</v>
      </c>
      <c r="Q2334">
        <v>0.90656155808022254</v>
      </c>
      <c r="R2334">
        <v>0.91190073322053022</v>
      </c>
    </row>
    <row r="2335" spans="4:19" x14ac:dyDescent="0.25">
      <c r="D2335" t="s">
        <v>76</v>
      </c>
      <c r="E2335">
        <v>2014</v>
      </c>
      <c r="F2335" t="s">
        <v>34</v>
      </c>
      <c r="G2335">
        <v>0.9348716411946858</v>
      </c>
      <c r="H2335">
        <v>0.92222107757288552</v>
      </c>
      <c r="I2335">
        <v>0.90805376708460406</v>
      </c>
      <c r="J2335">
        <v>0.90095377842993396</v>
      </c>
      <c r="K2335">
        <v>0.89287598944591029</v>
      </c>
      <c r="L2335">
        <v>0.92082402581285683</v>
      </c>
      <c r="M2335">
        <v>0.91851322373123656</v>
      </c>
      <c r="N2335">
        <v>0.94520311149524627</v>
      </c>
      <c r="O2335">
        <v>0.90152015862524781</v>
      </c>
      <c r="P2335">
        <v>0.93789534215066128</v>
      </c>
      <c r="Q2335">
        <v>0.88329948445555384</v>
      </c>
      <c r="R2335">
        <v>0.96135962802629471</v>
      </c>
    </row>
    <row r="2336" spans="4:19" x14ac:dyDescent="0.25">
      <c r="D2336" t="s">
        <v>76</v>
      </c>
      <c r="E2336">
        <v>2015</v>
      </c>
      <c r="F2336" t="s">
        <v>34</v>
      </c>
      <c r="G2336">
        <v>0.91154387611450027</v>
      </c>
      <c r="H2336">
        <v>0.87205349048050773</v>
      </c>
      <c r="I2336">
        <v>0.92072011629207207</v>
      </c>
      <c r="J2336">
        <v>0.95821367030442273</v>
      </c>
      <c r="K2336">
        <v>0.90709008017607295</v>
      </c>
      <c r="L2336">
        <v>0.93845545598313129</v>
      </c>
      <c r="M2336">
        <v>0.92641669016069916</v>
      </c>
    </row>
    <row r="2337" spans="4:19" x14ac:dyDescent="0.25">
      <c r="D2337" t="s">
        <v>77</v>
      </c>
      <c r="E2337">
        <v>2013</v>
      </c>
      <c r="F2337" t="s">
        <v>17</v>
      </c>
      <c r="S2337">
        <v>0.90795754078506807</v>
      </c>
    </row>
    <row r="2338" spans="4:19" x14ac:dyDescent="0.25">
      <c r="D2338" t="s">
        <v>77</v>
      </c>
      <c r="E2338">
        <v>2014</v>
      </c>
      <c r="F2338" t="s">
        <v>17</v>
      </c>
      <c r="S2338">
        <v>0.92394403554140969</v>
      </c>
    </row>
    <row r="2339" spans="4:19" x14ac:dyDescent="0.25">
      <c r="D2339" t="s">
        <v>77</v>
      </c>
      <c r="E2339">
        <v>2015</v>
      </c>
      <c r="F2339" t="s">
        <v>17</v>
      </c>
      <c r="S2339">
        <v>0.9195965039101005</v>
      </c>
    </row>
    <row r="2340" spans="4:19" x14ac:dyDescent="0.25">
      <c r="D2340" t="s">
        <v>77</v>
      </c>
      <c r="E2340">
        <v>2013</v>
      </c>
      <c r="F2340" t="s">
        <v>18</v>
      </c>
      <c r="G2340">
        <v>0.87635454292859127</v>
      </c>
      <c r="H2340">
        <v>0.88685524126455906</v>
      </c>
      <c r="I2340">
        <v>0.90511892450879006</v>
      </c>
      <c r="J2340">
        <v>0.90211496746203901</v>
      </c>
      <c r="K2340">
        <v>0.90732436472346789</v>
      </c>
      <c r="L2340">
        <v>0.92268435825465678</v>
      </c>
      <c r="M2340">
        <v>0.9455953128269512</v>
      </c>
      <c r="N2340">
        <v>0.94775114462698629</v>
      </c>
      <c r="O2340">
        <v>0.93688177107866222</v>
      </c>
      <c r="P2340">
        <v>0.93565282454171339</v>
      </c>
      <c r="Q2340">
        <v>0.92790326260552136</v>
      </c>
      <c r="R2340">
        <v>0.93262334275157577</v>
      </c>
    </row>
    <row r="2341" spans="4:19" x14ac:dyDescent="0.25">
      <c r="D2341" t="s">
        <v>77</v>
      </c>
      <c r="E2341">
        <v>2014</v>
      </c>
      <c r="F2341" t="s">
        <v>18</v>
      </c>
      <c r="G2341">
        <v>0.91686844229217113</v>
      </c>
      <c r="H2341">
        <v>0.91723832706350961</v>
      </c>
      <c r="I2341">
        <v>0.93386545039908775</v>
      </c>
      <c r="J2341">
        <v>0.9272273860802539</v>
      </c>
      <c r="K2341">
        <v>0.902229845626072</v>
      </c>
      <c r="L2341">
        <v>0.92597239648682561</v>
      </c>
      <c r="M2341">
        <v>0.94101633393829398</v>
      </c>
      <c r="N2341">
        <v>0.92161716171617158</v>
      </c>
      <c r="O2341">
        <v>0.92794411177644709</v>
      </c>
      <c r="P2341">
        <v>0.93046075085324231</v>
      </c>
      <c r="Q2341">
        <v>0.91723974389376339</v>
      </c>
      <c r="R2341">
        <v>0.88470425138632158</v>
      </c>
    </row>
    <row r="2342" spans="4:19" x14ac:dyDescent="0.25">
      <c r="D2342" t="s">
        <v>77</v>
      </c>
      <c r="E2342">
        <v>2015</v>
      </c>
      <c r="F2342" t="s">
        <v>18</v>
      </c>
      <c r="G2342">
        <v>0.91885167464114836</v>
      </c>
      <c r="H2342">
        <v>0.91039925719591452</v>
      </c>
      <c r="I2342">
        <v>0.91213389121338917</v>
      </c>
      <c r="J2342">
        <v>0.92827619742280576</v>
      </c>
      <c r="K2342">
        <v>0.92091836734693877</v>
      </c>
      <c r="L2342">
        <v>0.92547274749721908</v>
      </c>
      <c r="M2342">
        <v>0.92271016311166876</v>
      </c>
    </row>
    <row r="2343" spans="4:19" x14ac:dyDescent="0.25">
      <c r="D2343" t="s">
        <v>77</v>
      </c>
      <c r="E2343">
        <v>2013</v>
      </c>
      <c r="F2343" t="s">
        <v>19</v>
      </c>
      <c r="S2343">
        <v>0.78317831143409122</v>
      </c>
    </row>
    <row r="2344" spans="4:19" x14ac:dyDescent="0.25">
      <c r="D2344" t="s">
        <v>77</v>
      </c>
      <c r="E2344">
        <v>2014</v>
      </c>
      <c r="F2344" t="s">
        <v>19</v>
      </c>
      <c r="S2344">
        <v>0.97673426607517189</v>
      </c>
    </row>
    <row r="2345" spans="4:19" x14ac:dyDescent="0.25">
      <c r="D2345" t="s">
        <v>77</v>
      </c>
      <c r="E2345">
        <v>2015</v>
      </c>
      <c r="F2345" t="s">
        <v>19</v>
      </c>
      <c r="S2345">
        <v>0.97116386028923507</v>
      </c>
    </row>
    <row r="2346" spans="4:19" x14ac:dyDescent="0.25">
      <c r="D2346" t="s">
        <v>77</v>
      </c>
      <c r="E2346">
        <v>2013</v>
      </c>
      <c r="F2346" t="s">
        <v>20</v>
      </c>
      <c r="G2346">
        <v>0.66395393108699785</v>
      </c>
      <c r="H2346">
        <v>0.71716172670133682</v>
      </c>
      <c r="I2346">
        <v>0.65117077739619111</v>
      </c>
      <c r="J2346">
        <v>0.63681992811996535</v>
      </c>
      <c r="K2346">
        <v>0.84592087225427992</v>
      </c>
      <c r="L2346">
        <v>0.99846219284756077</v>
      </c>
      <c r="M2346">
        <v>0.99773509174311925</v>
      </c>
      <c r="N2346">
        <v>0.9996360842667098</v>
      </c>
      <c r="O2346">
        <v>0.99799830842965886</v>
      </c>
      <c r="P2346">
        <v>0.99560595637025362</v>
      </c>
      <c r="Q2346">
        <v>0.98445595854922274</v>
      </c>
      <c r="R2346">
        <v>0.93598746445360104</v>
      </c>
    </row>
    <row r="2347" spans="4:19" x14ac:dyDescent="0.25">
      <c r="D2347" t="s">
        <v>77</v>
      </c>
      <c r="E2347">
        <v>2014</v>
      </c>
      <c r="F2347" t="s">
        <v>20</v>
      </c>
      <c r="G2347">
        <v>0.96228098436222154</v>
      </c>
      <c r="H2347">
        <v>0.99934692486796528</v>
      </c>
      <c r="I2347">
        <v>0.90197729540918159</v>
      </c>
      <c r="J2347">
        <v>0.98084884586746091</v>
      </c>
      <c r="K2347">
        <v>0.99498629977263453</v>
      </c>
      <c r="L2347">
        <v>0.99596559082421976</v>
      </c>
      <c r="M2347">
        <v>0.99746617466174659</v>
      </c>
      <c r="N2347">
        <v>0.99834280303030298</v>
      </c>
      <c r="O2347">
        <v>0.9986205858747994</v>
      </c>
      <c r="P2347">
        <v>0.99974554118762871</v>
      </c>
      <c r="Q2347">
        <v>0.99939243302954983</v>
      </c>
      <c r="R2347">
        <v>0.99840977985389856</v>
      </c>
    </row>
    <row r="2348" spans="4:19" x14ac:dyDescent="0.25">
      <c r="D2348" t="s">
        <v>77</v>
      </c>
      <c r="E2348">
        <v>2015</v>
      </c>
      <c r="F2348" t="s">
        <v>20</v>
      </c>
      <c r="G2348">
        <v>0.93852449998899867</v>
      </c>
      <c r="H2348">
        <v>0.99647895700996836</v>
      </c>
      <c r="I2348">
        <v>0.99689578713968963</v>
      </c>
      <c r="J2348">
        <v>0.9927865422207538</v>
      </c>
      <c r="K2348">
        <v>0.97539363804424051</v>
      </c>
      <c r="L2348">
        <v>0.98135412630763275</v>
      </c>
      <c r="M2348">
        <v>0.92448553668005651</v>
      </c>
    </row>
    <row r="2349" spans="4:19" x14ac:dyDescent="0.25">
      <c r="D2349" t="s">
        <v>77</v>
      </c>
      <c r="E2349">
        <v>2013</v>
      </c>
      <c r="F2349" t="s">
        <v>21</v>
      </c>
      <c r="S2349">
        <v>0.97770236075139172</v>
      </c>
    </row>
    <row r="2350" spans="4:19" x14ac:dyDescent="0.25">
      <c r="D2350" t="s">
        <v>77</v>
      </c>
      <c r="E2350">
        <v>2014</v>
      </c>
      <c r="F2350" t="s">
        <v>21</v>
      </c>
      <c r="S2350">
        <v>0.99825788502041135</v>
      </c>
    </row>
    <row r="2351" spans="4:19" x14ac:dyDescent="0.25">
      <c r="D2351" t="s">
        <v>77</v>
      </c>
      <c r="E2351">
        <v>2015</v>
      </c>
      <c r="F2351" t="s">
        <v>21</v>
      </c>
      <c r="S2351">
        <v>0.94614706746303734</v>
      </c>
    </row>
    <row r="2352" spans="4:19" x14ac:dyDescent="0.25">
      <c r="D2352" t="s">
        <v>77</v>
      </c>
      <c r="E2352">
        <v>2013</v>
      </c>
      <c r="F2352" t="s">
        <v>22</v>
      </c>
      <c r="G2352">
        <v>0.9729152987524623</v>
      </c>
      <c r="H2352">
        <v>0.99162679425837319</v>
      </c>
      <c r="I2352">
        <v>0.99741490736751404</v>
      </c>
      <c r="J2352">
        <v>0.97857737104825293</v>
      </c>
      <c r="K2352">
        <v>0.89745437079731027</v>
      </c>
      <c r="L2352">
        <v>0.99934569247546345</v>
      </c>
      <c r="M2352">
        <v>0.99921875000000004</v>
      </c>
      <c r="N2352">
        <v>0.99971106616584804</v>
      </c>
      <c r="O2352">
        <v>0.94825621153407791</v>
      </c>
      <c r="P2352">
        <v>0.94673913043478264</v>
      </c>
      <c r="Q2352">
        <v>0.88540332906530095</v>
      </c>
      <c r="R2352">
        <v>0.95631641086186536</v>
      </c>
    </row>
    <row r="2353" spans="4:19" x14ac:dyDescent="0.25">
      <c r="D2353" t="s">
        <v>77</v>
      </c>
      <c r="E2353">
        <v>2014</v>
      </c>
      <c r="F2353" t="s">
        <v>22</v>
      </c>
      <c r="G2353">
        <v>0.99836253479613557</v>
      </c>
      <c r="H2353">
        <v>0.99723909442297076</v>
      </c>
      <c r="I2353">
        <v>0.99791350531107736</v>
      </c>
      <c r="J2353">
        <v>0.99780380673499269</v>
      </c>
      <c r="K2353">
        <v>0.99819277108433735</v>
      </c>
      <c r="L2353">
        <v>0.99902037617554862</v>
      </c>
      <c r="M2353">
        <v>0.99918019347434006</v>
      </c>
      <c r="N2353">
        <v>0.99979162325484472</v>
      </c>
      <c r="O2353">
        <v>0.99922898997686971</v>
      </c>
      <c r="P2353">
        <v>0.99878661813139191</v>
      </c>
      <c r="Q2353">
        <v>0.99959158668572601</v>
      </c>
      <c r="R2353">
        <v>0.99772047300185207</v>
      </c>
    </row>
    <row r="2354" spans="4:19" x14ac:dyDescent="0.25">
      <c r="D2354" t="s">
        <v>77</v>
      </c>
      <c r="E2354">
        <v>2015</v>
      </c>
      <c r="F2354" t="s">
        <v>22</v>
      </c>
      <c r="G2354">
        <v>0.97958858236325941</v>
      </c>
      <c r="H2354">
        <v>0.98747504084225812</v>
      </c>
      <c r="I2354">
        <v>0.99431171786120587</v>
      </c>
      <c r="J2354">
        <v>0.99760232916595304</v>
      </c>
      <c r="K2354">
        <v>0.90694814511170319</v>
      </c>
      <c r="L2354">
        <v>0.97744118594908158</v>
      </c>
      <c r="M2354">
        <v>0.77314428690575476</v>
      </c>
    </row>
    <row r="2355" spans="4:19" x14ac:dyDescent="0.25">
      <c r="D2355" t="s">
        <v>77</v>
      </c>
      <c r="E2355">
        <v>2013</v>
      </c>
      <c r="F2355" t="s">
        <v>23</v>
      </c>
      <c r="S2355">
        <v>80538</v>
      </c>
    </row>
    <row r="2356" spans="4:19" x14ac:dyDescent="0.25">
      <c r="D2356" t="s">
        <v>77</v>
      </c>
      <c r="E2356">
        <v>2014</v>
      </c>
      <c r="F2356" t="s">
        <v>23</v>
      </c>
      <c r="S2356">
        <v>76814</v>
      </c>
    </row>
    <row r="2357" spans="4:19" x14ac:dyDescent="0.25">
      <c r="D2357" t="s">
        <v>77</v>
      </c>
      <c r="E2357">
        <v>2015</v>
      </c>
      <c r="F2357" t="s">
        <v>23</v>
      </c>
      <c r="S2357">
        <v>74438</v>
      </c>
    </row>
    <row r="2358" spans="4:19" x14ac:dyDescent="0.25">
      <c r="D2358" t="s">
        <v>77</v>
      </c>
      <c r="E2358">
        <v>2013</v>
      </c>
      <c r="F2358" t="s">
        <v>24</v>
      </c>
      <c r="G2358">
        <v>14516</v>
      </c>
      <c r="H2358">
        <v>12821</v>
      </c>
      <c r="I2358">
        <v>11603</v>
      </c>
      <c r="J2358">
        <v>11099</v>
      </c>
      <c r="K2358">
        <v>11588</v>
      </c>
      <c r="L2358">
        <v>9289</v>
      </c>
      <c r="M2358">
        <v>9622</v>
      </c>
      <c r="N2358">
        <v>9417</v>
      </c>
      <c r="O2358">
        <v>11077</v>
      </c>
      <c r="P2358">
        <v>11809</v>
      </c>
      <c r="Q2358">
        <v>10295</v>
      </c>
      <c r="R2358">
        <v>10379</v>
      </c>
    </row>
    <row r="2359" spans="4:19" x14ac:dyDescent="0.25">
      <c r="D2359" t="s">
        <v>77</v>
      </c>
      <c r="E2359">
        <v>2014</v>
      </c>
      <c r="F2359" t="s">
        <v>24</v>
      </c>
      <c r="G2359">
        <v>12347</v>
      </c>
      <c r="H2359">
        <v>11810</v>
      </c>
      <c r="I2359">
        <v>11017</v>
      </c>
      <c r="J2359">
        <v>9652</v>
      </c>
      <c r="K2359">
        <v>9040</v>
      </c>
      <c r="L2359">
        <v>10494</v>
      </c>
      <c r="M2359">
        <v>12454</v>
      </c>
      <c r="N2359">
        <v>11879</v>
      </c>
      <c r="O2359">
        <v>14957</v>
      </c>
      <c r="P2359">
        <v>12573</v>
      </c>
      <c r="Q2359">
        <v>10648</v>
      </c>
      <c r="R2359">
        <v>11712</v>
      </c>
    </row>
    <row r="2360" spans="4:19" x14ac:dyDescent="0.25">
      <c r="D2360" t="s">
        <v>77</v>
      </c>
      <c r="E2360">
        <v>2015</v>
      </c>
      <c r="F2360" t="s">
        <v>24</v>
      </c>
      <c r="G2360">
        <v>11789</v>
      </c>
      <c r="H2360">
        <v>11453</v>
      </c>
      <c r="I2360">
        <v>11028</v>
      </c>
      <c r="J2360">
        <v>9729</v>
      </c>
      <c r="K2360">
        <v>8420</v>
      </c>
      <c r="L2360">
        <v>10590</v>
      </c>
      <c r="M2360">
        <v>11429</v>
      </c>
    </row>
    <row r="2361" spans="4:19" x14ac:dyDescent="0.25">
      <c r="D2361" t="s">
        <v>77</v>
      </c>
      <c r="E2361">
        <v>2013</v>
      </c>
      <c r="F2361" t="s">
        <v>25</v>
      </c>
      <c r="S2361">
        <v>226794</v>
      </c>
    </row>
    <row r="2362" spans="4:19" x14ac:dyDescent="0.25">
      <c r="D2362" t="s">
        <v>77</v>
      </c>
      <c r="E2362">
        <v>2014</v>
      </c>
      <c r="F2362" t="s">
        <v>25</v>
      </c>
      <c r="S2362">
        <v>218303</v>
      </c>
    </row>
    <row r="2363" spans="4:19" x14ac:dyDescent="0.25">
      <c r="D2363" t="s">
        <v>77</v>
      </c>
      <c r="E2363">
        <v>2015</v>
      </c>
      <c r="F2363" t="s">
        <v>25</v>
      </c>
      <c r="S2363">
        <v>238056</v>
      </c>
    </row>
    <row r="2364" spans="4:19" x14ac:dyDescent="0.25">
      <c r="D2364" t="s">
        <v>77</v>
      </c>
      <c r="E2364">
        <v>2013</v>
      </c>
      <c r="F2364" t="s">
        <v>26</v>
      </c>
      <c r="G2364">
        <v>38232</v>
      </c>
      <c r="H2364">
        <v>30229</v>
      </c>
      <c r="I2364">
        <v>30845</v>
      </c>
      <c r="J2364">
        <v>30648</v>
      </c>
      <c r="K2364">
        <v>29017</v>
      </c>
      <c r="L2364">
        <v>31787</v>
      </c>
      <c r="M2364">
        <v>36036</v>
      </c>
      <c r="N2364">
        <v>31864</v>
      </c>
      <c r="O2364">
        <v>35847</v>
      </c>
      <c r="P2364">
        <v>43468</v>
      </c>
      <c r="Q2364">
        <v>37230</v>
      </c>
      <c r="R2364">
        <v>37096</v>
      </c>
    </row>
    <row r="2365" spans="4:19" x14ac:dyDescent="0.25">
      <c r="D2365" t="s">
        <v>77</v>
      </c>
      <c r="E2365">
        <v>2014</v>
      </c>
      <c r="F2365" t="s">
        <v>26</v>
      </c>
      <c r="G2365">
        <v>36170</v>
      </c>
      <c r="H2365">
        <v>32935</v>
      </c>
      <c r="I2365">
        <v>29206</v>
      </c>
      <c r="J2365">
        <v>28924</v>
      </c>
      <c r="K2365">
        <v>28377</v>
      </c>
      <c r="L2365">
        <v>29088</v>
      </c>
      <c r="M2365">
        <v>33603</v>
      </c>
      <c r="N2365">
        <v>32644</v>
      </c>
      <c r="O2365">
        <v>38684</v>
      </c>
      <c r="P2365">
        <v>38902</v>
      </c>
      <c r="Q2365">
        <v>35969</v>
      </c>
      <c r="R2365">
        <v>41200</v>
      </c>
    </row>
    <row r="2366" spans="4:19" x14ac:dyDescent="0.25">
      <c r="D2366" t="s">
        <v>77</v>
      </c>
      <c r="E2366">
        <v>2015</v>
      </c>
      <c r="F2366" t="s">
        <v>26</v>
      </c>
      <c r="G2366">
        <v>37350</v>
      </c>
      <c r="H2366">
        <v>33544</v>
      </c>
      <c r="I2366">
        <v>34681</v>
      </c>
      <c r="J2366">
        <v>32521</v>
      </c>
      <c r="K2366">
        <v>27306</v>
      </c>
      <c r="L2366">
        <v>34043</v>
      </c>
      <c r="M2366">
        <v>38611</v>
      </c>
    </row>
    <row r="2367" spans="4:19" x14ac:dyDescent="0.25">
      <c r="D2367" t="s">
        <v>77</v>
      </c>
      <c r="E2367">
        <v>2013</v>
      </c>
      <c r="F2367" t="s">
        <v>27</v>
      </c>
      <c r="S2367">
        <v>374627</v>
      </c>
    </row>
    <row r="2368" spans="4:19" x14ac:dyDescent="0.25">
      <c r="D2368" t="s">
        <v>77</v>
      </c>
      <c r="E2368">
        <v>2014</v>
      </c>
      <c r="F2368" t="s">
        <v>27</v>
      </c>
      <c r="S2368">
        <v>355891</v>
      </c>
    </row>
    <row r="2369" spans="4:19" x14ac:dyDescent="0.25">
      <c r="D2369" t="s">
        <v>77</v>
      </c>
      <c r="E2369">
        <v>2015</v>
      </c>
      <c r="F2369" t="s">
        <v>27</v>
      </c>
      <c r="S2369">
        <v>395712</v>
      </c>
    </row>
    <row r="2370" spans="4:19" x14ac:dyDescent="0.25">
      <c r="D2370" t="s">
        <v>77</v>
      </c>
      <c r="E2370">
        <v>2013</v>
      </c>
      <c r="F2370" t="s">
        <v>28</v>
      </c>
      <c r="G2370">
        <v>62399</v>
      </c>
      <c r="H2370">
        <v>51123</v>
      </c>
      <c r="I2370">
        <v>51807</v>
      </c>
      <c r="J2370">
        <v>50358</v>
      </c>
      <c r="K2370">
        <v>47254</v>
      </c>
      <c r="L2370">
        <v>52958</v>
      </c>
      <c r="M2370">
        <v>58728</v>
      </c>
      <c r="N2370">
        <v>50292</v>
      </c>
      <c r="O2370">
        <v>59675</v>
      </c>
      <c r="P2370">
        <v>70290</v>
      </c>
      <c r="Q2370">
        <v>58294</v>
      </c>
      <c r="R2370">
        <v>59605</v>
      </c>
    </row>
    <row r="2371" spans="4:19" x14ac:dyDescent="0.25">
      <c r="D2371" t="s">
        <v>77</v>
      </c>
      <c r="E2371">
        <v>2014</v>
      </c>
      <c r="F2371" t="s">
        <v>28</v>
      </c>
      <c r="G2371">
        <v>57657</v>
      </c>
      <c r="H2371">
        <v>53576</v>
      </c>
      <c r="I2371">
        <v>48359</v>
      </c>
      <c r="J2371">
        <v>48108</v>
      </c>
      <c r="K2371">
        <v>45690</v>
      </c>
      <c r="L2371">
        <v>48318</v>
      </c>
      <c r="M2371">
        <v>54183</v>
      </c>
      <c r="N2371">
        <v>51519</v>
      </c>
      <c r="O2371">
        <v>62707</v>
      </c>
      <c r="P2371">
        <v>63014</v>
      </c>
      <c r="Q2371">
        <v>57820</v>
      </c>
      <c r="R2371">
        <v>66104</v>
      </c>
    </row>
    <row r="2372" spans="4:19" x14ac:dyDescent="0.25">
      <c r="D2372" t="s">
        <v>77</v>
      </c>
      <c r="E2372">
        <v>2015</v>
      </c>
      <c r="F2372" t="s">
        <v>28</v>
      </c>
      <c r="G2372">
        <v>62055</v>
      </c>
      <c r="H2372">
        <v>56700</v>
      </c>
      <c r="I2372">
        <v>59196</v>
      </c>
      <c r="J2372">
        <v>54308</v>
      </c>
      <c r="K2372">
        <v>44275</v>
      </c>
      <c r="L2372">
        <v>56682</v>
      </c>
      <c r="M2372">
        <v>62496</v>
      </c>
    </row>
    <row r="2373" spans="4:19" x14ac:dyDescent="0.25">
      <c r="D2373" t="s">
        <v>77</v>
      </c>
      <c r="E2373">
        <v>2013</v>
      </c>
      <c r="F2373" t="s">
        <v>29</v>
      </c>
      <c r="S2373">
        <v>28074</v>
      </c>
    </row>
    <row r="2374" spans="4:19" x14ac:dyDescent="0.25">
      <c r="D2374" t="s">
        <v>77</v>
      </c>
      <c r="E2374">
        <v>2014</v>
      </c>
      <c r="F2374" t="s">
        <v>29</v>
      </c>
      <c r="S2374">
        <v>30162</v>
      </c>
    </row>
    <row r="2375" spans="4:19" x14ac:dyDescent="0.25">
      <c r="D2375" t="s">
        <v>77</v>
      </c>
      <c r="E2375">
        <v>2015</v>
      </c>
      <c r="F2375" t="s">
        <v>29</v>
      </c>
      <c r="S2375">
        <v>30434</v>
      </c>
    </row>
    <row r="2376" spans="4:19" x14ac:dyDescent="0.25">
      <c r="D2376" t="s">
        <v>77</v>
      </c>
      <c r="E2376">
        <v>2013</v>
      </c>
      <c r="F2376" t="s">
        <v>30</v>
      </c>
      <c r="G2376">
        <v>3599</v>
      </c>
      <c r="H2376">
        <v>4207</v>
      </c>
      <c r="I2376">
        <v>3868</v>
      </c>
      <c r="J2376">
        <v>3688</v>
      </c>
      <c r="K2376">
        <v>4014</v>
      </c>
      <c r="L2376">
        <v>3919</v>
      </c>
      <c r="M2376">
        <v>4779</v>
      </c>
      <c r="N2376">
        <v>3713</v>
      </c>
      <c r="O2376">
        <v>4246</v>
      </c>
      <c r="P2376">
        <v>5346</v>
      </c>
      <c r="Q2376">
        <v>4383</v>
      </c>
      <c r="R2376">
        <v>4601</v>
      </c>
    </row>
    <row r="2377" spans="4:19" x14ac:dyDescent="0.25">
      <c r="D2377" t="s">
        <v>77</v>
      </c>
      <c r="E2377">
        <v>2014</v>
      </c>
      <c r="F2377" t="s">
        <v>30</v>
      </c>
      <c r="G2377">
        <v>4956</v>
      </c>
      <c r="H2377">
        <v>4519</v>
      </c>
      <c r="I2377">
        <v>4385</v>
      </c>
      <c r="J2377">
        <v>4411</v>
      </c>
      <c r="K2377">
        <v>3498</v>
      </c>
      <c r="L2377">
        <v>3985</v>
      </c>
      <c r="M2377">
        <v>4408</v>
      </c>
      <c r="N2377">
        <v>3636</v>
      </c>
      <c r="O2377">
        <v>5010</v>
      </c>
      <c r="P2377">
        <v>4688</v>
      </c>
      <c r="Q2377">
        <v>4217</v>
      </c>
      <c r="R2377">
        <v>4328</v>
      </c>
    </row>
    <row r="2378" spans="4:19" x14ac:dyDescent="0.25">
      <c r="D2378" t="s">
        <v>77</v>
      </c>
      <c r="E2378">
        <v>2015</v>
      </c>
      <c r="F2378" t="s">
        <v>30</v>
      </c>
      <c r="G2378">
        <v>5225</v>
      </c>
      <c r="H2378">
        <v>4308</v>
      </c>
      <c r="I2378">
        <v>4780</v>
      </c>
      <c r="J2378">
        <v>4113</v>
      </c>
      <c r="K2378">
        <v>3528</v>
      </c>
      <c r="L2378">
        <v>4495</v>
      </c>
      <c r="M2378">
        <v>3985</v>
      </c>
    </row>
    <row r="2379" spans="4:19" x14ac:dyDescent="0.25">
      <c r="D2379" t="s">
        <v>77</v>
      </c>
      <c r="E2379">
        <v>2013</v>
      </c>
      <c r="F2379" t="s">
        <v>31</v>
      </c>
      <c r="S2379">
        <v>0.81104571754947974</v>
      </c>
    </row>
    <row r="2380" spans="4:19" x14ac:dyDescent="0.25">
      <c r="D2380" t="s">
        <v>77</v>
      </c>
      <c r="E2380">
        <v>2014</v>
      </c>
      <c r="F2380" t="s">
        <v>31</v>
      </c>
      <c r="S2380">
        <v>0.93583200978988201</v>
      </c>
    </row>
    <row r="2381" spans="4:19" x14ac:dyDescent="0.25">
      <c r="D2381" t="s">
        <v>77</v>
      </c>
      <c r="E2381">
        <v>2015</v>
      </c>
      <c r="F2381" t="s">
        <v>31</v>
      </c>
      <c r="S2381">
        <v>0.90968322630914322</v>
      </c>
    </row>
    <row r="2382" spans="4:19" x14ac:dyDescent="0.25">
      <c r="D2382" t="s">
        <v>77</v>
      </c>
      <c r="E2382">
        <v>2013</v>
      </c>
      <c r="F2382" t="s">
        <v>32</v>
      </c>
      <c r="G2382">
        <v>0.75806007164508127</v>
      </c>
      <c r="H2382">
        <v>0.79642773574604164</v>
      </c>
      <c r="I2382">
        <v>0.83788675342583818</v>
      </c>
      <c r="J2382">
        <v>0.81304622038021446</v>
      </c>
      <c r="K2382">
        <v>0.74637556092509494</v>
      </c>
      <c r="L2382">
        <v>0.81085154483798039</v>
      </c>
      <c r="M2382">
        <v>0.95385574724589484</v>
      </c>
      <c r="N2382">
        <v>0.94998407136030583</v>
      </c>
      <c r="O2382">
        <v>0.94484066082874429</v>
      </c>
      <c r="P2382">
        <v>0.95334067236853248</v>
      </c>
      <c r="Q2382">
        <v>0.94657600777076245</v>
      </c>
      <c r="R2382">
        <v>0.95211484728779261</v>
      </c>
    </row>
    <row r="2383" spans="4:19" x14ac:dyDescent="0.25">
      <c r="D2383" t="s">
        <v>77</v>
      </c>
      <c r="E2383">
        <v>2014</v>
      </c>
      <c r="F2383" t="s">
        <v>32</v>
      </c>
      <c r="G2383">
        <v>0.93439701951891152</v>
      </c>
      <c r="H2383">
        <v>0.95249788314987294</v>
      </c>
      <c r="I2383">
        <v>0.94272487973132435</v>
      </c>
      <c r="J2383">
        <v>0.95980107749689181</v>
      </c>
      <c r="K2383">
        <v>0.95320796460176993</v>
      </c>
      <c r="L2383">
        <v>0.92309891366495145</v>
      </c>
      <c r="M2383">
        <v>0.89489320700176656</v>
      </c>
      <c r="N2383">
        <v>0.90192777169795435</v>
      </c>
      <c r="O2383">
        <v>0.93588286421073741</v>
      </c>
      <c r="P2383">
        <v>0.91561282112463216</v>
      </c>
      <c r="Q2383">
        <v>0.93228775356874527</v>
      </c>
      <c r="R2383">
        <v>0.91717896174863389</v>
      </c>
    </row>
    <row r="2384" spans="4:19" x14ac:dyDescent="0.25">
      <c r="D2384" t="s">
        <v>77</v>
      </c>
      <c r="E2384">
        <v>2015</v>
      </c>
      <c r="F2384" t="s">
        <v>32</v>
      </c>
      <c r="G2384">
        <v>0.90592925608618202</v>
      </c>
      <c r="H2384">
        <v>0.90325678861433689</v>
      </c>
      <c r="I2384">
        <v>0.90904969169387018</v>
      </c>
      <c r="J2384">
        <v>0.91355740569431598</v>
      </c>
      <c r="K2384">
        <v>0.91947743467933496</v>
      </c>
      <c r="L2384">
        <v>0.9118980169971671</v>
      </c>
      <c r="M2384">
        <v>0.90804094846443262</v>
      </c>
    </row>
    <row r="2385" spans="4:19" x14ac:dyDescent="0.25">
      <c r="D2385" t="s">
        <v>77</v>
      </c>
      <c r="E2385">
        <v>2013</v>
      </c>
      <c r="F2385" t="s">
        <v>33</v>
      </c>
      <c r="S2385">
        <v>0.80265995000667845</v>
      </c>
    </row>
    <row r="2386" spans="4:19" x14ac:dyDescent="0.25">
      <c r="D2386" t="s">
        <v>77</v>
      </c>
      <c r="E2386">
        <v>2014</v>
      </c>
      <c r="F2386" t="s">
        <v>33</v>
      </c>
      <c r="S2386">
        <v>0.92695385663204499</v>
      </c>
    </row>
    <row r="2387" spans="4:19" x14ac:dyDescent="0.25">
      <c r="D2387" t="s">
        <v>77</v>
      </c>
      <c r="E2387">
        <v>2015</v>
      </c>
      <c r="F2387" t="s">
        <v>33</v>
      </c>
      <c r="S2387">
        <v>0.92642462695335448</v>
      </c>
    </row>
    <row r="2388" spans="4:19" x14ac:dyDescent="0.25">
      <c r="D2388" t="s">
        <v>77</v>
      </c>
      <c r="E2388">
        <v>2013</v>
      </c>
      <c r="F2388" t="s">
        <v>34</v>
      </c>
      <c r="G2388">
        <v>0.74215103945693683</v>
      </c>
      <c r="H2388">
        <v>0.76566918001885009</v>
      </c>
      <c r="I2388">
        <v>0.85398041719880802</v>
      </c>
      <c r="J2388">
        <v>0.80455458807769586</v>
      </c>
      <c r="K2388">
        <v>0.73000916110456748</v>
      </c>
      <c r="L2388">
        <v>0.82438151041666663</v>
      </c>
      <c r="M2388">
        <v>0.952857604133032</v>
      </c>
      <c r="N2388">
        <v>0.9207204174381417</v>
      </c>
      <c r="O2388">
        <v>0.91708508617180073</v>
      </c>
      <c r="P2388">
        <v>0.92666045521096763</v>
      </c>
      <c r="Q2388">
        <v>0.91754122938530736</v>
      </c>
      <c r="R2388">
        <v>0.92585409518126216</v>
      </c>
    </row>
    <row r="2389" spans="4:19" x14ac:dyDescent="0.25">
      <c r="D2389" t="s">
        <v>77</v>
      </c>
      <c r="E2389">
        <v>2014</v>
      </c>
      <c r="F2389" t="s">
        <v>34</v>
      </c>
      <c r="G2389">
        <v>0.90154369758113528</v>
      </c>
      <c r="H2389">
        <v>0.92811378780112763</v>
      </c>
      <c r="I2389">
        <v>0.9142313442979475</v>
      </c>
      <c r="J2389">
        <v>0.94039022891381163</v>
      </c>
      <c r="K2389">
        <v>0.92824427480916027</v>
      </c>
      <c r="L2389">
        <v>0.94014917227578676</v>
      </c>
      <c r="M2389">
        <v>0.94907813871817381</v>
      </c>
      <c r="N2389">
        <v>0.92848926380368102</v>
      </c>
      <c r="O2389">
        <v>0.96184911496820757</v>
      </c>
      <c r="P2389">
        <v>0.9309633391525155</v>
      </c>
      <c r="Q2389">
        <v>0.95532516493873709</v>
      </c>
      <c r="R2389">
        <v>0.93065392851260087</v>
      </c>
    </row>
    <row r="2390" spans="4:19" x14ac:dyDescent="0.25">
      <c r="D2390" t="s">
        <v>77</v>
      </c>
      <c r="E2390">
        <v>2015</v>
      </c>
      <c r="F2390" t="s">
        <v>34</v>
      </c>
      <c r="G2390">
        <v>0.90627829761545431</v>
      </c>
      <c r="H2390">
        <v>0.9094372801875733</v>
      </c>
      <c r="I2390">
        <v>0.94066749072929545</v>
      </c>
      <c r="J2390">
        <v>0.94459338695263628</v>
      </c>
      <c r="K2390">
        <v>0.94110196326789108</v>
      </c>
      <c r="L2390">
        <v>0.92864254895453036</v>
      </c>
      <c r="M2390">
        <v>0.92207171314741032</v>
      </c>
    </row>
    <row r="2391" spans="4:19" x14ac:dyDescent="0.25">
      <c r="D2391" t="s">
        <v>78</v>
      </c>
      <c r="E2391">
        <v>2013</v>
      </c>
      <c r="F2391" t="s">
        <v>17</v>
      </c>
      <c r="S2391">
        <v>0.89795529200447821</v>
      </c>
    </row>
    <row r="2392" spans="4:19" x14ac:dyDescent="0.25">
      <c r="D2392" t="s">
        <v>78</v>
      </c>
      <c r="E2392">
        <v>2014</v>
      </c>
      <c r="F2392" t="s">
        <v>17</v>
      </c>
      <c r="S2392">
        <v>0.9292078717489991</v>
      </c>
    </row>
    <row r="2393" spans="4:19" x14ac:dyDescent="0.25">
      <c r="D2393" t="s">
        <v>78</v>
      </c>
      <c r="E2393">
        <v>2015</v>
      </c>
      <c r="F2393" t="s">
        <v>17</v>
      </c>
      <c r="S2393">
        <v>0.93056849953401677</v>
      </c>
    </row>
    <row r="2394" spans="4:19" x14ac:dyDescent="0.25">
      <c r="D2394" t="s">
        <v>78</v>
      </c>
      <c r="E2394">
        <v>2013</v>
      </c>
      <c r="F2394" t="s">
        <v>18</v>
      </c>
      <c r="G2394">
        <v>0.826874720126761</v>
      </c>
      <c r="H2394">
        <v>0.89058828949186897</v>
      </c>
      <c r="I2394">
        <v>0.88939638187354464</v>
      </c>
      <c r="J2394">
        <v>0.9273021001615509</v>
      </c>
      <c r="K2394">
        <v>0.91235331574638401</v>
      </c>
      <c r="L2394">
        <v>0.92407407407407405</v>
      </c>
      <c r="M2394">
        <v>0.93519851011597388</v>
      </c>
      <c r="N2394">
        <v>0.92445609436435128</v>
      </c>
      <c r="O2394">
        <v>0.93904301801001744</v>
      </c>
      <c r="P2394">
        <v>0.94055854470919809</v>
      </c>
      <c r="Q2394">
        <v>0.93613179869104035</v>
      </c>
      <c r="R2394">
        <v>0.93269078843419184</v>
      </c>
    </row>
    <row r="2395" spans="4:19" x14ac:dyDescent="0.25">
      <c r="D2395" t="s">
        <v>78</v>
      </c>
      <c r="E2395">
        <v>2014</v>
      </c>
      <c r="F2395" t="s">
        <v>18</v>
      </c>
      <c r="G2395">
        <v>0.91670059717698149</v>
      </c>
      <c r="H2395">
        <v>0.92093361950023001</v>
      </c>
      <c r="I2395">
        <v>0.9182686240693223</v>
      </c>
      <c r="J2395">
        <v>0.93220961554158843</v>
      </c>
      <c r="K2395">
        <v>0.92634719373484986</v>
      </c>
      <c r="L2395">
        <v>0.93979533070482435</v>
      </c>
      <c r="M2395">
        <v>0.95420651303871595</v>
      </c>
      <c r="N2395">
        <v>0.9666205806833893</v>
      </c>
      <c r="O2395">
        <v>0.9478015097849809</v>
      </c>
      <c r="P2395">
        <v>0.94426961358313821</v>
      </c>
      <c r="Q2395">
        <v>0.91693464377915668</v>
      </c>
      <c r="R2395">
        <v>0.9231390605436407</v>
      </c>
    </row>
    <row r="2396" spans="4:19" x14ac:dyDescent="0.25">
      <c r="D2396" t="s">
        <v>78</v>
      </c>
      <c r="E2396">
        <v>2015</v>
      </c>
      <c r="F2396" t="s">
        <v>18</v>
      </c>
      <c r="G2396">
        <v>0.90668917327471144</v>
      </c>
      <c r="H2396">
        <v>0.91325588078328335</v>
      </c>
      <c r="I2396">
        <v>0.91887626262626265</v>
      </c>
      <c r="J2396">
        <v>0.92137408152758926</v>
      </c>
      <c r="K2396">
        <v>0.94051983584131327</v>
      </c>
      <c r="L2396">
        <v>0.96319270426816739</v>
      </c>
      <c r="M2396">
        <v>0.95566366807416925</v>
      </c>
    </row>
    <row r="2397" spans="4:19" x14ac:dyDescent="0.25">
      <c r="D2397" t="s">
        <v>78</v>
      </c>
      <c r="E2397">
        <v>2013</v>
      </c>
      <c r="F2397" t="s">
        <v>19</v>
      </c>
      <c r="S2397">
        <v>0.81164894125900888</v>
      </c>
    </row>
    <row r="2398" spans="4:19" x14ac:dyDescent="0.25">
      <c r="D2398" t="s">
        <v>78</v>
      </c>
      <c r="E2398">
        <v>2014</v>
      </c>
      <c r="F2398" t="s">
        <v>19</v>
      </c>
      <c r="S2398">
        <v>0.99038180383649721</v>
      </c>
    </row>
    <row r="2399" spans="4:19" x14ac:dyDescent="0.25">
      <c r="D2399" t="s">
        <v>78</v>
      </c>
      <c r="E2399">
        <v>2015</v>
      </c>
      <c r="F2399" t="s">
        <v>19</v>
      </c>
      <c r="S2399">
        <v>0.93476971959465738</v>
      </c>
    </row>
    <row r="2400" spans="4:19" x14ac:dyDescent="0.25">
      <c r="D2400" t="s">
        <v>78</v>
      </c>
      <c r="E2400">
        <v>2013</v>
      </c>
      <c r="F2400" t="s">
        <v>20</v>
      </c>
      <c r="G2400">
        <v>0.64877871492486805</v>
      </c>
      <c r="H2400">
        <v>0.68651472955364212</v>
      </c>
      <c r="I2400">
        <v>0.75671794871794873</v>
      </c>
      <c r="J2400">
        <v>0.79444080920442772</v>
      </c>
      <c r="K2400">
        <v>0.8684878811101594</v>
      </c>
      <c r="L2400">
        <v>0.98850736247091708</v>
      </c>
      <c r="M2400">
        <v>0.98928086648661506</v>
      </c>
      <c r="N2400">
        <v>0.98073991743410605</v>
      </c>
      <c r="O2400">
        <v>0.98929617287690597</v>
      </c>
      <c r="P2400">
        <v>0.98706355892539543</v>
      </c>
      <c r="Q2400">
        <v>0.94917313127668534</v>
      </c>
      <c r="R2400">
        <v>0.98248753517302656</v>
      </c>
    </row>
    <row r="2401" spans="4:19" x14ac:dyDescent="0.25">
      <c r="D2401" t="s">
        <v>78</v>
      </c>
      <c r="E2401">
        <v>2014</v>
      </c>
      <c r="F2401" t="s">
        <v>20</v>
      </c>
      <c r="G2401">
        <v>0.9908315211381814</v>
      </c>
      <c r="H2401">
        <v>0.99174257425742574</v>
      </c>
      <c r="I2401">
        <v>0.98730702035868367</v>
      </c>
      <c r="J2401">
        <v>0.98721981424148608</v>
      </c>
      <c r="K2401">
        <v>0.98932510971415011</v>
      </c>
      <c r="L2401">
        <v>0.99101420133216034</v>
      </c>
      <c r="M2401">
        <v>0.99472718657740955</v>
      </c>
      <c r="N2401">
        <v>0.99348191470463643</v>
      </c>
      <c r="O2401">
        <v>0.9651096581649683</v>
      </c>
      <c r="P2401">
        <v>0.98878956269630347</v>
      </c>
      <c r="Q2401">
        <v>0.98085736354273945</v>
      </c>
      <c r="R2401">
        <v>0.94928831104812372</v>
      </c>
    </row>
    <row r="2402" spans="4:19" x14ac:dyDescent="0.25">
      <c r="D2402" t="s">
        <v>78</v>
      </c>
      <c r="E2402">
        <v>2015</v>
      </c>
      <c r="F2402" t="s">
        <v>20</v>
      </c>
      <c r="G2402">
        <v>0.90711195240670628</v>
      </c>
      <c r="H2402">
        <v>0.96653946575617589</v>
      </c>
      <c r="I2402">
        <v>0.93332350311955692</v>
      </c>
      <c r="J2402">
        <v>0.90861542078044188</v>
      </c>
      <c r="K2402">
        <v>0.88690747176850726</v>
      </c>
      <c r="L2402">
        <v>0.97381921897142443</v>
      </c>
      <c r="M2402">
        <v>0.95856356520909125</v>
      </c>
    </row>
    <row r="2403" spans="4:19" x14ac:dyDescent="0.25">
      <c r="D2403" t="s">
        <v>78</v>
      </c>
      <c r="E2403">
        <v>2013</v>
      </c>
      <c r="F2403" t="s">
        <v>21</v>
      </c>
      <c r="S2403">
        <v>0.95013462858349607</v>
      </c>
    </row>
    <row r="2404" spans="4:19" x14ac:dyDescent="0.25">
      <c r="D2404" t="s">
        <v>78</v>
      </c>
      <c r="E2404">
        <v>2014</v>
      </c>
      <c r="F2404" t="s">
        <v>21</v>
      </c>
      <c r="S2404">
        <v>0.99543155988319443</v>
      </c>
    </row>
    <row r="2405" spans="4:19" x14ac:dyDescent="0.25">
      <c r="D2405" t="s">
        <v>78</v>
      </c>
      <c r="E2405">
        <v>2015</v>
      </c>
      <c r="F2405" t="s">
        <v>21</v>
      </c>
      <c r="S2405">
        <v>0.99271948608137039</v>
      </c>
    </row>
    <row r="2406" spans="4:19" x14ac:dyDescent="0.25">
      <c r="D2406" t="s">
        <v>78</v>
      </c>
      <c r="E2406">
        <v>2013</v>
      </c>
      <c r="F2406" t="s">
        <v>22</v>
      </c>
      <c r="G2406">
        <v>0.84356794205636909</v>
      </c>
      <c r="H2406">
        <v>0.90299929782325206</v>
      </c>
      <c r="I2406">
        <v>0.97441885150196372</v>
      </c>
      <c r="J2406">
        <v>0.97664336901707516</v>
      </c>
      <c r="K2406">
        <v>0.98488526037069724</v>
      </c>
      <c r="L2406">
        <v>0.99008382743815171</v>
      </c>
      <c r="M2406">
        <v>0.9937144124824373</v>
      </c>
      <c r="N2406">
        <v>0.99347299715759552</v>
      </c>
      <c r="O2406">
        <v>0.99170389278876836</v>
      </c>
      <c r="P2406">
        <v>0.99092486320565865</v>
      </c>
      <c r="Q2406">
        <v>0.98514722487622686</v>
      </c>
      <c r="R2406">
        <v>0.98989213757546979</v>
      </c>
    </row>
    <row r="2407" spans="4:19" x14ac:dyDescent="0.25">
      <c r="D2407" t="s">
        <v>78</v>
      </c>
      <c r="E2407">
        <v>2014</v>
      </c>
      <c r="F2407" t="s">
        <v>22</v>
      </c>
      <c r="G2407">
        <v>0.99600541202242121</v>
      </c>
      <c r="H2407">
        <v>0.99523674107777615</v>
      </c>
      <c r="I2407">
        <v>0.99339462036091253</v>
      </c>
      <c r="J2407">
        <v>0.99547951874261076</v>
      </c>
      <c r="K2407">
        <v>0.99630996309963105</v>
      </c>
      <c r="L2407">
        <v>0.99639219015280134</v>
      </c>
      <c r="M2407">
        <v>0.99537672469840355</v>
      </c>
      <c r="N2407">
        <v>0.9961500581967947</v>
      </c>
      <c r="O2407">
        <v>0.99301647569326734</v>
      </c>
      <c r="P2407">
        <v>0.99209514314200253</v>
      </c>
      <c r="Q2407">
        <v>0.97737485218762321</v>
      </c>
      <c r="R2407">
        <v>0.99227847313033191</v>
      </c>
    </row>
    <row r="2408" spans="4:19" x14ac:dyDescent="0.25">
      <c r="D2408" t="s">
        <v>78</v>
      </c>
      <c r="E2408">
        <v>2015</v>
      </c>
      <c r="F2408" t="s">
        <v>22</v>
      </c>
      <c r="G2408">
        <v>0.988855421686747</v>
      </c>
      <c r="H2408">
        <v>0.99322651128914785</v>
      </c>
      <c r="I2408">
        <v>0.99185180469794387</v>
      </c>
      <c r="J2408">
        <v>0.99405705229793972</v>
      </c>
      <c r="K2408">
        <v>0.99263514508764172</v>
      </c>
      <c r="L2408">
        <v>0.99509608256828419</v>
      </c>
      <c r="M2408">
        <v>0.9933827421916358</v>
      </c>
    </row>
    <row r="2409" spans="4:19" x14ac:dyDescent="0.25">
      <c r="D2409" t="s">
        <v>78</v>
      </c>
      <c r="E2409">
        <v>2013</v>
      </c>
      <c r="F2409" t="s">
        <v>23</v>
      </c>
      <c r="S2409">
        <v>195335</v>
      </c>
    </row>
    <row r="2410" spans="4:19" x14ac:dyDescent="0.25">
      <c r="D2410" t="s">
        <v>78</v>
      </c>
      <c r="E2410">
        <v>2014</v>
      </c>
      <c r="F2410" t="s">
        <v>23</v>
      </c>
      <c r="S2410">
        <v>185608</v>
      </c>
    </row>
    <row r="2411" spans="4:19" x14ac:dyDescent="0.25">
      <c r="D2411" t="s">
        <v>78</v>
      </c>
      <c r="E2411">
        <v>2015</v>
      </c>
      <c r="F2411" t="s">
        <v>23</v>
      </c>
      <c r="S2411">
        <v>178957</v>
      </c>
    </row>
    <row r="2412" spans="4:19" x14ac:dyDescent="0.25">
      <c r="D2412" t="s">
        <v>78</v>
      </c>
      <c r="E2412">
        <v>2013</v>
      </c>
      <c r="F2412" t="s">
        <v>24</v>
      </c>
      <c r="G2412">
        <v>37957</v>
      </c>
      <c r="H2412">
        <v>34015</v>
      </c>
      <c r="I2412">
        <v>26447</v>
      </c>
      <c r="J2412">
        <v>23579</v>
      </c>
      <c r="K2412">
        <v>25774</v>
      </c>
      <c r="L2412">
        <v>22475</v>
      </c>
      <c r="M2412">
        <v>25088</v>
      </c>
      <c r="N2412">
        <v>22035</v>
      </c>
      <c r="O2412">
        <v>29401</v>
      </c>
      <c r="P2412">
        <v>28345</v>
      </c>
      <c r="Q2412">
        <v>24933</v>
      </c>
      <c r="R2412">
        <v>26805</v>
      </c>
    </row>
    <row r="2413" spans="4:19" x14ac:dyDescent="0.25">
      <c r="D2413" t="s">
        <v>78</v>
      </c>
      <c r="E2413">
        <v>2014</v>
      </c>
      <c r="F2413" t="s">
        <v>24</v>
      </c>
      <c r="G2413">
        <v>33375</v>
      </c>
      <c r="H2413">
        <v>30975</v>
      </c>
      <c r="I2413">
        <v>23874</v>
      </c>
      <c r="J2413">
        <v>24264</v>
      </c>
      <c r="K2413">
        <v>22211</v>
      </c>
      <c r="L2413">
        <v>23750</v>
      </c>
      <c r="M2413">
        <v>27159</v>
      </c>
      <c r="N2413">
        <v>23258</v>
      </c>
      <c r="O2413">
        <v>34254</v>
      </c>
      <c r="P2413">
        <v>29035</v>
      </c>
      <c r="Q2413">
        <v>25612</v>
      </c>
      <c r="R2413">
        <v>26465</v>
      </c>
    </row>
    <row r="2414" spans="4:19" x14ac:dyDescent="0.25">
      <c r="D2414" t="s">
        <v>78</v>
      </c>
      <c r="E2414">
        <v>2015</v>
      </c>
      <c r="F2414" t="s">
        <v>24</v>
      </c>
      <c r="G2414">
        <v>28230</v>
      </c>
      <c r="H2414">
        <v>27877</v>
      </c>
      <c r="I2414">
        <v>25963</v>
      </c>
      <c r="J2414">
        <v>23468</v>
      </c>
      <c r="K2414">
        <v>20893</v>
      </c>
      <c r="L2414">
        <v>25992</v>
      </c>
      <c r="M2414">
        <v>26534</v>
      </c>
    </row>
    <row r="2415" spans="4:19" x14ac:dyDescent="0.25">
      <c r="D2415" t="s">
        <v>78</v>
      </c>
      <c r="E2415">
        <v>2013</v>
      </c>
      <c r="F2415" t="s">
        <v>25</v>
      </c>
      <c r="S2415">
        <v>509076</v>
      </c>
    </row>
    <row r="2416" spans="4:19" x14ac:dyDescent="0.25">
      <c r="D2416" t="s">
        <v>78</v>
      </c>
      <c r="E2416">
        <v>2014</v>
      </c>
      <c r="F2416" t="s">
        <v>25</v>
      </c>
      <c r="S2416">
        <v>525285</v>
      </c>
    </row>
    <row r="2417" spans="4:19" x14ac:dyDescent="0.25">
      <c r="D2417" t="s">
        <v>78</v>
      </c>
      <c r="E2417">
        <v>2015</v>
      </c>
      <c r="F2417" t="s">
        <v>25</v>
      </c>
      <c r="S2417">
        <v>556377</v>
      </c>
    </row>
    <row r="2418" spans="4:19" x14ac:dyDescent="0.25">
      <c r="D2418" t="s">
        <v>78</v>
      </c>
      <c r="E2418">
        <v>2013</v>
      </c>
      <c r="F2418" t="s">
        <v>26</v>
      </c>
      <c r="G2418">
        <v>86973</v>
      </c>
      <c r="H2418">
        <v>73862</v>
      </c>
      <c r="I2418">
        <v>68671</v>
      </c>
      <c r="J2418">
        <v>69735</v>
      </c>
      <c r="K2418">
        <v>63801</v>
      </c>
      <c r="L2418">
        <v>70697</v>
      </c>
      <c r="M2418">
        <v>75337</v>
      </c>
      <c r="N2418">
        <v>69283</v>
      </c>
      <c r="O2418">
        <v>84656</v>
      </c>
      <c r="P2418">
        <v>99591</v>
      </c>
      <c r="Q2418">
        <v>79251</v>
      </c>
      <c r="R2418">
        <v>84220</v>
      </c>
    </row>
    <row r="2419" spans="4:19" x14ac:dyDescent="0.25">
      <c r="D2419" t="s">
        <v>78</v>
      </c>
      <c r="E2419">
        <v>2014</v>
      </c>
      <c r="F2419" t="s">
        <v>26</v>
      </c>
      <c r="G2419">
        <v>99833</v>
      </c>
      <c r="H2419">
        <v>82790</v>
      </c>
      <c r="I2419">
        <v>70532</v>
      </c>
      <c r="J2419">
        <v>70537</v>
      </c>
      <c r="K2419">
        <v>61466</v>
      </c>
      <c r="L2419">
        <v>66980</v>
      </c>
      <c r="M2419">
        <v>73147</v>
      </c>
      <c r="N2419">
        <v>68227</v>
      </c>
      <c r="O2419">
        <v>89269</v>
      </c>
      <c r="P2419">
        <v>92179</v>
      </c>
      <c r="Q2419">
        <v>88443</v>
      </c>
      <c r="R2419">
        <v>93607</v>
      </c>
    </row>
    <row r="2420" spans="4:19" x14ac:dyDescent="0.25">
      <c r="D2420" t="s">
        <v>78</v>
      </c>
      <c r="E2420">
        <v>2015</v>
      </c>
      <c r="F2420" t="s">
        <v>26</v>
      </c>
      <c r="G2420">
        <v>86445</v>
      </c>
      <c r="H2420">
        <v>79916</v>
      </c>
      <c r="I2420">
        <v>82950</v>
      </c>
      <c r="J2420">
        <v>74477</v>
      </c>
      <c r="K2420">
        <v>66383</v>
      </c>
      <c r="L2420">
        <v>83763</v>
      </c>
      <c r="M2420">
        <v>82443</v>
      </c>
    </row>
    <row r="2421" spans="4:19" x14ac:dyDescent="0.25">
      <c r="D2421" t="s">
        <v>78</v>
      </c>
      <c r="E2421">
        <v>2013</v>
      </c>
      <c r="F2421" t="s">
        <v>27</v>
      </c>
      <c r="S2421">
        <v>802887</v>
      </c>
    </row>
    <row r="2422" spans="4:19" x14ac:dyDescent="0.25">
      <c r="D2422" t="s">
        <v>78</v>
      </c>
      <c r="E2422">
        <v>2014</v>
      </c>
      <c r="F2422" t="s">
        <v>27</v>
      </c>
      <c r="S2422">
        <v>841046</v>
      </c>
    </row>
    <row r="2423" spans="4:19" x14ac:dyDescent="0.25">
      <c r="D2423" t="s">
        <v>78</v>
      </c>
      <c r="E2423">
        <v>2015</v>
      </c>
      <c r="F2423" t="s">
        <v>27</v>
      </c>
      <c r="S2423">
        <v>920768</v>
      </c>
    </row>
    <row r="2424" spans="4:19" x14ac:dyDescent="0.25">
      <c r="D2424" t="s">
        <v>78</v>
      </c>
      <c r="E2424">
        <v>2013</v>
      </c>
      <c r="F2424" t="s">
        <v>28</v>
      </c>
      <c r="G2424">
        <v>132781</v>
      </c>
      <c r="H2424">
        <v>119636</v>
      </c>
      <c r="I2424">
        <v>109580</v>
      </c>
      <c r="J2424">
        <v>111979</v>
      </c>
      <c r="K2424">
        <v>100755</v>
      </c>
      <c r="L2424">
        <v>110917</v>
      </c>
      <c r="M2424">
        <v>117239</v>
      </c>
      <c r="N2424">
        <v>107025</v>
      </c>
      <c r="O2424">
        <v>127216</v>
      </c>
      <c r="P2424">
        <v>160721</v>
      </c>
      <c r="Q2424">
        <v>120687</v>
      </c>
      <c r="R2424">
        <v>130239</v>
      </c>
    </row>
    <row r="2425" spans="4:19" x14ac:dyDescent="0.25">
      <c r="D2425" t="s">
        <v>78</v>
      </c>
      <c r="E2425">
        <v>2014</v>
      </c>
      <c r="F2425" t="s">
        <v>28</v>
      </c>
      <c r="G2425">
        <v>145846</v>
      </c>
      <c r="H2425">
        <v>133080</v>
      </c>
      <c r="I2425">
        <v>118116</v>
      </c>
      <c r="J2425">
        <v>116944</v>
      </c>
      <c r="K2425">
        <v>100764</v>
      </c>
      <c r="L2425">
        <v>109531</v>
      </c>
      <c r="M2425">
        <v>116765</v>
      </c>
      <c r="N2425">
        <v>107347</v>
      </c>
      <c r="O2425">
        <v>145101</v>
      </c>
      <c r="P2425">
        <v>150116</v>
      </c>
      <c r="Q2425">
        <v>134093</v>
      </c>
      <c r="R2425">
        <v>155823</v>
      </c>
    </row>
    <row r="2426" spans="4:19" x14ac:dyDescent="0.25">
      <c r="D2426" t="s">
        <v>78</v>
      </c>
      <c r="E2426">
        <v>2015</v>
      </c>
      <c r="F2426" t="s">
        <v>28</v>
      </c>
      <c r="G2426">
        <v>139096</v>
      </c>
      <c r="H2426">
        <v>134139</v>
      </c>
      <c r="I2426">
        <v>140887</v>
      </c>
      <c r="J2426">
        <v>121078</v>
      </c>
      <c r="K2426">
        <v>110287</v>
      </c>
      <c r="L2426">
        <v>138801</v>
      </c>
      <c r="M2426">
        <v>136480</v>
      </c>
    </row>
    <row r="2427" spans="4:19" x14ac:dyDescent="0.25">
      <c r="D2427" t="s">
        <v>78</v>
      </c>
      <c r="E2427">
        <v>2013</v>
      </c>
      <c r="F2427" t="s">
        <v>29</v>
      </c>
      <c r="S2427">
        <v>162566</v>
      </c>
    </row>
    <row r="2428" spans="4:19" x14ac:dyDescent="0.25">
      <c r="D2428" t="s">
        <v>78</v>
      </c>
      <c r="E2428">
        <v>2014</v>
      </c>
      <c r="F2428" t="s">
        <v>29</v>
      </c>
      <c r="S2428">
        <v>171601</v>
      </c>
    </row>
    <row r="2429" spans="4:19" x14ac:dyDescent="0.25">
      <c r="D2429" t="s">
        <v>78</v>
      </c>
      <c r="E2429">
        <v>2015</v>
      </c>
      <c r="F2429" t="s">
        <v>29</v>
      </c>
      <c r="S2429">
        <v>160950</v>
      </c>
    </row>
    <row r="2430" spans="4:19" x14ac:dyDescent="0.25">
      <c r="D2430" t="s">
        <v>78</v>
      </c>
      <c r="E2430">
        <v>2013</v>
      </c>
      <c r="F2430" t="s">
        <v>30</v>
      </c>
      <c r="G2430">
        <v>29031</v>
      </c>
      <c r="H2430">
        <v>21707</v>
      </c>
      <c r="I2430">
        <v>22332</v>
      </c>
      <c r="J2430">
        <v>22284</v>
      </c>
      <c r="K2430">
        <v>21986</v>
      </c>
      <c r="L2430">
        <v>21600</v>
      </c>
      <c r="M2430">
        <v>23626</v>
      </c>
      <c r="N2430">
        <v>19075</v>
      </c>
      <c r="O2430">
        <v>28151</v>
      </c>
      <c r="P2430">
        <v>27321</v>
      </c>
      <c r="Q2430">
        <v>22155</v>
      </c>
      <c r="R2430">
        <v>25316</v>
      </c>
    </row>
    <row r="2431" spans="4:19" x14ac:dyDescent="0.25">
      <c r="D2431" t="s">
        <v>78</v>
      </c>
      <c r="E2431">
        <v>2014</v>
      </c>
      <c r="F2431" t="s">
        <v>30</v>
      </c>
      <c r="G2431">
        <v>29472</v>
      </c>
      <c r="H2431">
        <v>26092</v>
      </c>
      <c r="I2431">
        <v>23773</v>
      </c>
      <c r="J2431">
        <v>24502</v>
      </c>
      <c r="K2431">
        <v>21452</v>
      </c>
      <c r="L2431">
        <v>22573</v>
      </c>
      <c r="M2431">
        <v>23737</v>
      </c>
      <c r="N2431">
        <v>20252</v>
      </c>
      <c r="O2431">
        <v>27951</v>
      </c>
      <c r="P2431">
        <v>27328</v>
      </c>
      <c r="Q2431">
        <v>22079</v>
      </c>
      <c r="R2431">
        <v>24759</v>
      </c>
    </row>
    <row r="2432" spans="4:19" x14ac:dyDescent="0.25">
      <c r="D2432" t="s">
        <v>78</v>
      </c>
      <c r="E2432">
        <v>2015</v>
      </c>
      <c r="F2432" t="s">
        <v>30</v>
      </c>
      <c r="G2432">
        <v>25474</v>
      </c>
      <c r="H2432">
        <v>24359</v>
      </c>
      <c r="I2432">
        <v>25344</v>
      </c>
      <c r="J2432">
        <v>21367</v>
      </c>
      <c r="K2432">
        <v>18275</v>
      </c>
      <c r="L2432">
        <v>24343</v>
      </c>
      <c r="M2432">
        <v>21788</v>
      </c>
    </row>
    <row r="2433" spans="4:19" x14ac:dyDescent="0.25">
      <c r="D2433" t="s">
        <v>78</v>
      </c>
      <c r="E2433">
        <v>2013</v>
      </c>
      <c r="F2433" t="s">
        <v>31</v>
      </c>
      <c r="S2433">
        <v>0.84353546471446494</v>
      </c>
    </row>
    <row r="2434" spans="4:19" x14ac:dyDescent="0.25">
      <c r="D2434" t="s">
        <v>78</v>
      </c>
      <c r="E2434">
        <v>2014</v>
      </c>
      <c r="F2434" t="s">
        <v>31</v>
      </c>
      <c r="S2434">
        <v>0.91351665876470844</v>
      </c>
    </row>
    <row r="2435" spans="4:19" x14ac:dyDescent="0.25">
      <c r="D2435" t="s">
        <v>78</v>
      </c>
      <c r="E2435">
        <v>2015</v>
      </c>
      <c r="F2435" t="s">
        <v>31</v>
      </c>
      <c r="S2435">
        <v>0.89688584408545069</v>
      </c>
    </row>
    <row r="2436" spans="4:19" x14ac:dyDescent="0.25">
      <c r="D2436" t="s">
        <v>78</v>
      </c>
      <c r="E2436">
        <v>2013</v>
      </c>
      <c r="F2436" t="s">
        <v>32</v>
      </c>
      <c r="G2436">
        <v>0.72982585557341206</v>
      </c>
      <c r="H2436">
        <v>0.76930765838600612</v>
      </c>
      <c r="I2436">
        <v>0.86981510190191702</v>
      </c>
      <c r="J2436">
        <v>0.8904109589041096</v>
      </c>
      <c r="K2436">
        <v>0.87262357414448666</v>
      </c>
      <c r="L2436">
        <v>0.90011123470522802</v>
      </c>
      <c r="M2436">
        <v>0.96388711734693877</v>
      </c>
      <c r="N2436">
        <v>0.9771272974812798</v>
      </c>
      <c r="O2436">
        <v>0.94275704907996327</v>
      </c>
      <c r="P2436">
        <v>0.9647909684247663</v>
      </c>
      <c r="Q2436">
        <v>0.93935747804115033</v>
      </c>
      <c r="R2436">
        <v>0.94359261331841071</v>
      </c>
    </row>
    <row r="2437" spans="4:19" x14ac:dyDescent="0.25">
      <c r="D2437" t="s">
        <v>78</v>
      </c>
      <c r="E2437">
        <v>2014</v>
      </c>
      <c r="F2437" t="s">
        <v>32</v>
      </c>
      <c r="G2437">
        <v>0.90076404494382023</v>
      </c>
      <c r="H2437">
        <v>0.90095238095238095</v>
      </c>
      <c r="I2437">
        <v>0.93859428667169309</v>
      </c>
      <c r="J2437">
        <v>0.93793273986152326</v>
      </c>
      <c r="K2437">
        <v>0.898923956598082</v>
      </c>
      <c r="L2437">
        <v>0.93061052631578944</v>
      </c>
      <c r="M2437">
        <v>0.89664567914871685</v>
      </c>
      <c r="N2437">
        <v>0.91787771949436758</v>
      </c>
      <c r="O2437">
        <v>0.92173176855257777</v>
      </c>
      <c r="P2437">
        <v>0.91868434647838815</v>
      </c>
      <c r="Q2437">
        <v>0.93510854287052947</v>
      </c>
      <c r="R2437">
        <v>0.92745135084073305</v>
      </c>
    </row>
    <row r="2438" spans="4:19" x14ac:dyDescent="0.25">
      <c r="D2438" t="s">
        <v>78</v>
      </c>
      <c r="E2438">
        <v>2015</v>
      </c>
      <c r="F2438" t="s">
        <v>32</v>
      </c>
      <c r="G2438">
        <v>0.92394615657102375</v>
      </c>
      <c r="H2438">
        <v>0.90709186784804674</v>
      </c>
      <c r="I2438">
        <v>0.88768632284404725</v>
      </c>
      <c r="J2438">
        <v>0.88298960286347372</v>
      </c>
      <c r="K2438">
        <v>0.91035274972478819</v>
      </c>
      <c r="L2438">
        <v>0.90824099722991691</v>
      </c>
      <c r="M2438">
        <v>0.85693826788271654</v>
      </c>
    </row>
    <row r="2439" spans="4:19" x14ac:dyDescent="0.25">
      <c r="D2439" t="s">
        <v>78</v>
      </c>
      <c r="E2439">
        <v>2013</v>
      </c>
      <c r="F2439" t="s">
        <v>33</v>
      </c>
      <c r="S2439">
        <v>0.84421696934324042</v>
      </c>
    </row>
    <row r="2440" spans="4:19" x14ac:dyDescent="0.25">
      <c r="D2440" t="s">
        <v>78</v>
      </c>
      <c r="E2440">
        <v>2014</v>
      </c>
      <c r="F2440" t="s">
        <v>33</v>
      </c>
      <c r="S2440">
        <v>0.88918515094230599</v>
      </c>
    </row>
    <row r="2441" spans="4:19" x14ac:dyDescent="0.25">
      <c r="D2441" t="s">
        <v>78</v>
      </c>
      <c r="E2441">
        <v>2015</v>
      </c>
      <c r="F2441" t="s">
        <v>33</v>
      </c>
      <c r="S2441">
        <v>0.90617718219071686</v>
      </c>
    </row>
    <row r="2442" spans="4:19" x14ac:dyDescent="0.25">
      <c r="D2442" t="s">
        <v>78</v>
      </c>
      <c r="E2442">
        <v>2013</v>
      </c>
      <c r="F2442" t="s">
        <v>34</v>
      </c>
      <c r="G2442">
        <v>0.69239321450346092</v>
      </c>
      <c r="H2442">
        <v>0.72239516572056395</v>
      </c>
      <c r="I2442">
        <v>0.90605427974947805</v>
      </c>
      <c r="J2442">
        <v>0.92287384499339997</v>
      </c>
      <c r="K2442">
        <v>0.89607403252944473</v>
      </c>
      <c r="L2442">
        <v>0.94678377680185999</v>
      </c>
      <c r="M2442">
        <v>0.96410891089108908</v>
      </c>
      <c r="N2442">
        <v>0.96433121019108281</v>
      </c>
      <c r="O2442">
        <v>0.91233461818939476</v>
      </c>
      <c r="P2442">
        <v>0.94923186488961242</v>
      </c>
      <c r="Q2442">
        <v>0.90973673213539485</v>
      </c>
      <c r="R2442">
        <v>0.91440217391304346</v>
      </c>
    </row>
    <row r="2443" spans="4:19" x14ac:dyDescent="0.25">
      <c r="D2443" t="s">
        <v>78</v>
      </c>
      <c r="E2443">
        <v>2014</v>
      </c>
      <c r="F2443" t="s">
        <v>34</v>
      </c>
      <c r="G2443">
        <v>0.854641211323239</v>
      </c>
      <c r="H2443">
        <v>0.8553785236164797</v>
      </c>
      <c r="I2443">
        <v>0.90933828076685219</v>
      </c>
      <c r="J2443">
        <v>0.91055413672269403</v>
      </c>
      <c r="K2443">
        <v>0.85300857722778756</v>
      </c>
      <c r="L2443">
        <v>0.92665999332666005</v>
      </c>
      <c r="M2443">
        <v>0.94753153153153158</v>
      </c>
      <c r="N2443">
        <v>0.97203221058100264</v>
      </c>
      <c r="O2443">
        <v>0.93369956431142265</v>
      </c>
      <c r="P2443">
        <v>0.93910110902133737</v>
      </c>
      <c r="Q2443">
        <v>0.95649542256185216</v>
      </c>
      <c r="R2443">
        <v>0.94827940069781758</v>
      </c>
    </row>
    <row r="2444" spans="4:19" x14ac:dyDescent="0.25">
      <c r="D2444" t="s">
        <v>78</v>
      </c>
      <c r="E2444">
        <v>2015</v>
      </c>
      <c r="F2444" t="s">
        <v>34</v>
      </c>
      <c r="G2444">
        <v>0.93772157882297325</v>
      </c>
      <c r="H2444">
        <v>0.91340734415029889</v>
      </c>
      <c r="I2444">
        <v>0.90464904284412029</v>
      </c>
      <c r="J2444">
        <v>0.88775092175337977</v>
      </c>
      <c r="K2444">
        <v>0.92971127440065315</v>
      </c>
      <c r="L2444">
        <v>0.92955662108565673</v>
      </c>
      <c r="M2444">
        <v>0.83903320251666358</v>
      </c>
    </row>
    <row r="2445" spans="4:19" x14ac:dyDescent="0.25">
      <c r="D2445" t="s">
        <v>79</v>
      </c>
      <c r="E2445">
        <v>2013</v>
      </c>
      <c r="F2445" t="s">
        <v>17</v>
      </c>
      <c r="S2445">
        <v>0.88472930722395915</v>
      </c>
    </row>
    <row r="2446" spans="4:19" x14ac:dyDescent="0.25">
      <c r="D2446" t="s">
        <v>79</v>
      </c>
      <c r="E2446">
        <v>2014</v>
      </c>
      <c r="F2446" t="s">
        <v>17</v>
      </c>
      <c r="S2446">
        <v>0.87833074328165861</v>
      </c>
    </row>
    <row r="2447" spans="4:19" x14ac:dyDescent="0.25">
      <c r="D2447" t="s">
        <v>79</v>
      </c>
      <c r="E2447">
        <v>2015</v>
      </c>
      <c r="F2447" t="s">
        <v>17</v>
      </c>
      <c r="S2447">
        <v>0.89079908199457547</v>
      </c>
    </row>
    <row r="2448" spans="4:19" x14ac:dyDescent="0.25">
      <c r="D2448" t="s">
        <v>79</v>
      </c>
      <c r="E2448">
        <v>2013</v>
      </c>
      <c r="F2448" t="s">
        <v>18</v>
      </c>
      <c r="G2448">
        <v>0.89620563035495715</v>
      </c>
      <c r="H2448">
        <v>0.88555722138930537</v>
      </c>
      <c r="I2448">
        <v>0.71761006289308171</v>
      </c>
      <c r="J2448">
        <v>0.89972569338616271</v>
      </c>
      <c r="K2448">
        <v>0.93042452830188682</v>
      </c>
      <c r="L2448">
        <v>0.92835178351783521</v>
      </c>
      <c r="M2448">
        <v>0.92811296534017973</v>
      </c>
      <c r="N2448">
        <v>0.91477688368690568</v>
      </c>
      <c r="O2448">
        <v>0.90859357191702761</v>
      </c>
      <c r="P2448">
        <v>0.92597336065573765</v>
      </c>
      <c r="Q2448">
        <v>0.90847265514310005</v>
      </c>
      <c r="R2448">
        <v>0.88321167883211682</v>
      </c>
    </row>
    <row r="2449" spans="4:19" x14ac:dyDescent="0.25">
      <c r="D2449" t="s">
        <v>79</v>
      </c>
      <c r="E2449">
        <v>2014</v>
      </c>
      <c r="F2449" t="s">
        <v>18</v>
      </c>
      <c r="G2449">
        <v>0.86173500927261493</v>
      </c>
      <c r="H2449">
        <v>0.90326914464845498</v>
      </c>
      <c r="I2449">
        <v>0.85459411239964322</v>
      </c>
      <c r="J2449">
        <v>0.87700680272108844</v>
      </c>
      <c r="K2449">
        <v>0.87003841229193346</v>
      </c>
      <c r="L2449">
        <v>0.89209498046287949</v>
      </c>
      <c r="M2449">
        <v>0.88783216783216778</v>
      </c>
      <c r="N2449">
        <v>0.86358939028591108</v>
      </c>
      <c r="O2449">
        <v>0.87331189710610935</v>
      </c>
      <c r="P2449">
        <v>0.84887869520897041</v>
      </c>
      <c r="Q2449">
        <v>0.86977886977886976</v>
      </c>
      <c r="R2449">
        <v>0.88529975362715574</v>
      </c>
    </row>
    <row r="2450" spans="4:19" x14ac:dyDescent="0.25">
      <c r="D2450" t="s">
        <v>79</v>
      </c>
      <c r="E2450">
        <v>2015</v>
      </c>
      <c r="F2450" t="s">
        <v>18</v>
      </c>
      <c r="G2450">
        <v>0.87367405978784951</v>
      </c>
      <c r="H2450">
        <v>0.87298946200776484</v>
      </c>
      <c r="I2450">
        <v>0.86025903203817311</v>
      </c>
      <c r="J2450">
        <v>0.86088644451633778</v>
      </c>
      <c r="K2450">
        <v>0.85443490701001434</v>
      </c>
      <c r="L2450">
        <v>0.95502156500308066</v>
      </c>
      <c r="M2450">
        <v>0.98617855808741128</v>
      </c>
    </row>
    <row r="2451" spans="4:19" x14ac:dyDescent="0.25">
      <c r="D2451" t="s">
        <v>79</v>
      </c>
      <c r="E2451">
        <v>2013</v>
      </c>
      <c r="F2451" t="s">
        <v>19</v>
      </c>
      <c r="S2451">
        <v>0.67120186130499704</v>
      </c>
    </row>
    <row r="2452" spans="4:19" x14ac:dyDescent="0.25">
      <c r="D2452" t="s">
        <v>79</v>
      </c>
      <c r="E2452">
        <v>2014</v>
      </c>
      <c r="F2452" t="s">
        <v>19</v>
      </c>
      <c r="S2452">
        <v>0.86793264955909588</v>
      </c>
    </row>
    <row r="2453" spans="4:19" x14ac:dyDescent="0.25">
      <c r="D2453" t="s">
        <v>79</v>
      </c>
      <c r="E2453">
        <v>2015</v>
      </c>
      <c r="F2453" t="s">
        <v>19</v>
      </c>
      <c r="S2453">
        <v>0.99799025218573512</v>
      </c>
    </row>
    <row r="2454" spans="4:19" x14ac:dyDescent="0.25">
      <c r="D2454" t="s">
        <v>79</v>
      </c>
      <c r="E2454">
        <v>2013</v>
      </c>
      <c r="F2454" t="s">
        <v>20</v>
      </c>
      <c r="G2454">
        <v>0.6584423943359794</v>
      </c>
      <c r="H2454">
        <v>0.6539906344877271</v>
      </c>
      <c r="I2454">
        <v>0.53486982501067004</v>
      </c>
      <c r="J2454">
        <v>0.70949227373068435</v>
      </c>
      <c r="K2454">
        <v>0.63903179969621249</v>
      </c>
      <c r="L2454">
        <v>0.86568817502076989</v>
      </c>
      <c r="M2454">
        <v>0.68125263601855757</v>
      </c>
      <c r="N2454">
        <v>0.62417411581811111</v>
      </c>
      <c r="O2454">
        <v>0.72773916524143956</v>
      </c>
      <c r="P2454">
        <v>0.93081708137188968</v>
      </c>
      <c r="Q2454">
        <v>0.72242591554156066</v>
      </c>
      <c r="R2454">
        <v>0.97529339098208767</v>
      </c>
    </row>
    <row r="2455" spans="4:19" x14ac:dyDescent="0.25">
      <c r="D2455" t="s">
        <v>79</v>
      </c>
      <c r="E2455">
        <v>2014</v>
      </c>
      <c r="F2455" t="s">
        <v>20</v>
      </c>
      <c r="G2455">
        <v>0.85673460415161884</v>
      </c>
      <c r="H2455">
        <v>0.91296525357022373</v>
      </c>
      <c r="I2455">
        <v>0.72609537041631522</v>
      </c>
      <c r="J2455">
        <v>0.76919847328244273</v>
      </c>
      <c r="K2455">
        <v>0.80650948231676067</v>
      </c>
      <c r="L2455">
        <v>0.9882352941176471</v>
      </c>
      <c r="M2455">
        <v>0.99750221577632747</v>
      </c>
      <c r="N2455">
        <v>0.99638812963686063</v>
      </c>
      <c r="O2455">
        <v>0.96466641818859489</v>
      </c>
      <c r="P2455">
        <v>0.99738463743192896</v>
      </c>
      <c r="Q2455">
        <v>0.99896698319361121</v>
      </c>
      <c r="R2455">
        <v>0.99708331734274858</v>
      </c>
    </row>
    <row r="2456" spans="4:19" x14ac:dyDescent="0.25">
      <c r="D2456" t="s">
        <v>79</v>
      </c>
      <c r="E2456">
        <v>2015</v>
      </c>
      <c r="F2456" t="s">
        <v>20</v>
      </c>
      <c r="G2456">
        <v>0.99911744118810675</v>
      </c>
      <c r="H2456">
        <v>0.99761401861847765</v>
      </c>
      <c r="I2456">
        <v>0.99869191478759189</v>
      </c>
      <c r="J2456">
        <v>0.99787026355488506</v>
      </c>
      <c r="K2456">
        <v>0.99628270061800106</v>
      </c>
      <c r="L2456">
        <v>0.99678768862991185</v>
      </c>
      <c r="M2456">
        <v>0.99886772615148212</v>
      </c>
    </row>
    <row r="2457" spans="4:19" x14ac:dyDescent="0.25">
      <c r="D2457" t="s">
        <v>79</v>
      </c>
      <c r="E2457">
        <v>2013</v>
      </c>
      <c r="F2457" t="s">
        <v>21</v>
      </c>
      <c r="S2457">
        <v>0.90829844583357233</v>
      </c>
    </row>
    <row r="2458" spans="4:19" x14ac:dyDescent="0.25">
      <c r="D2458" t="s">
        <v>79</v>
      </c>
      <c r="E2458">
        <v>2014</v>
      </c>
      <c r="F2458" t="s">
        <v>21</v>
      </c>
      <c r="S2458">
        <v>0.88576859932601748</v>
      </c>
    </row>
    <row r="2459" spans="4:19" x14ac:dyDescent="0.25">
      <c r="D2459" t="s">
        <v>79</v>
      </c>
      <c r="E2459">
        <v>2015</v>
      </c>
      <c r="F2459" t="s">
        <v>21</v>
      </c>
      <c r="S2459">
        <v>0.99838119098092115</v>
      </c>
    </row>
    <row r="2460" spans="4:19" x14ac:dyDescent="0.25">
      <c r="D2460" t="s">
        <v>79</v>
      </c>
      <c r="E2460">
        <v>2013</v>
      </c>
      <c r="F2460" t="s">
        <v>22</v>
      </c>
      <c r="G2460">
        <v>0.77458884230893266</v>
      </c>
      <c r="H2460">
        <v>0.94798249878463781</v>
      </c>
      <c r="I2460">
        <v>0.92360515021459233</v>
      </c>
      <c r="J2460">
        <v>0.93922204213938409</v>
      </c>
      <c r="K2460">
        <v>0.91197916666666667</v>
      </c>
      <c r="L2460">
        <v>0.95351707116412998</v>
      </c>
      <c r="M2460">
        <v>0.9415335463258786</v>
      </c>
      <c r="N2460">
        <v>0.93816829381682942</v>
      </c>
      <c r="O2460">
        <v>0.96778523489932888</v>
      </c>
      <c r="P2460">
        <v>0.98515151515151511</v>
      </c>
      <c r="Q2460">
        <v>0.94243232939382382</v>
      </c>
      <c r="R2460">
        <v>0.9969457877322474</v>
      </c>
    </row>
    <row r="2461" spans="4:19" x14ac:dyDescent="0.25">
      <c r="D2461" t="s">
        <v>79</v>
      </c>
      <c r="E2461">
        <v>2014</v>
      </c>
      <c r="F2461" t="s">
        <v>22</v>
      </c>
      <c r="G2461">
        <v>0.98359161349134006</v>
      </c>
      <c r="H2461">
        <v>0.97301349325337327</v>
      </c>
      <c r="I2461">
        <v>0.94912217843067004</v>
      </c>
      <c r="J2461">
        <v>0.71160077770576802</v>
      </c>
      <c r="K2461">
        <v>0.72193380921479555</v>
      </c>
      <c r="L2461">
        <v>0.94956683168316836</v>
      </c>
      <c r="M2461">
        <v>0.8669554455445545</v>
      </c>
      <c r="N2461">
        <v>0.96728971962616828</v>
      </c>
      <c r="O2461">
        <v>0.94927312094030314</v>
      </c>
      <c r="P2461">
        <v>0.97448836557331087</v>
      </c>
      <c r="Q2461">
        <v>0.98372566114501603</v>
      </c>
      <c r="R2461">
        <v>0.9922519370157461</v>
      </c>
    </row>
    <row r="2462" spans="4:19" x14ac:dyDescent="0.25">
      <c r="D2462" t="s">
        <v>79</v>
      </c>
      <c r="E2462">
        <v>2015</v>
      </c>
      <c r="F2462" t="s">
        <v>22</v>
      </c>
      <c r="G2462">
        <v>0.9992316557817903</v>
      </c>
      <c r="H2462">
        <v>0.99789283564118003</v>
      </c>
      <c r="I2462">
        <v>0.99733009708737863</v>
      </c>
      <c r="J2462">
        <v>0.99745690873128001</v>
      </c>
      <c r="K2462">
        <v>0.99858507251503359</v>
      </c>
      <c r="L2462">
        <v>0.99868524848803575</v>
      </c>
      <c r="M2462">
        <v>0.9993606138107417</v>
      </c>
    </row>
    <row r="2463" spans="4:19" x14ac:dyDescent="0.25">
      <c r="D2463" t="s">
        <v>79</v>
      </c>
      <c r="E2463">
        <v>2013</v>
      </c>
      <c r="F2463" t="s">
        <v>23</v>
      </c>
      <c r="S2463">
        <v>39216</v>
      </c>
    </row>
    <row r="2464" spans="4:19" x14ac:dyDescent="0.25">
      <c r="D2464" t="s">
        <v>79</v>
      </c>
      <c r="E2464">
        <v>2014</v>
      </c>
      <c r="F2464" t="s">
        <v>23</v>
      </c>
      <c r="S2464">
        <v>52422</v>
      </c>
    </row>
    <row r="2465" spans="4:19" x14ac:dyDescent="0.25">
      <c r="D2465" t="s">
        <v>79</v>
      </c>
      <c r="E2465">
        <v>2015</v>
      </c>
      <c r="F2465" t="s">
        <v>23</v>
      </c>
      <c r="S2465">
        <v>45984</v>
      </c>
    </row>
    <row r="2466" spans="4:19" x14ac:dyDescent="0.25">
      <c r="D2466" t="s">
        <v>79</v>
      </c>
      <c r="E2466">
        <v>2013</v>
      </c>
      <c r="F2466" t="s">
        <v>24</v>
      </c>
      <c r="G2466">
        <v>10270</v>
      </c>
      <c r="H2466">
        <v>10262</v>
      </c>
      <c r="J2466">
        <v>6829</v>
      </c>
      <c r="L2466">
        <v>5530</v>
      </c>
      <c r="M2466">
        <v>6325</v>
      </c>
      <c r="N2466">
        <v>6514</v>
      </c>
      <c r="O2466">
        <v>8065</v>
      </c>
      <c r="P2466">
        <v>7465</v>
      </c>
      <c r="Q2466">
        <v>6607</v>
      </c>
      <c r="R2466">
        <v>7330</v>
      </c>
    </row>
    <row r="2467" spans="4:19" x14ac:dyDescent="0.25">
      <c r="D2467" t="s">
        <v>79</v>
      </c>
      <c r="E2467">
        <v>2014</v>
      </c>
      <c r="F2467" t="s">
        <v>24</v>
      </c>
      <c r="G2467">
        <v>9167</v>
      </c>
      <c r="H2467">
        <v>9325</v>
      </c>
      <c r="I2467">
        <v>7169</v>
      </c>
      <c r="J2467">
        <v>6942</v>
      </c>
      <c r="K2467">
        <v>6318</v>
      </c>
      <c r="L2467">
        <v>6219</v>
      </c>
      <c r="M2467">
        <v>7282</v>
      </c>
      <c r="N2467">
        <v>6895</v>
      </c>
      <c r="O2467">
        <v>9289</v>
      </c>
      <c r="P2467">
        <v>7386</v>
      </c>
      <c r="Q2467">
        <v>6047</v>
      </c>
      <c r="R2467">
        <v>6387</v>
      </c>
    </row>
    <row r="2468" spans="4:19" x14ac:dyDescent="0.25">
      <c r="D2468" t="s">
        <v>79</v>
      </c>
      <c r="E2468">
        <v>2015</v>
      </c>
      <c r="F2468" t="s">
        <v>24</v>
      </c>
      <c r="G2468">
        <v>6839</v>
      </c>
      <c r="H2468">
        <v>7501</v>
      </c>
      <c r="I2468">
        <v>6835</v>
      </c>
      <c r="J2468">
        <v>6215</v>
      </c>
      <c r="K2468">
        <v>5393</v>
      </c>
      <c r="L2468">
        <v>6576</v>
      </c>
      <c r="M2468">
        <v>6625</v>
      </c>
    </row>
    <row r="2469" spans="4:19" x14ac:dyDescent="0.25">
      <c r="D2469" t="s">
        <v>79</v>
      </c>
      <c r="E2469">
        <v>2013</v>
      </c>
      <c r="F2469" t="s">
        <v>25</v>
      </c>
      <c r="S2469">
        <v>136716</v>
      </c>
    </row>
    <row r="2470" spans="4:19" x14ac:dyDescent="0.25">
      <c r="D2470" t="s">
        <v>79</v>
      </c>
      <c r="E2470">
        <v>2014</v>
      </c>
      <c r="F2470" t="s">
        <v>25</v>
      </c>
      <c r="S2470">
        <v>143088</v>
      </c>
    </row>
    <row r="2471" spans="4:19" x14ac:dyDescent="0.25">
      <c r="D2471" t="s">
        <v>79</v>
      </c>
      <c r="E2471">
        <v>2015</v>
      </c>
      <c r="F2471" t="s">
        <v>25</v>
      </c>
      <c r="S2471">
        <v>154711</v>
      </c>
    </row>
    <row r="2472" spans="4:19" x14ac:dyDescent="0.25">
      <c r="D2472" t="s">
        <v>79</v>
      </c>
      <c r="E2472">
        <v>2013</v>
      </c>
      <c r="F2472" t="s">
        <v>26</v>
      </c>
      <c r="G2472">
        <v>24273</v>
      </c>
      <c r="H2472">
        <v>19263</v>
      </c>
      <c r="I2472">
        <v>18442</v>
      </c>
      <c r="J2472">
        <v>19399</v>
      </c>
      <c r="K2472">
        <v>19352</v>
      </c>
      <c r="L2472">
        <v>17410</v>
      </c>
      <c r="M2472">
        <v>18577</v>
      </c>
      <c r="N2472">
        <v>15003</v>
      </c>
      <c r="O2472">
        <v>26486</v>
      </c>
      <c r="P2472">
        <v>22418</v>
      </c>
      <c r="Q2472">
        <v>20169</v>
      </c>
      <c r="R2472">
        <v>21034</v>
      </c>
    </row>
    <row r="2473" spans="4:19" x14ac:dyDescent="0.25">
      <c r="D2473" t="s">
        <v>79</v>
      </c>
      <c r="E2473">
        <v>2014</v>
      </c>
      <c r="F2473" t="s">
        <v>26</v>
      </c>
      <c r="G2473">
        <v>25673</v>
      </c>
      <c r="H2473">
        <v>21352</v>
      </c>
      <c r="I2473">
        <v>18129</v>
      </c>
      <c r="J2473">
        <v>21783</v>
      </c>
      <c r="K2473">
        <v>17349</v>
      </c>
      <c r="L2473">
        <v>18934</v>
      </c>
      <c r="M2473">
        <v>19868</v>
      </c>
      <c r="N2473">
        <v>18789</v>
      </c>
      <c r="O2473">
        <v>23644</v>
      </c>
      <c r="P2473">
        <v>23125</v>
      </c>
      <c r="Q2473">
        <v>22484</v>
      </c>
      <c r="R2473">
        <v>25622</v>
      </c>
    </row>
    <row r="2474" spans="4:19" x14ac:dyDescent="0.25">
      <c r="D2474" t="s">
        <v>79</v>
      </c>
      <c r="E2474">
        <v>2015</v>
      </c>
      <c r="F2474" t="s">
        <v>26</v>
      </c>
      <c r="G2474">
        <v>25238</v>
      </c>
      <c r="H2474">
        <v>20346</v>
      </c>
      <c r="I2474">
        <v>25001</v>
      </c>
      <c r="J2474">
        <v>23886</v>
      </c>
      <c r="K2474">
        <v>17344</v>
      </c>
      <c r="L2474">
        <v>21865</v>
      </c>
      <c r="M2474">
        <v>21031</v>
      </c>
    </row>
    <row r="2475" spans="4:19" x14ac:dyDescent="0.25">
      <c r="D2475" t="s">
        <v>79</v>
      </c>
      <c r="E2475">
        <v>2013</v>
      </c>
      <c r="F2475" t="s">
        <v>27</v>
      </c>
      <c r="S2475">
        <v>222684</v>
      </c>
    </row>
    <row r="2476" spans="4:19" x14ac:dyDescent="0.25">
      <c r="D2476" t="s">
        <v>79</v>
      </c>
      <c r="E2476">
        <v>2014</v>
      </c>
      <c r="F2476" t="s">
        <v>27</v>
      </c>
      <c r="S2476">
        <v>230297</v>
      </c>
    </row>
    <row r="2477" spans="4:19" x14ac:dyDescent="0.25">
      <c r="D2477" t="s">
        <v>79</v>
      </c>
      <c r="E2477">
        <v>2015</v>
      </c>
      <c r="F2477" t="s">
        <v>27</v>
      </c>
      <c r="S2477">
        <v>248992</v>
      </c>
    </row>
    <row r="2478" spans="4:19" x14ac:dyDescent="0.25">
      <c r="D2478" t="s">
        <v>79</v>
      </c>
      <c r="E2478">
        <v>2013</v>
      </c>
      <c r="F2478" t="s">
        <v>28</v>
      </c>
      <c r="G2478">
        <v>38990</v>
      </c>
      <c r="H2478">
        <v>32261</v>
      </c>
      <c r="I2478">
        <v>30917</v>
      </c>
      <c r="J2478">
        <v>31195</v>
      </c>
      <c r="K2478">
        <v>30265</v>
      </c>
      <c r="L2478">
        <v>28782</v>
      </c>
      <c r="M2478">
        <v>30274</v>
      </c>
      <c r="N2478">
        <v>24936</v>
      </c>
      <c r="O2478">
        <v>41101</v>
      </c>
      <c r="P2478">
        <v>38117</v>
      </c>
      <c r="Q2478">
        <v>33067</v>
      </c>
      <c r="R2478">
        <v>35974</v>
      </c>
    </row>
    <row r="2479" spans="4:19" x14ac:dyDescent="0.25">
      <c r="D2479" t="s">
        <v>79</v>
      </c>
      <c r="E2479">
        <v>2014</v>
      </c>
      <c r="F2479" t="s">
        <v>28</v>
      </c>
      <c r="G2479">
        <v>42205</v>
      </c>
      <c r="H2479">
        <v>35289</v>
      </c>
      <c r="I2479">
        <v>29614</v>
      </c>
      <c r="J2479">
        <v>33852</v>
      </c>
      <c r="K2479">
        <v>27751</v>
      </c>
      <c r="L2479">
        <v>30289</v>
      </c>
      <c r="M2479">
        <v>31297</v>
      </c>
      <c r="N2479">
        <v>29368</v>
      </c>
      <c r="O2479">
        <v>38227</v>
      </c>
      <c r="P2479">
        <v>37281</v>
      </c>
      <c r="Q2479">
        <v>35777</v>
      </c>
      <c r="R2479">
        <v>39662</v>
      </c>
    </row>
    <row r="2480" spans="4:19" x14ac:dyDescent="0.25">
      <c r="D2480" t="s">
        <v>79</v>
      </c>
      <c r="E2480">
        <v>2015</v>
      </c>
      <c r="F2480" t="s">
        <v>28</v>
      </c>
      <c r="G2480">
        <v>40336</v>
      </c>
      <c r="H2480">
        <v>33799</v>
      </c>
      <c r="I2480">
        <v>40808</v>
      </c>
      <c r="J2480">
        <v>36240</v>
      </c>
      <c r="K2480">
        <v>27805</v>
      </c>
      <c r="L2480">
        <v>35914</v>
      </c>
      <c r="M2480">
        <v>34090</v>
      </c>
    </row>
    <row r="2481" spans="4:19" x14ac:dyDescent="0.25">
      <c r="D2481" t="s">
        <v>79</v>
      </c>
      <c r="E2481">
        <v>2013</v>
      </c>
      <c r="F2481" t="s">
        <v>29</v>
      </c>
      <c r="S2481">
        <v>24308</v>
      </c>
    </row>
    <row r="2482" spans="4:19" x14ac:dyDescent="0.25">
      <c r="D2482" t="s">
        <v>79</v>
      </c>
      <c r="E2482">
        <v>2014</v>
      </c>
      <c r="F2482" t="s">
        <v>29</v>
      </c>
      <c r="S2482">
        <v>26383</v>
      </c>
    </row>
    <row r="2483" spans="4:19" x14ac:dyDescent="0.25">
      <c r="D2483" t="s">
        <v>79</v>
      </c>
      <c r="E2483">
        <v>2015</v>
      </c>
      <c r="F2483" t="s">
        <v>29</v>
      </c>
      <c r="S2483">
        <v>23965</v>
      </c>
    </row>
    <row r="2484" spans="4:19" x14ac:dyDescent="0.25">
      <c r="D2484" t="s">
        <v>79</v>
      </c>
      <c r="E2484">
        <v>2013</v>
      </c>
      <c r="F2484" t="s">
        <v>30</v>
      </c>
      <c r="G2484">
        <v>4085</v>
      </c>
      <c r="H2484">
        <v>4002</v>
      </c>
      <c r="I2484">
        <v>3180</v>
      </c>
      <c r="J2484">
        <v>3281</v>
      </c>
      <c r="K2484">
        <v>3392</v>
      </c>
      <c r="L2484">
        <v>3252</v>
      </c>
      <c r="M2484">
        <v>3116</v>
      </c>
      <c r="N2484">
        <v>2734</v>
      </c>
      <c r="O2484">
        <v>4387</v>
      </c>
      <c r="P2484">
        <v>3904</v>
      </c>
      <c r="Q2484">
        <v>3529</v>
      </c>
      <c r="R2484">
        <v>3836</v>
      </c>
    </row>
    <row r="2485" spans="4:19" x14ac:dyDescent="0.25">
      <c r="D2485" t="s">
        <v>79</v>
      </c>
      <c r="E2485">
        <v>2014</v>
      </c>
      <c r="F2485" t="s">
        <v>30</v>
      </c>
      <c r="G2485">
        <v>4853</v>
      </c>
      <c r="H2485">
        <v>4466</v>
      </c>
      <c r="I2485">
        <v>3363</v>
      </c>
      <c r="J2485">
        <v>3675</v>
      </c>
      <c r="K2485">
        <v>3124</v>
      </c>
      <c r="L2485">
        <v>3327</v>
      </c>
      <c r="M2485">
        <v>3575</v>
      </c>
      <c r="N2485">
        <v>2903</v>
      </c>
      <c r="O2485">
        <v>4665</v>
      </c>
      <c r="P2485">
        <v>3924</v>
      </c>
      <c r="Q2485">
        <v>3663</v>
      </c>
      <c r="R2485">
        <v>3653</v>
      </c>
    </row>
    <row r="2486" spans="4:19" x14ac:dyDescent="0.25">
      <c r="D2486" t="s">
        <v>79</v>
      </c>
      <c r="E2486">
        <v>2015</v>
      </c>
      <c r="F2486" t="s">
        <v>30</v>
      </c>
      <c r="G2486">
        <v>4148</v>
      </c>
      <c r="H2486">
        <v>3606</v>
      </c>
      <c r="I2486">
        <v>4401</v>
      </c>
      <c r="J2486">
        <v>3091</v>
      </c>
      <c r="K2486">
        <v>2796</v>
      </c>
      <c r="L2486">
        <v>3246</v>
      </c>
      <c r="M2486">
        <v>2677</v>
      </c>
    </row>
    <row r="2487" spans="4:19" x14ac:dyDescent="0.25">
      <c r="D2487" t="s">
        <v>79</v>
      </c>
      <c r="E2487">
        <v>2013</v>
      </c>
      <c r="F2487" t="s">
        <v>31</v>
      </c>
      <c r="S2487">
        <v>0.82525805177957023</v>
      </c>
    </row>
    <row r="2488" spans="4:19" x14ac:dyDescent="0.25">
      <c r="D2488" t="s">
        <v>79</v>
      </c>
      <c r="E2488">
        <v>2014</v>
      </c>
      <c r="F2488" t="s">
        <v>31</v>
      </c>
      <c r="S2488">
        <v>0.90912212429895845</v>
      </c>
    </row>
    <row r="2489" spans="4:19" x14ac:dyDescent="0.25">
      <c r="D2489" t="s">
        <v>79</v>
      </c>
      <c r="E2489">
        <v>2015</v>
      </c>
      <c r="F2489" t="s">
        <v>31</v>
      </c>
      <c r="S2489">
        <v>0.90220511482254695</v>
      </c>
    </row>
    <row r="2490" spans="4:19" x14ac:dyDescent="0.25">
      <c r="D2490" t="s">
        <v>79</v>
      </c>
      <c r="E2490">
        <v>2013</v>
      </c>
      <c r="F2490" t="s">
        <v>32</v>
      </c>
      <c r="G2490">
        <v>0.69425511197663092</v>
      </c>
      <c r="H2490">
        <v>0.73231338920288447</v>
      </c>
      <c r="I2490">
        <v>0.88039056143205863</v>
      </c>
      <c r="J2490">
        <v>0.88709913603748713</v>
      </c>
      <c r="K2490">
        <v>0.85932999848415947</v>
      </c>
      <c r="L2490">
        <v>0.89258589511754072</v>
      </c>
      <c r="M2490">
        <v>0.96332015810276683</v>
      </c>
      <c r="N2490">
        <v>0.96607307338041137</v>
      </c>
      <c r="O2490">
        <v>0.92510849349039059</v>
      </c>
      <c r="P2490">
        <v>0.9513730743469524</v>
      </c>
      <c r="Q2490">
        <v>0.92069017708490997</v>
      </c>
      <c r="R2490">
        <v>0.92755798090040931</v>
      </c>
    </row>
    <row r="2491" spans="4:19" x14ac:dyDescent="0.25">
      <c r="D2491" t="s">
        <v>79</v>
      </c>
      <c r="E2491">
        <v>2014</v>
      </c>
      <c r="F2491" t="s">
        <v>32</v>
      </c>
      <c r="G2491">
        <v>0.87400458165157635</v>
      </c>
      <c r="H2491">
        <v>0.91292225201072386</v>
      </c>
      <c r="I2491">
        <v>0.93569535500069745</v>
      </c>
      <c r="J2491">
        <v>0.93503313166234514</v>
      </c>
      <c r="K2491">
        <v>0.89157961380183604</v>
      </c>
      <c r="L2491">
        <v>0.92426435118186201</v>
      </c>
      <c r="M2491">
        <v>0.89989014007140899</v>
      </c>
      <c r="N2491">
        <v>0.92095721537345898</v>
      </c>
      <c r="O2491">
        <v>0.92668747981483479</v>
      </c>
      <c r="P2491">
        <v>0.9248578391551584</v>
      </c>
      <c r="Q2491">
        <v>0.93848189184719699</v>
      </c>
      <c r="R2491">
        <v>0.93674651636135897</v>
      </c>
    </row>
    <row r="2492" spans="4:19" x14ac:dyDescent="0.25">
      <c r="D2492" t="s">
        <v>79</v>
      </c>
      <c r="E2492">
        <v>2015</v>
      </c>
      <c r="F2492" t="s">
        <v>32</v>
      </c>
      <c r="G2492">
        <v>0.92557391431495828</v>
      </c>
      <c r="H2492">
        <v>0.92481002532995604</v>
      </c>
      <c r="I2492">
        <v>0.89422092172640821</v>
      </c>
      <c r="J2492">
        <v>0.88028962188254223</v>
      </c>
      <c r="K2492">
        <v>0.90747264973113295</v>
      </c>
      <c r="L2492">
        <v>0.90891119221411187</v>
      </c>
      <c r="M2492">
        <v>0.87033962264150944</v>
      </c>
    </row>
    <row r="2493" spans="4:19" x14ac:dyDescent="0.25">
      <c r="D2493" t="s">
        <v>79</v>
      </c>
      <c r="E2493">
        <v>2013</v>
      </c>
      <c r="F2493" t="s">
        <v>33</v>
      </c>
      <c r="S2493">
        <v>0.78485891774567773</v>
      </c>
    </row>
    <row r="2494" spans="4:19" x14ac:dyDescent="0.25">
      <c r="D2494" t="s">
        <v>79</v>
      </c>
      <c r="E2494">
        <v>2014</v>
      </c>
      <c r="F2494" t="s">
        <v>33</v>
      </c>
      <c r="S2494">
        <v>0.88133218044664419</v>
      </c>
    </row>
    <row r="2495" spans="4:19" x14ac:dyDescent="0.25">
      <c r="D2495" t="s">
        <v>79</v>
      </c>
      <c r="E2495">
        <v>2015</v>
      </c>
      <c r="F2495" t="s">
        <v>33</v>
      </c>
      <c r="S2495">
        <v>0.92186207415206434</v>
      </c>
    </row>
    <row r="2496" spans="4:19" x14ac:dyDescent="0.25">
      <c r="D2496" t="s">
        <v>79</v>
      </c>
      <c r="E2496">
        <v>2013</v>
      </c>
      <c r="F2496" t="s">
        <v>34</v>
      </c>
      <c r="G2496">
        <v>0.62962962962962965</v>
      </c>
      <c r="H2496">
        <v>0.67712805329385639</v>
      </c>
      <c r="J2496">
        <v>0.90432363013698636</v>
      </c>
      <c r="L2496">
        <v>0.93864057127743983</v>
      </c>
      <c r="M2496">
        <v>0.95735048844412673</v>
      </c>
      <c r="N2496">
        <v>0.94675981691158761</v>
      </c>
      <c r="O2496">
        <v>0.89008189262966331</v>
      </c>
      <c r="P2496">
        <v>0.92932242990654201</v>
      </c>
      <c r="Q2496">
        <v>0.88090909090909086</v>
      </c>
      <c r="R2496">
        <v>0.88863255033557043</v>
      </c>
    </row>
    <row r="2497" spans="4:19" x14ac:dyDescent="0.25">
      <c r="D2497" t="s">
        <v>79</v>
      </c>
      <c r="E2497">
        <v>2014</v>
      </c>
      <c r="F2497" t="s">
        <v>34</v>
      </c>
      <c r="G2497">
        <v>0.8196439725171768</v>
      </c>
      <c r="H2497">
        <v>0.87141726049089474</v>
      </c>
      <c r="I2497">
        <v>0.90510498147385754</v>
      </c>
      <c r="J2497">
        <v>0.90487238979118334</v>
      </c>
      <c r="K2497">
        <v>0.84147188150890995</v>
      </c>
      <c r="L2497">
        <v>0.91866028708133973</v>
      </c>
      <c r="M2497">
        <v>0.96205557215416793</v>
      </c>
      <c r="N2497">
        <v>0.9891767792718924</v>
      </c>
      <c r="O2497">
        <v>0.94745180881964619</v>
      </c>
      <c r="P2497">
        <v>0.95871180842279113</v>
      </c>
      <c r="Q2497">
        <v>0.98516949152542377</v>
      </c>
      <c r="R2497">
        <v>0.9726027397260274</v>
      </c>
    </row>
    <row r="2498" spans="4:19" x14ac:dyDescent="0.25">
      <c r="D2498" t="s">
        <v>79</v>
      </c>
      <c r="E2498">
        <v>2015</v>
      </c>
      <c r="F2498" t="s">
        <v>34</v>
      </c>
      <c r="G2498">
        <v>0.96098343132014963</v>
      </c>
      <c r="H2498">
        <v>0.95015858631626637</v>
      </c>
      <c r="I2498">
        <v>0.91788579518640867</v>
      </c>
      <c r="J2498">
        <v>0.90254585272378862</v>
      </c>
      <c r="K2498">
        <v>0.90892531876138438</v>
      </c>
      <c r="L2498">
        <v>0.92931034482758623</v>
      </c>
      <c r="M2498">
        <v>0.87413148049171563</v>
      </c>
    </row>
    <row r="2499" spans="4:19" x14ac:dyDescent="0.25">
      <c r="D2499" t="s">
        <v>80</v>
      </c>
      <c r="E2499">
        <v>2013</v>
      </c>
      <c r="F2499" t="s">
        <v>17</v>
      </c>
      <c r="S2499">
        <v>0.89593823195276234</v>
      </c>
    </row>
    <row r="2500" spans="4:19" x14ac:dyDescent="0.25">
      <c r="D2500" t="s">
        <v>80</v>
      </c>
      <c r="E2500">
        <v>2014</v>
      </c>
      <c r="F2500" t="s">
        <v>17</v>
      </c>
      <c r="S2500">
        <v>0.89533676099137105</v>
      </c>
    </row>
    <row r="2501" spans="4:19" x14ac:dyDescent="0.25">
      <c r="D2501" t="s">
        <v>80</v>
      </c>
      <c r="E2501">
        <v>2015</v>
      </c>
      <c r="F2501" t="s">
        <v>17</v>
      </c>
      <c r="S2501">
        <v>0.90196546656869947</v>
      </c>
    </row>
    <row r="2502" spans="4:19" x14ac:dyDescent="0.25">
      <c r="D2502" t="s">
        <v>80</v>
      </c>
      <c r="E2502">
        <v>2013</v>
      </c>
      <c r="F2502" t="s">
        <v>18</v>
      </c>
      <c r="G2502">
        <v>0.85268581629341123</v>
      </c>
      <c r="H2502">
        <v>0.8953999546793564</v>
      </c>
      <c r="I2502">
        <v>0.91158460695972521</v>
      </c>
      <c r="J2502">
        <v>0.88250013309907893</v>
      </c>
      <c r="K2502">
        <v>0.85964075663646478</v>
      </c>
      <c r="L2502">
        <v>0.92930506993006989</v>
      </c>
      <c r="M2502">
        <v>0.95090230870047388</v>
      </c>
      <c r="N2502">
        <v>0.91539781256701691</v>
      </c>
      <c r="O2502">
        <v>0.90321145445720752</v>
      </c>
      <c r="P2502">
        <v>0.89709021902427455</v>
      </c>
      <c r="Q2502">
        <v>0.86593531842142757</v>
      </c>
      <c r="R2502">
        <v>0.85264580049538397</v>
      </c>
    </row>
    <row r="2503" spans="4:19" x14ac:dyDescent="0.25">
      <c r="D2503" t="s">
        <v>80</v>
      </c>
      <c r="E2503">
        <v>2014</v>
      </c>
      <c r="F2503" t="s">
        <v>18</v>
      </c>
      <c r="G2503">
        <v>0.84383996456780097</v>
      </c>
      <c r="H2503">
        <v>0.86593472573658703</v>
      </c>
      <c r="I2503">
        <v>0.91815598936852716</v>
      </c>
      <c r="J2503">
        <v>0.93067275863676624</v>
      </c>
      <c r="K2503">
        <v>0.91502237591537838</v>
      </c>
      <c r="L2503">
        <v>0.946615326107625</v>
      </c>
      <c r="M2503">
        <v>0.86567302351416409</v>
      </c>
      <c r="N2503">
        <v>0.89599009900990101</v>
      </c>
      <c r="O2503">
        <v>0.90630436295316963</v>
      </c>
      <c r="P2503">
        <v>0.88443619872191304</v>
      </c>
      <c r="Q2503">
        <v>0.90727057106367448</v>
      </c>
      <c r="R2503">
        <v>0.87688968137064893</v>
      </c>
    </row>
    <row r="2504" spans="4:19" x14ac:dyDescent="0.25">
      <c r="D2504" t="s">
        <v>80</v>
      </c>
      <c r="E2504">
        <v>2015</v>
      </c>
      <c r="F2504" t="s">
        <v>18</v>
      </c>
      <c r="G2504">
        <v>0.87600014885936517</v>
      </c>
      <c r="H2504">
        <v>0.89497660674710666</v>
      </c>
      <c r="I2504">
        <v>0.91646731244362523</v>
      </c>
      <c r="J2504">
        <v>0.92043754674644729</v>
      </c>
      <c r="K2504">
        <v>0.90779432661438875</v>
      </c>
      <c r="L2504">
        <v>0.92187833511205974</v>
      </c>
      <c r="M2504">
        <v>0.88113853992796276</v>
      </c>
    </row>
    <row r="2505" spans="4:19" x14ac:dyDescent="0.25">
      <c r="D2505" t="s">
        <v>80</v>
      </c>
      <c r="E2505">
        <v>2013</v>
      </c>
      <c r="F2505" t="s">
        <v>19</v>
      </c>
      <c r="S2505">
        <v>0.80928968046528671</v>
      </c>
    </row>
    <row r="2506" spans="4:19" x14ac:dyDescent="0.25">
      <c r="D2506" t="s">
        <v>80</v>
      </c>
      <c r="E2506">
        <v>2014</v>
      </c>
      <c r="F2506" t="s">
        <v>19</v>
      </c>
      <c r="S2506">
        <v>0.96993234055924504</v>
      </c>
    </row>
    <row r="2507" spans="4:19" x14ac:dyDescent="0.25">
      <c r="D2507" t="s">
        <v>80</v>
      </c>
      <c r="E2507">
        <v>2015</v>
      </c>
      <c r="F2507" t="s">
        <v>19</v>
      </c>
      <c r="S2507">
        <v>0.92560757486431589</v>
      </c>
    </row>
    <row r="2508" spans="4:19" x14ac:dyDescent="0.25">
      <c r="D2508" t="s">
        <v>80</v>
      </c>
      <c r="E2508">
        <v>2013</v>
      </c>
      <c r="F2508" t="s">
        <v>20</v>
      </c>
      <c r="G2508">
        <v>0.68741077801570305</v>
      </c>
      <c r="H2508">
        <v>0.93596134247544038</v>
      </c>
      <c r="I2508">
        <v>0.68674220140729936</v>
      </c>
      <c r="J2508">
        <v>0.72096344753407504</v>
      </c>
      <c r="K2508">
        <v>0.65200678349349916</v>
      </c>
      <c r="L2508">
        <v>0.97913578014825531</v>
      </c>
      <c r="M2508">
        <v>0.99007045183675479</v>
      </c>
      <c r="N2508">
        <v>0.99238030548443845</v>
      </c>
      <c r="O2508">
        <v>0.99390636471451965</v>
      </c>
      <c r="P2508">
        <v>0.9762204408228824</v>
      </c>
      <c r="Q2508">
        <v>0.99147914326658659</v>
      </c>
      <c r="R2508">
        <v>0.99471070883113277</v>
      </c>
    </row>
    <row r="2509" spans="4:19" x14ac:dyDescent="0.25">
      <c r="D2509" t="s">
        <v>80</v>
      </c>
      <c r="E2509">
        <v>2014</v>
      </c>
      <c r="F2509" t="s">
        <v>20</v>
      </c>
      <c r="G2509">
        <v>0.99640825035561875</v>
      </c>
      <c r="H2509">
        <v>0.99672280123817913</v>
      </c>
      <c r="I2509">
        <v>0.99463129008583551</v>
      </c>
      <c r="J2509">
        <v>0.9877075977507519</v>
      </c>
      <c r="K2509">
        <v>0.80857461766567817</v>
      </c>
      <c r="L2509">
        <v>0.97972229572580538</v>
      </c>
      <c r="M2509">
        <v>0.98762005857451629</v>
      </c>
      <c r="N2509">
        <v>0.86476713913798087</v>
      </c>
      <c r="O2509">
        <v>0.93334831544843344</v>
      </c>
      <c r="P2509">
        <v>0.9963748363317817</v>
      </c>
      <c r="Q2509">
        <v>0.99538268250840234</v>
      </c>
      <c r="R2509">
        <v>0.98944649618998648</v>
      </c>
    </row>
    <row r="2510" spans="4:19" x14ac:dyDescent="0.25">
      <c r="D2510" t="s">
        <v>80</v>
      </c>
      <c r="E2510">
        <v>2015</v>
      </c>
      <c r="F2510" t="s">
        <v>20</v>
      </c>
      <c r="G2510">
        <v>0.93574678975230063</v>
      </c>
      <c r="H2510">
        <v>0.93839614911921343</v>
      </c>
      <c r="I2510">
        <v>0.80700637863951286</v>
      </c>
      <c r="J2510">
        <v>0.97188280315007169</v>
      </c>
      <c r="K2510">
        <v>0.92268633770336883</v>
      </c>
      <c r="L2510">
        <v>0.95870461127199824</v>
      </c>
      <c r="M2510">
        <v>0.97535794681932975</v>
      </c>
    </row>
    <row r="2511" spans="4:19" x14ac:dyDescent="0.25">
      <c r="D2511" t="s">
        <v>80</v>
      </c>
      <c r="E2511">
        <v>2013</v>
      </c>
      <c r="F2511" t="s">
        <v>21</v>
      </c>
      <c r="S2511">
        <v>0.91676844113444611</v>
      </c>
    </row>
    <row r="2512" spans="4:19" x14ac:dyDescent="0.25">
      <c r="D2512" t="s">
        <v>80</v>
      </c>
      <c r="E2512">
        <v>2014</v>
      </c>
      <c r="F2512" t="s">
        <v>21</v>
      </c>
      <c r="S2512">
        <v>0.98760876189186442</v>
      </c>
    </row>
    <row r="2513" spans="4:19" x14ac:dyDescent="0.25">
      <c r="D2513" t="s">
        <v>80</v>
      </c>
      <c r="E2513">
        <v>2015</v>
      </c>
      <c r="F2513" t="s">
        <v>21</v>
      </c>
      <c r="S2513">
        <v>0.98332068390574479</v>
      </c>
    </row>
    <row r="2514" spans="4:19" x14ac:dyDescent="0.25">
      <c r="D2514" t="s">
        <v>80</v>
      </c>
      <c r="E2514">
        <v>2013</v>
      </c>
      <c r="F2514" t="s">
        <v>22</v>
      </c>
      <c r="G2514">
        <v>0.86173369242707809</v>
      </c>
      <c r="H2514">
        <v>0.88976476476476474</v>
      </c>
      <c r="I2514">
        <v>0.89877899877899881</v>
      </c>
      <c r="J2514">
        <v>0.91721266303349458</v>
      </c>
      <c r="K2514">
        <v>0.89688936652934503</v>
      </c>
      <c r="L2514">
        <v>0.96251464271768838</v>
      </c>
      <c r="M2514">
        <v>0.98864943247162362</v>
      </c>
      <c r="N2514">
        <v>0.94376387993409272</v>
      </c>
      <c r="O2514">
        <v>0.93449407014887709</v>
      </c>
      <c r="P2514">
        <v>0.96682236870825511</v>
      </c>
      <c r="Q2514">
        <v>0.93314002118998496</v>
      </c>
      <c r="R2514">
        <v>0.96796589524969545</v>
      </c>
    </row>
    <row r="2515" spans="4:19" x14ac:dyDescent="0.25">
      <c r="D2515" t="s">
        <v>80</v>
      </c>
      <c r="E2515">
        <v>2014</v>
      </c>
      <c r="F2515" t="s">
        <v>22</v>
      </c>
      <c r="G2515">
        <v>0.99715612061394332</v>
      </c>
      <c r="H2515">
        <v>0.99764011799410024</v>
      </c>
      <c r="I2515">
        <v>0.98696192052980136</v>
      </c>
      <c r="J2515">
        <v>0.96643469204185006</v>
      </c>
      <c r="K2515">
        <v>0.98365033516812905</v>
      </c>
      <c r="L2515">
        <v>0.99020195960807833</v>
      </c>
      <c r="M2515">
        <v>0.98956557044254978</v>
      </c>
      <c r="N2515">
        <v>0.98627708845560069</v>
      </c>
      <c r="O2515">
        <v>0.99057207457019747</v>
      </c>
      <c r="P2515">
        <v>0.99640894734564966</v>
      </c>
      <c r="Q2515">
        <v>0.99253322713923042</v>
      </c>
      <c r="R2515">
        <v>0.99530449630051221</v>
      </c>
    </row>
    <row r="2516" spans="4:19" x14ac:dyDescent="0.25">
      <c r="D2516" t="s">
        <v>80</v>
      </c>
      <c r="E2516">
        <v>2015</v>
      </c>
      <c r="F2516" t="s">
        <v>22</v>
      </c>
      <c r="G2516">
        <v>0.99303766902768831</v>
      </c>
      <c r="H2516">
        <v>0.98889353594497886</v>
      </c>
      <c r="I2516">
        <v>0.96579848420728653</v>
      </c>
      <c r="J2516">
        <v>0.99498085920884727</v>
      </c>
      <c r="K2516">
        <v>0.98090137908156017</v>
      </c>
      <c r="L2516">
        <v>0.98442572426546127</v>
      </c>
      <c r="M2516">
        <v>0.9773312329503977</v>
      </c>
    </row>
    <row r="2517" spans="4:19" x14ac:dyDescent="0.25">
      <c r="D2517" t="s">
        <v>80</v>
      </c>
      <c r="E2517">
        <v>2013</v>
      </c>
      <c r="F2517" t="s">
        <v>23</v>
      </c>
      <c r="S2517">
        <v>283611</v>
      </c>
    </row>
    <row r="2518" spans="4:19" x14ac:dyDescent="0.25">
      <c r="D2518" t="s">
        <v>80</v>
      </c>
      <c r="E2518">
        <v>2014</v>
      </c>
      <c r="F2518" t="s">
        <v>23</v>
      </c>
      <c r="S2518">
        <v>290515</v>
      </c>
    </row>
    <row r="2519" spans="4:19" x14ac:dyDescent="0.25">
      <c r="D2519" t="s">
        <v>80</v>
      </c>
      <c r="E2519">
        <v>2015</v>
      </c>
      <c r="F2519" t="s">
        <v>23</v>
      </c>
      <c r="S2519">
        <v>300565</v>
      </c>
    </row>
    <row r="2520" spans="4:19" x14ac:dyDescent="0.25">
      <c r="D2520" t="s">
        <v>80</v>
      </c>
      <c r="E2520">
        <v>2013</v>
      </c>
      <c r="F2520" t="s">
        <v>24</v>
      </c>
      <c r="G2520">
        <v>50906</v>
      </c>
      <c r="H2520">
        <v>48679</v>
      </c>
      <c r="I2520">
        <v>39850</v>
      </c>
      <c r="J2520">
        <v>36085</v>
      </c>
      <c r="K2520">
        <v>37046</v>
      </c>
      <c r="L2520">
        <v>34243</v>
      </c>
      <c r="M2520">
        <v>36802</v>
      </c>
      <c r="N2520">
        <v>37534</v>
      </c>
      <c r="O2520">
        <v>44237</v>
      </c>
      <c r="P2520">
        <v>45068</v>
      </c>
      <c r="Q2520">
        <v>41114</v>
      </c>
      <c r="R2520">
        <v>40219</v>
      </c>
    </row>
    <row r="2521" spans="4:19" x14ac:dyDescent="0.25">
      <c r="D2521" t="s">
        <v>80</v>
      </c>
      <c r="E2521">
        <v>2014</v>
      </c>
      <c r="F2521" t="s">
        <v>24</v>
      </c>
      <c r="G2521">
        <v>51973</v>
      </c>
      <c r="H2521">
        <v>45877</v>
      </c>
      <c r="I2521">
        <v>37535</v>
      </c>
      <c r="J2521">
        <v>37459</v>
      </c>
      <c r="K2521">
        <v>35701</v>
      </c>
      <c r="L2521">
        <v>37773</v>
      </c>
      <c r="M2521">
        <v>44197</v>
      </c>
      <c r="N2521">
        <v>43666</v>
      </c>
      <c r="O2521">
        <v>56852</v>
      </c>
      <c r="P2521">
        <v>49298</v>
      </c>
      <c r="Q2521">
        <v>40107</v>
      </c>
      <c r="R2521">
        <v>44055</v>
      </c>
    </row>
    <row r="2522" spans="4:19" x14ac:dyDescent="0.25">
      <c r="D2522" t="s">
        <v>80</v>
      </c>
      <c r="E2522">
        <v>2015</v>
      </c>
      <c r="F2522" t="s">
        <v>24</v>
      </c>
      <c r="G2522">
        <v>46380</v>
      </c>
      <c r="H2522">
        <v>44531</v>
      </c>
      <c r="I2522">
        <v>46808</v>
      </c>
      <c r="J2522">
        <v>39928</v>
      </c>
      <c r="K2522">
        <v>34574</v>
      </c>
      <c r="L2522">
        <v>41489</v>
      </c>
      <c r="M2522">
        <v>46855</v>
      </c>
    </row>
    <row r="2523" spans="4:19" x14ac:dyDescent="0.25">
      <c r="D2523" t="s">
        <v>80</v>
      </c>
      <c r="E2523">
        <v>2013</v>
      </c>
      <c r="F2523" t="s">
        <v>25</v>
      </c>
      <c r="S2523">
        <v>819763</v>
      </c>
    </row>
    <row r="2524" spans="4:19" x14ac:dyDescent="0.25">
      <c r="D2524" t="s">
        <v>80</v>
      </c>
      <c r="E2524">
        <v>2014</v>
      </c>
      <c r="F2524" t="s">
        <v>25</v>
      </c>
      <c r="S2524">
        <v>854128</v>
      </c>
    </row>
    <row r="2525" spans="4:19" x14ac:dyDescent="0.25">
      <c r="D2525" t="s">
        <v>80</v>
      </c>
      <c r="E2525">
        <v>2015</v>
      </c>
      <c r="F2525" t="s">
        <v>25</v>
      </c>
      <c r="S2525">
        <v>922592</v>
      </c>
    </row>
    <row r="2526" spans="4:19" x14ac:dyDescent="0.25">
      <c r="D2526" t="s">
        <v>80</v>
      </c>
      <c r="E2526">
        <v>2013</v>
      </c>
      <c r="F2526" t="s">
        <v>26</v>
      </c>
      <c r="G2526">
        <v>145665</v>
      </c>
      <c r="H2526">
        <v>119137</v>
      </c>
      <c r="I2526">
        <v>109634</v>
      </c>
      <c r="J2526">
        <v>105548</v>
      </c>
      <c r="K2526">
        <v>102386</v>
      </c>
      <c r="L2526">
        <v>112918</v>
      </c>
      <c r="M2526">
        <v>124475</v>
      </c>
      <c r="N2526">
        <v>120665</v>
      </c>
      <c r="O2526">
        <v>157330</v>
      </c>
      <c r="P2526">
        <v>163387</v>
      </c>
      <c r="Q2526">
        <v>154611</v>
      </c>
      <c r="R2526">
        <v>151571</v>
      </c>
    </row>
    <row r="2527" spans="4:19" x14ac:dyDescent="0.25">
      <c r="D2527" t="s">
        <v>80</v>
      </c>
      <c r="E2527">
        <v>2014</v>
      </c>
      <c r="F2527" t="s">
        <v>26</v>
      </c>
      <c r="G2527">
        <v>155644</v>
      </c>
      <c r="H2527">
        <v>133802</v>
      </c>
      <c r="I2527">
        <v>110410</v>
      </c>
      <c r="J2527">
        <v>108389</v>
      </c>
      <c r="K2527">
        <v>100704</v>
      </c>
      <c r="L2527">
        <v>115084</v>
      </c>
      <c r="M2527">
        <v>130095</v>
      </c>
      <c r="N2527">
        <v>125062</v>
      </c>
      <c r="O2527">
        <v>161365</v>
      </c>
      <c r="P2527">
        <v>168776</v>
      </c>
      <c r="Q2527">
        <v>140203</v>
      </c>
      <c r="R2527">
        <v>185764</v>
      </c>
    </row>
    <row r="2528" spans="4:19" x14ac:dyDescent="0.25">
      <c r="D2528" t="s">
        <v>80</v>
      </c>
      <c r="E2528">
        <v>2015</v>
      </c>
      <c r="F2528" t="s">
        <v>26</v>
      </c>
      <c r="G2528">
        <v>156681</v>
      </c>
      <c r="H2528">
        <v>125060</v>
      </c>
      <c r="I2528">
        <v>133150</v>
      </c>
      <c r="J2528">
        <v>112664</v>
      </c>
      <c r="K2528">
        <v>113622</v>
      </c>
      <c r="L2528">
        <v>137092</v>
      </c>
      <c r="M2528">
        <v>144323</v>
      </c>
    </row>
    <row r="2529" spans="4:19" x14ac:dyDescent="0.25">
      <c r="D2529" t="s">
        <v>80</v>
      </c>
      <c r="E2529">
        <v>2013</v>
      </c>
      <c r="F2529" t="s">
        <v>27</v>
      </c>
      <c r="S2529">
        <v>1410655</v>
      </c>
    </row>
    <row r="2530" spans="4:19" x14ac:dyDescent="0.25">
      <c r="D2530" t="s">
        <v>80</v>
      </c>
      <c r="E2530">
        <v>2014</v>
      </c>
      <c r="F2530" t="s">
        <v>27</v>
      </c>
      <c r="S2530">
        <v>1422830</v>
      </c>
    </row>
    <row r="2531" spans="4:19" x14ac:dyDescent="0.25">
      <c r="D2531" t="s">
        <v>80</v>
      </c>
      <c r="E2531">
        <v>2015</v>
      </c>
      <c r="F2531" t="s">
        <v>27</v>
      </c>
      <c r="S2531">
        <v>1571078</v>
      </c>
    </row>
    <row r="2532" spans="4:19" x14ac:dyDescent="0.25">
      <c r="D2532" t="s">
        <v>80</v>
      </c>
      <c r="E2532">
        <v>2013</v>
      </c>
      <c r="F2532" t="s">
        <v>28</v>
      </c>
      <c r="G2532">
        <v>245926</v>
      </c>
      <c r="H2532">
        <v>209129</v>
      </c>
      <c r="I2532">
        <v>193598</v>
      </c>
      <c r="J2532">
        <v>184470</v>
      </c>
      <c r="K2532">
        <v>172039</v>
      </c>
      <c r="L2532">
        <v>190849</v>
      </c>
      <c r="M2532">
        <v>214644</v>
      </c>
      <c r="N2532">
        <v>207801</v>
      </c>
      <c r="O2532">
        <v>277835</v>
      </c>
      <c r="P2532">
        <v>286257</v>
      </c>
      <c r="Q2532">
        <v>246724</v>
      </c>
      <c r="R2532">
        <v>249047</v>
      </c>
    </row>
    <row r="2533" spans="4:19" x14ac:dyDescent="0.25">
      <c r="D2533" t="s">
        <v>80</v>
      </c>
      <c r="E2533">
        <v>2014</v>
      </c>
      <c r="F2533" t="s">
        <v>28</v>
      </c>
      <c r="G2533">
        <v>259243</v>
      </c>
      <c r="H2533">
        <v>227175</v>
      </c>
      <c r="I2533">
        <v>189493</v>
      </c>
      <c r="J2533">
        <v>181964</v>
      </c>
      <c r="K2533">
        <v>165551</v>
      </c>
      <c r="L2533">
        <v>187541</v>
      </c>
      <c r="M2533">
        <v>211863</v>
      </c>
      <c r="N2533">
        <v>202843</v>
      </c>
      <c r="O2533">
        <v>278438</v>
      </c>
      <c r="P2533">
        <v>286252</v>
      </c>
      <c r="Q2533">
        <v>232782</v>
      </c>
      <c r="R2533">
        <v>299483</v>
      </c>
    </row>
    <row r="2534" spans="4:19" x14ac:dyDescent="0.25">
      <c r="D2534" t="s">
        <v>80</v>
      </c>
      <c r="E2534">
        <v>2015</v>
      </c>
      <c r="F2534" t="s">
        <v>28</v>
      </c>
      <c r="G2534">
        <v>264184</v>
      </c>
      <c r="H2534">
        <v>218041</v>
      </c>
      <c r="I2534">
        <v>229996</v>
      </c>
      <c r="J2534">
        <v>192716</v>
      </c>
      <c r="K2534">
        <v>185057</v>
      </c>
      <c r="L2534">
        <v>231549</v>
      </c>
      <c r="M2534">
        <v>249535</v>
      </c>
    </row>
    <row r="2535" spans="4:19" x14ac:dyDescent="0.25">
      <c r="D2535" t="s">
        <v>80</v>
      </c>
      <c r="E2535">
        <v>2013</v>
      </c>
      <c r="F2535" t="s">
        <v>29</v>
      </c>
      <c r="S2535">
        <v>142598</v>
      </c>
    </row>
    <row r="2536" spans="4:19" x14ac:dyDescent="0.25">
      <c r="D2536" t="s">
        <v>80</v>
      </c>
      <c r="E2536">
        <v>2014</v>
      </c>
      <c r="F2536" t="s">
        <v>29</v>
      </c>
      <c r="S2536">
        <v>155986</v>
      </c>
    </row>
    <row r="2537" spans="4:19" x14ac:dyDescent="0.25">
      <c r="D2537" t="s">
        <v>80</v>
      </c>
      <c r="E2537">
        <v>2015</v>
      </c>
      <c r="F2537" t="s">
        <v>29</v>
      </c>
      <c r="S2537">
        <v>163320</v>
      </c>
    </row>
    <row r="2538" spans="4:19" x14ac:dyDescent="0.25">
      <c r="D2538" t="s">
        <v>80</v>
      </c>
      <c r="E2538">
        <v>2013</v>
      </c>
      <c r="F2538" t="s">
        <v>30</v>
      </c>
      <c r="G2538">
        <v>24648</v>
      </c>
      <c r="H2538">
        <v>22065</v>
      </c>
      <c r="I2538">
        <v>20087</v>
      </c>
      <c r="J2538">
        <v>18783</v>
      </c>
      <c r="K2538">
        <v>18873</v>
      </c>
      <c r="L2538">
        <v>18304</v>
      </c>
      <c r="M2538">
        <v>19838</v>
      </c>
      <c r="N2538">
        <v>18652</v>
      </c>
      <c r="O2538">
        <v>24724</v>
      </c>
      <c r="P2538">
        <v>25294</v>
      </c>
      <c r="Q2538">
        <v>21057</v>
      </c>
      <c r="R2538">
        <v>22205</v>
      </c>
    </row>
    <row r="2539" spans="4:19" x14ac:dyDescent="0.25">
      <c r="D2539" t="s">
        <v>80</v>
      </c>
      <c r="E2539">
        <v>2014</v>
      </c>
      <c r="F2539" t="s">
        <v>30</v>
      </c>
      <c r="G2539">
        <v>27094</v>
      </c>
      <c r="H2539">
        <v>23317</v>
      </c>
      <c r="I2539">
        <v>21822</v>
      </c>
      <c r="J2539">
        <v>21449</v>
      </c>
      <c r="K2539">
        <v>19664</v>
      </c>
      <c r="L2539">
        <v>21036</v>
      </c>
      <c r="M2539">
        <v>21604</v>
      </c>
      <c r="N2539">
        <v>20200</v>
      </c>
      <c r="O2539">
        <v>28742</v>
      </c>
      <c r="P2539">
        <v>24255</v>
      </c>
      <c r="Q2539">
        <v>21924</v>
      </c>
      <c r="R2539">
        <v>25798</v>
      </c>
    </row>
    <row r="2540" spans="4:19" x14ac:dyDescent="0.25">
      <c r="D2540" t="s">
        <v>80</v>
      </c>
      <c r="E2540">
        <v>2015</v>
      </c>
      <c r="F2540" t="s">
        <v>30</v>
      </c>
      <c r="G2540">
        <v>26871</v>
      </c>
      <c r="H2540">
        <v>24366</v>
      </c>
      <c r="I2540">
        <v>25499</v>
      </c>
      <c r="J2540">
        <v>21392</v>
      </c>
      <c r="K2540">
        <v>19001</v>
      </c>
      <c r="L2540">
        <v>23425</v>
      </c>
      <c r="M2540">
        <v>22766</v>
      </c>
    </row>
    <row r="2541" spans="4:19" x14ac:dyDescent="0.25">
      <c r="D2541" t="s">
        <v>80</v>
      </c>
      <c r="E2541">
        <v>2013</v>
      </c>
      <c r="F2541" t="s">
        <v>31</v>
      </c>
      <c r="S2541">
        <v>0.87856606408073035</v>
      </c>
    </row>
    <row r="2542" spans="4:19" x14ac:dyDescent="0.25">
      <c r="D2542" t="s">
        <v>80</v>
      </c>
      <c r="E2542">
        <v>2014</v>
      </c>
      <c r="F2542" t="s">
        <v>31</v>
      </c>
      <c r="S2542">
        <v>0.92326041684594595</v>
      </c>
    </row>
    <row r="2543" spans="4:19" x14ac:dyDescent="0.25">
      <c r="D2543" t="s">
        <v>80</v>
      </c>
      <c r="E2543">
        <v>2015</v>
      </c>
      <c r="F2543" t="s">
        <v>31</v>
      </c>
      <c r="S2543">
        <v>0.89447540465456721</v>
      </c>
    </row>
    <row r="2544" spans="4:19" x14ac:dyDescent="0.25">
      <c r="D2544" t="s">
        <v>80</v>
      </c>
      <c r="E2544">
        <v>2013</v>
      </c>
      <c r="F2544" t="s">
        <v>32</v>
      </c>
      <c r="G2544">
        <v>0.83485247318587197</v>
      </c>
      <c r="H2544">
        <v>0.88000986051480101</v>
      </c>
      <c r="I2544">
        <v>0.87234629861982438</v>
      </c>
      <c r="J2544">
        <v>0.89042538450879871</v>
      </c>
      <c r="K2544">
        <v>0.86578847918803647</v>
      </c>
      <c r="L2544">
        <v>0.8715357883363023</v>
      </c>
      <c r="M2544">
        <v>0.95163306342046627</v>
      </c>
      <c r="N2544">
        <v>0.94844674162093034</v>
      </c>
      <c r="O2544">
        <v>0.93399190722698189</v>
      </c>
      <c r="P2544">
        <v>0.92513535102511757</v>
      </c>
      <c r="Q2544">
        <v>0.92090285547502071</v>
      </c>
      <c r="R2544">
        <v>0.94323578408215025</v>
      </c>
    </row>
    <row r="2545" spans="4:19" x14ac:dyDescent="0.25">
      <c r="D2545" t="s">
        <v>80</v>
      </c>
      <c r="E2545">
        <v>2014</v>
      </c>
      <c r="F2545" t="s">
        <v>32</v>
      </c>
      <c r="G2545">
        <v>0.91326265560964348</v>
      </c>
      <c r="H2545">
        <v>0.95217647187043619</v>
      </c>
      <c r="I2545">
        <v>0.96083655255095246</v>
      </c>
      <c r="J2545">
        <v>0.8903334312181318</v>
      </c>
      <c r="K2545">
        <v>0.91190722948937009</v>
      </c>
      <c r="L2545">
        <v>0.9282556323299711</v>
      </c>
      <c r="M2545">
        <v>0.90589859040206344</v>
      </c>
      <c r="N2545">
        <v>0.9056932166903312</v>
      </c>
      <c r="O2545">
        <v>0.93407443889397035</v>
      </c>
      <c r="P2545">
        <v>0.9211935575479735</v>
      </c>
      <c r="Q2545">
        <v>0.92158476076495377</v>
      </c>
      <c r="R2545">
        <v>0.90346158211326755</v>
      </c>
    </row>
    <row r="2546" spans="4:19" x14ac:dyDescent="0.25">
      <c r="D2546" t="s">
        <v>80</v>
      </c>
      <c r="E2546">
        <v>2015</v>
      </c>
      <c r="F2546" t="s">
        <v>32</v>
      </c>
      <c r="G2546">
        <v>0.90517464424320826</v>
      </c>
      <c r="H2546">
        <v>0.9085356268666771</v>
      </c>
      <c r="I2546">
        <v>0.89527431208340458</v>
      </c>
      <c r="J2546">
        <v>0.8971648968142657</v>
      </c>
      <c r="K2546">
        <v>0.90949846705616932</v>
      </c>
      <c r="L2546">
        <v>0.91496541251898089</v>
      </c>
      <c r="M2546">
        <v>0.83820296659908222</v>
      </c>
    </row>
    <row r="2547" spans="4:19" x14ac:dyDescent="0.25">
      <c r="D2547" t="s">
        <v>80</v>
      </c>
      <c r="E2547">
        <v>2013</v>
      </c>
      <c r="F2547" t="s">
        <v>33</v>
      </c>
      <c r="S2547">
        <v>0.92680685324172341</v>
      </c>
    </row>
    <row r="2548" spans="4:19" x14ac:dyDescent="0.25">
      <c r="D2548" t="s">
        <v>80</v>
      </c>
      <c r="E2548">
        <v>2014</v>
      </c>
      <c r="F2548" t="s">
        <v>33</v>
      </c>
      <c r="S2548">
        <v>0.90530506833100188</v>
      </c>
    </row>
    <row r="2549" spans="4:19" x14ac:dyDescent="0.25">
      <c r="D2549" t="s">
        <v>80</v>
      </c>
      <c r="E2549">
        <v>2015</v>
      </c>
      <c r="F2549" t="s">
        <v>33</v>
      </c>
      <c r="S2549">
        <v>0.8965016643888829</v>
      </c>
    </row>
    <row r="2550" spans="4:19" x14ac:dyDescent="0.25">
      <c r="D2550" t="s">
        <v>80</v>
      </c>
      <c r="E2550">
        <v>2013</v>
      </c>
      <c r="F2550" t="s">
        <v>34</v>
      </c>
      <c r="G2550">
        <v>0.88870739074153982</v>
      </c>
      <c r="H2550">
        <v>0.91971911819317376</v>
      </c>
      <c r="I2550">
        <v>0.9302689897600489</v>
      </c>
      <c r="J2550">
        <v>0.95285307008212417</v>
      </c>
      <c r="K2550">
        <v>0.92348840979088997</v>
      </c>
      <c r="L2550">
        <v>0.93477684489615553</v>
      </c>
      <c r="M2550">
        <v>0.95395235289165758</v>
      </c>
      <c r="N2550">
        <v>0.9201897298412044</v>
      </c>
      <c r="O2550">
        <v>0.90317018172171371</v>
      </c>
      <c r="P2550">
        <v>0.88947851153039836</v>
      </c>
      <c r="Q2550">
        <v>0.87484605911330049</v>
      </c>
      <c r="R2550">
        <v>0.91240455818593413</v>
      </c>
    </row>
    <row r="2551" spans="4:19" x14ac:dyDescent="0.25">
      <c r="D2551" t="s">
        <v>80</v>
      </c>
      <c r="E2551">
        <v>2014</v>
      </c>
      <c r="F2551" t="s">
        <v>34</v>
      </c>
      <c r="G2551">
        <v>0.8727344588109085</v>
      </c>
      <c r="H2551">
        <v>0.92894387408103118</v>
      </c>
      <c r="I2551">
        <v>0.94029244516653132</v>
      </c>
      <c r="J2551">
        <v>0.84364771256755733</v>
      </c>
      <c r="K2551">
        <v>0.87256888168557534</v>
      </c>
      <c r="L2551">
        <v>0.93224029716920709</v>
      </c>
      <c r="M2551">
        <v>0.97140912185159978</v>
      </c>
      <c r="N2551">
        <v>0.93737584945112384</v>
      </c>
      <c r="O2551">
        <v>0.94222241544213547</v>
      </c>
      <c r="P2551">
        <v>0.93620171580368416</v>
      </c>
      <c r="Q2551">
        <v>0.92536689820859663</v>
      </c>
      <c r="R2551">
        <v>0.90101149822771676</v>
      </c>
    </row>
    <row r="2552" spans="4:19" x14ac:dyDescent="0.25">
      <c r="D2552" t="s">
        <v>80</v>
      </c>
      <c r="E2552">
        <v>2015</v>
      </c>
      <c r="F2552" t="s">
        <v>34</v>
      </c>
      <c r="G2552">
        <v>0.90795868772782506</v>
      </c>
      <c r="H2552">
        <v>0.90999883418178995</v>
      </c>
      <c r="I2552">
        <v>0.91208672477130304</v>
      </c>
      <c r="J2552">
        <v>0.91324927922888244</v>
      </c>
      <c r="K2552">
        <v>0.91866922207479484</v>
      </c>
      <c r="L2552">
        <v>0.92701537974933779</v>
      </c>
      <c r="M2552">
        <v>0.79898642533936648</v>
      </c>
    </row>
    <row r="2553" spans="4:19" x14ac:dyDescent="0.25">
      <c r="D2553" t="s">
        <v>81</v>
      </c>
      <c r="E2553">
        <v>2013</v>
      </c>
      <c r="F2553" t="s">
        <v>17</v>
      </c>
      <c r="S2553">
        <v>0.89233513857916535</v>
      </c>
    </row>
    <row r="2554" spans="4:19" x14ac:dyDescent="0.25">
      <c r="D2554" t="s">
        <v>81</v>
      </c>
      <c r="E2554">
        <v>2014</v>
      </c>
      <c r="F2554" t="s">
        <v>17</v>
      </c>
      <c r="S2554">
        <v>0.983631789935561</v>
      </c>
    </row>
    <row r="2555" spans="4:19" x14ac:dyDescent="0.25">
      <c r="D2555" t="s">
        <v>81</v>
      </c>
      <c r="E2555">
        <v>2015</v>
      </c>
      <c r="F2555" t="s">
        <v>17</v>
      </c>
      <c r="S2555">
        <v>0.98245474543478839</v>
      </c>
    </row>
    <row r="2556" spans="4:19" x14ac:dyDescent="0.25">
      <c r="D2556" t="s">
        <v>81</v>
      </c>
      <c r="E2556">
        <v>2013</v>
      </c>
      <c r="F2556" t="s">
        <v>18</v>
      </c>
      <c r="G2556">
        <v>0.88772791023842912</v>
      </c>
      <c r="H2556">
        <v>0.86391650099403583</v>
      </c>
      <c r="I2556">
        <v>0.90994755817764672</v>
      </c>
      <c r="J2556">
        <v>0.90979381443298968</v>
      </c>
      <c r="K2556">
        <v>0.87017336485421592</v>
      </c>
      <c r="L2556">
        <v>0.85141158989598809</v>
      </c>
      <c r="M2556">
        <v>0.93806233933161953</v>
      </c>
      <c r="N2556">
        <v>0.90307647796315937</v>
      </c>
      <c r="O2556">
        <v>0.91423574676460306</v>
      </c>
      <c r="P2556">
        <v>0.92088223391339541</v>
      </c>
      <c r="Q2556">
        <v>0.90324922853512435</v>
      </c>
      <c r="R2556">
        <v>0.90476190476190477</v>
      </c>
    </row>
    <row r="2557" spans="4:19" x14ac:dyDescent="0.25">
      <c r="D2557" t="s">
        <v>81</v>
      </c>
      <c r="E2557">
        <v>2014</v>
      </c>
      <c r="F2557" t="s">
        <v>18</v>
      </c>
      <c r="G2557">
        <v>0.97364901016586414</v>
      </c>
      <c r="H2557">
        <v>0.98646770536171458</v>
      </c>
      <c r="I2557">
        <v>0.98523307790549175</v>
      </c>
      <c r="J2557">
        <v>0.98458993557374197</v>
      </c>
      <c r="K2557">
        <v>0.98798486281929987</v>
      </c>
      <c r="L2557">
        <v>0.98658055858424898</v>
      </c>
      <c r="M2557">
        <v>0.98348562327102018</v>
      </c>
      <c r="N2557">
        <v>0.98108028624644639</v>
      </c>
      <c r="O2557">
        <v>0.98784112402053503</v>
      </c>
      <c r="P2557">
        <v>0.9873367629600317</v>
      </c>
      <c r="Q2557">
        <v>0.98587391946025726</v>
      </c>
      <c r="R2557">
        <v>0.98722303089115315</v>
      </c>
    </row>
    <row r="2558" spans="4:19" x14ac:dyDescent="0.25">
      <c r="D2558" t="s">
        <v>81</v>
      </c>
      <c r="E2558">
        <v>2015</v>
      </c>
      <c r="F2558" t="s">
        <v>18</v>
      </c>
      <c r="G2558">
        <v>0.97670498084291191</v>
      </c>
      <c r="H2558">
        <v>0.98407438092607935</v>
      </c>
      <c r="I2558">
        <v>0.98531082616458365</v>
      </c>
      <c r="J2558">
        <v>0.98479331762690081</v>
      </c>
      <c r="K2558">
        <v>0.98039640420231777</v>
      </c>
      <c r="L2558">
        <v>0.98198281437679014</v>
      </c>
      <c r="M2558">
        <v>0.98494864232685853</v>
      </c>
    </row>
    <row r="2559" spans="4:19" x14ac:dyDescent="0.25">
      <c r="D2559" t="s">
        <v>81</v>
      </c>
      <c r="E2559">
        <v>2013</v>
      </c>
      <c r="F2559" t="s">
        <v>19</v>
      </c>
      <c r="S2559">
        <v>0.65770803878004447</v>
      </c>
    </row>
    <row r="2560" spans="4:19" x14ac:dyDescent="0.25">
      <c r="D2560" t="s">
        <v>81</v>
      </c>
      <c r="E2560">
        <v>2014</v>
      </c>
      <c r="F2560" t="s">
        <v>19</v>
      </c>
      <c r="S2560">
        <v>0.95163847737325347</v>
      </c>
    </row>
    <row r="2561" spans="4:19" x14ac:dyDescent="0.25">
      <c r="D2561" t="s">
        <v>81</v>
      </c>
      <c r="E2561">
        <v>2015</v>
      </c>
      <c r="F2561" t="s">
        <v>19</v>
      </c>
      <c r="S2561">
        <v>0.85134820981694759</v>
      </c>
    </row>
    <row r="2562" spans="4:19" x14ac:dyDescent="0.25">
      <c r="D2562" t="s">
        <v>81</v>
      </c>
      <c r="E2562">
        <v>2013</v>
      </c>
      <c r="F2562" t="s">
        <v>20</v>
      </c>
      <c r="G2562">
        <v>0.57113853044907015</v>
      </c>
      <c r="H2562">
        <v>0.58735687553266391</v>
      </c>
      <c r="I2562">
        <v>0.70516272535705926</v>
      </c>
      <c r="J2562">
        <v>0.57433856239756498</v>
      </c>
      <c r="K2562">
        <v>0.48385533051939605</v>
      </c>
      <c r="L2562">
        <v>0.83543291603853964</v>
      </c>
      <c r="M2562">
        <v>0.89296636085626913</v>
      </c>
      <c r="N2562">
        <v>0.69924544524660159</v>
      </c>
      <c r="O2562">
        <v>0.66657396334510666</v>
      </c>
      <c r="P2562">
        <v>0.62213752317428095</v>
      </c>
      <c r="Q2562">
        <v>0.54718375514473472</v>
      </c>
      <c r="R2562">
        <v>0.63562483968005967</v>
      </c>
    </row>
    <row r="2563" spans="4:19" x14ac:dyDescent="0.25">
      <c r="D2563" t="s">
        <v>81</v>
      </c>
      <c r="E2563">
        <v>2014</v>
      </c>
      <c r="F2563" t="s">
        <v>20</v>
      </c>
      <c r="G2563">
        <v>0.86483365463533812</v>
      </c>
      <c r="H2563">
        <v>0.97799909660787276</v>
      </c>
      <c r="I2563">
        <v>0.9669348060991716</v>
      </c>
      <c r="J2563">
        <v>0.96689335709987623</v>
      </c>
      <c r="K2563">
        <v>0.9655522278589328</v>
      </c>
      <c r="L2563">
        <v>0.9636057602393866</v>
      </c>
      <c r="M2563">
        <v>0.974091273742133</v>
      </c>
      <c r="N2563">
        <v>0.97476255818333468</v>
      </c>
      <c r="O2563">
        <v>0.9594565742603185</v>
      </c>
      <c r="P2563">
        <v>0.85840336624200109</v>
      </c>
      <c r="Q2563">
        <v>0.89804899255618353</v>
      </c>
      <c r="R2563">
        <v>0.9751733979706404</v>
      </c>
    </row>
    <row r="2564" spans="4:19" x14ac:dyDescent="0.25">
      <c r="D2564" t="s">
        <v>81</v>
      </c>
      <c r="E2564">
        <v>2015</v>
      </c>
      <c r="F2564" t="s">
        <v>20</v>
      </c>
      <c r="G2564">
        <v>0.80166884306140718</v>
      </c>
      <c r="H2564">
        <v>0.89771849200862175</v>
      </c>
      <c r="I2564">
        <v>0.79518540089303047</v>
      </c>
      <c r="J2564">
        <v>0.87018183610111866</v>
      </c>
      <c r="K2564">
        <v>0.76304102870020551</v>
      </c>
      <c r="L2564">
        <v>0.88687095166915797</v>
      </c>
      <c r="M2564">
        <v>0.94169218507487729</v>
      </c>
    </row>
    <row r="2565" spans="4:19" x14ac:dyDescent="0.25">
      <c r="D2565" t="s">
        <v>81</v>
      </c>
      <c r="E2565">
        <v>2013</v>
      </c>
      <c r="F2565" t="s">
        <v>21</v>
      </c>
      <c r="S2565">
        <v>0.9139963546566322</v>
      </c>
    </row>
    <row r="2566" spans="4:19" x14ac:dyDescent="0.25">
      <c r="D2566" t="s">
        <v>81</v>
      </c>
      <c r="E2566">
        <v>2014</v>
      </c>
      <c r="F2566" t="s">
        <v>21</v>
      </c>
      <c r="S2566">
        <v>0.97234969428250106</v>
      </c>
    </row>
    <row r="2567" spans="4:19" x14ac:dyDescent="0.25">
      <c r="D2567" t="s">
        <v>81</v>
      </c>
      <c r="E2567">
        <v>2015</v>
      </c>
      <c r="F2567" t="s">
        <v>21</v>
      </c>
      <c r="S2567">
        <v>0.93373193821624312</v>
      </c>
    </row>
    <row r="2568" spans="4:19" x14ac:dyDescent="0.25">
      <c r="D2568" t="s">
        <v>81</v>
      </c>
      <c r="E2568">
        <v>2013</v>
      </c>
      <c r="F2568" t="s">
        <v>22</v>
      </c>
      <c r="G2568">
        <v>0.91422730229532567</v>
      </c>
      <c r="H2568">
        <v>0.90459798377182199</v>
      </c>
      <c r="I2568">
        <v>0.92139949602636173</v>
      </c>
      <c r="J2568">
        <v>0.90976464697045567</v>
      </c>
      <c r="K2568">
        <v>0.85167017052090632</v>
      </c>
      <c r="L2568">
        <v>0.92051775780915701</v>
      </c>
      <c r="M2568">
        <v>0.96091175393628703</v>
      </c>
      <c r="N2568">
        <v>0.94521937610956119</v>
      </c>
      <c r="O2568">
        <v>0.97171086843473742</v>
      </c>
      <c r="P2568">
        <v>0.96299536348525938</v>
      </c>
      <c r="Q2568">
        <v>0.93676455540775605</v>
      </c>
      <c r="R2568">
        <v>0.92654959506054047</v>
      </c>
    </row>
    <row r="2569" spans="4:19" x14ac:dyDescent="0.25">
      <c r="D2569" t="s">
        <v>81</v>
      </c>
      <c r="E2569">
        <v>2014</v>
      </c>
      <c r="F2569" t="s">
        <v>22</v>
      </c>
      <c r="G2569">
        <v>0.9551472358180213</v>
      </c>
      <c r="H2569">
        <v>0.95180475799835929</v>
      </c>
      <c r="I2569">
        <v>0.96418758882046418</v>
      </c>
      <c r="J2569">
        <v>0.96886247593538122</v>
      </c>
      <c r="K2569">
        <v>0.9794506612410987</v>
      </c>
      <c r="L2569">
        <v>0.9929853329689351</v>
      </c>
      <c r="M2569">
        <v>0.99315589353612166</v>
      </c>
      <c r="N2569">
        <v>0.9843362632409286</v>
      </c>
      <c r="O2569">
        <v>0.97561422808947562</v>
      </c>
      <c r="P2569">
        <v>0.90505675954592368</v>
      </c>
      <c r="Q2569">
        <v>0.95827972799117811</v>
      </c>
      <c r="R2569">
        <v>0.98831843092010385</v>
      </c>
    </row>
    <row r="2570" spans="4:19" x14ac:dyDescent="0.25">
      <c r="D2570" t="s">
        <v>81</v>
      </c>
      <c r="E2570">
        <v>2015</v>
      </c>
      <c r="F2570" t="s">
        <v>22</v>
      </c>
      <c r="G2570">
        <v>0.92494591446164087</v>
      </c>
      <c r="H2570">
        <v>0.93069306930693074</v>
      </c>
      <c r="I2570">
        <v>0.91472275334608033</v>
      </c>
      <c r="J2570">
        <v>0.91399729751212144</v>
      </c>
      <c r="K2570">
        <v>0.93233802277729927</v>
      </c>
      <c r="L2570">
        <v>0.94490521327014221</v>
      </c>
      <c r="M2570">
        <v>0.97118694806166739</v>
      </c>
    </row>
    <row r="2571" spans="4:19" x14ac:dyDescent="0.25">
      <c r="D2571" t="s">
        <v>81</v>
      </c>
      <c r="E2571">
        <v>2013</v>
      </c>
      <c r="F2571" t="s">
        <v>23</v>
      </c>
      <c r="S2571">
        <v>183457</v>
      </c>
    </row>
    <row r="2572" spans="4:19" x14ac:dyDescent="0.25">
      <c r="D2572" t="s">
        <v>81</v>
      </c>
      <c r="E2572">
        <v>2014</v>
      </c>
      <c r="F2572" t="s">
        <v>23</v>
      </c>
      <c r="S2572">
        <v>193185</v>
      </c>
    </row>
    <row r="2573" spans="4:19" x14ac:dyDescent="0.25">
      <c r="D2573" t="s">
        <v>81</v>
      </c>
      <c r="E2573">
        <v>2015</v>
      </c>
      <c r="F2573" t="s">
        <v>23</v>
      </c>
      <c r="S2573">
        <v>193337</v>
      </c>
    </row>
    <row r="2574" spans="4:19" x14ac:dyDescent="0.25">
      <c r="D2574" t="s">
        <v>81</v>
      </c>
      <c r="E2574">
        <v>2013</v>
      </c>
      <c r="F2574" t="s">
        <v>24</v>
      </c>
      <c r="G2574">
        <v>32283</v>
      </c>
      <c r="H2574">
        <v>29137</v>
      </c>
      <c r="I2574">
        <v>24922</v>
      </c>
      <c r="J2574">
        <v>24721</v>
      </c>
      <c r="K2574">
        <v>25913</v>
      </c>
      <c r="L2574">
        <v>24121</v>
      </c>
      <c r="M2574">
        <v>22360</v>
      </c>
      <c r="N2574">
        <v>21869</v>
      </c>
      <c r="O2574">
        <v>24600</v>
      </c>
      <c r="P2574">
        <v>25662</v>
      </c>
      <c r="Q2574">
        <v>24041</v>
      </c>
      <c r="R2574">
        <v>24799</v>
      </c>
    </row>
    <row r="2575" spans="4:19" x14ac:dyDescent="0.25">
      <c r="D2575" t="s">
        <v>81</v>
      </c>
      <c r="E2575">
        <v>2014</v>
      </c>
      <c r="F2575" t="s">
        <v>24</v>
      </c>
      <c r="G2575">
        <v>30096</v>
      </c>
      <c r="H2575">
        <v>30462</v>
      </c>
      <c r="I2575">
        <v>27739</v>
      </c>
      <c r="J2575">
        <v>25068</v>
      </c>
      <c r="K2575">
        <v>23023</v>
      </c>
      <c r="L2575">
        <v>27179</v>
      </c>
      <c r="M2575">
        <v>29618</v>
      </c>
      <c r="N2575">
        <v>28026</v>
      </c>
      <c r="O2575">
        <v>37096</v>
      </c>
      <c r="P2575">
        <v>35079</v>
      </c>
      <c r="Q2575">
        <v>28654</v>
      </c>
      <c r="R2575">
        <v>29843</v>
      </c>
    </row>
    <row r="2576" spans="4:19" x14ac:dyDescent="0.25">
      <c r="D2576" t="s">
        <v>81</v>
      </c>
      <c r="E2576">
        <v>2015</v>
      </c>
      <c r="F2576" t="s">
        <v>24</v>
      </c>
      <c r="G2576">
        <v>30704</v>
      </c>
      <c r="H2576">
        <v>30534</v>
      </c>
      <c r="I2576">
        <v>28566</v>
      </c>
      <c r="J2576">
        <v>25769</v>
      </c>
      <c r="K2576">
        <v>22677</v>
      </c>
      <c r="L2576">
        <v>27750</v>
      </c>
      <c r="M2576">
        <v>27337</v>
      </c>
    </row>
    <row r="2577" spans="4:19" x14ac:dyDescent="0.25">
      <c r="D2577" t="s">
        <v>81</v>
      </c>
      <c r="E2577">
        <v>2013</v>
      </c>
      <c r="F2577" t="s">
        <v>25</v>
      </c>
      <c r="S2577">
        <v>446160</v>
      </c>
    </row>
    <row r="2578" spans="4:19" x14ac:dyDescent="0.25">
      <c r="D2578" t="s">
        <v>81</v>
      </c>
      <c r="E2578">
        <v>2014</v>
      </c>
      <c r="F2578" t="s">
        <v>25</v>
      </c>
      <c r="S2578">
        <v>483290</v>
      </c>
    </row>
    <row r="2579" spans="4:19" x14ac:dyDescent="0.25">
      <c r="D2579" t="s">
        <v>81</v>
      </c>
      <c r="E2579">
        <v>2015</v>
      </c>
      <c r="F2579" t="s">
        <v>25</v>
      </c>
      <c r="S2579">
        <v>535482</v>
      </c>
    </row>
    <row r="2580" spans="4:19" x14ac:dyDescent="0.25">
      <c r="D2580" t="s">
        <v>81</v>
      </c>
      <c r="E2580">
        <v>2013</v>
      </c>
      <c r="F2580" t="s">
        <v>26</v>
      </c>
      <c r="G2580">
        <v>74405</v>
      </c>
      <c r="H2580">
        <v>61271</v>
      </c>
      <c r="I2580">
        <v>66858</v>
      </c>
      <c r="J2580">
        <v>57357</v>
      </c>
      <c r="K2580">
        <v>57408</v>
      </c>
      <c r="L2580">
        <v>61806</v>
      </c>
      <c r="M2580">
        <v>67055</v>
      </c>
      <c r="N2580">
        <v>60838</v>
      </c>
      <c r="O2580">
        <v>71158</v>
      </c>
      <c r="P2580">
        <v>84290</v>
      </c>
      <c r="Q2580">
        <v>84216</v>
      </c>
      <c r="R2580">
        <v>76535</v>
      </c>
    </row>
    <row r="2581" spans="4:19" x14ac:dyDescent="0.25">
      <c r="D2581" t="s">
        <v>81</v>
      </c>
      <c r="E2581">
        <v>2014</v>
      </c>
      <c r="F2581" t="s">
        <v>26</v>
      </c>
      <c r="G2581">
        <v>81347</v>
      </c>
      <c r="H2581">
        <v>70903</v>
      </c>
      <c r="I2581">
        <v>68676</v>
      </c>
      <c r="J2581">
        <v>69064</v>
      </c>
      <c r="K2581">
        <v>59881</v>
      </c>
      <c r="L2581">
        <v>60809</v>
      </c>
      <c r="M2581">
        <v>72610</v>
      </c>
      <c r="N2581">
        <v>65225</v>
      </c>
      <c r="O2581">
        <v>81623</v>
      </c>
      <c r="P2581">
        <v>74156</v>
      </c>
      <c r="Q2581">
        <v>95049</v>
      </c>
      <c r="R2581">
        <v>84371</v>
      </c>
    </row>
    <row r="2582" spans="4:19" x14ac:dyDescent="0.25">
      <c r="D2582" t="s">
        <v>81</v>
      </c>
      <c r="E2582">
        <v>2015</v>
      </c>
      <c r="F2582" t="s">
        <v>26</v>
      </c>
      <c r="G2582">
        <v>87538</v>
      </c>
      <c r="H2582">
        <v>70948</v>
      </c>
      <c r="I2582">
        <v>81314</v>
      </c>
      <c r="J2582">
        <v>75273</v>
      </c>
      <c r="K2582">
        <v>62137</v>
      </c>
      <c r="L2582">
        <v>82157</v>
      </c>
      <c r="M2582">
        <v>76115</v>
      </c>
    </row>
    <row r="2583" spans="4:19" x14ac:dyDescent="0.25">
      <c r="D2583" t="s">
        <v>81</v>
      </c>
      <c r="E2583">
        <v>2013</v>
      </c>
      <c r="F2583" t="s">
        <v>27</v>
      </c>
      <c r="S2583">
        <v>756743</v>
      </c>
    </row>
    <row r="2584" spans="4:19" x14ac:dyDescent="0.25">
      <c r="D2584" t="s">
        <v>81</v>
      </c>
      <c r="E2584">
        <v>2014</v>
      </c>
      <c r="F2584" t="s">
        <v>27</v>
      </c>
      <c r="S2584">
        <v>826896</v>
      </c>
    </row>
    <row r="2585" spans="4:19" x14ac:dyDescent="0.25">
      <c r="D2585" t="s">
        <v>81</v>
      </c>
      <c r="E2585">
        <v>2015</v>
      </c>
      <c r="F2585" t="s">
        <v>27</v>
      </c>
      <c r="S2585">
        <v>948270</v>
      </c>
    </row>
    <row r="2586" spans="4:19" x14ac:dyDescent="0.25">
      <c r="D2586" t="s">
        <v>81</v>
      </c>
      <c r="E2586">
        <v>2013</v>
      </c>
      <c r="F2586" t="s">
        <v>28</v>
      </c>
      <c r="G2586">
        <v>123698</v>
      </c>
      <c r="H2586">
        <v>102132</v>
      </c>
      <c r="I2586">
        <v>117938</v>
      </c>
      <c r="J2586">
        <v>97982</v>
      </c>
      <c r="K2586">
        <v>96002</v>
      </c>
      <c r="L2586">
        <v>104790</v>
      </c>
      <c r="M2586">
        <v>114201</v>
      </c>
      <c r="N2586">
        <v>102479</v>
      </c>
      <c r="O2586">
        <v>119298</v>
      </c>
      <c r="P2586">
        <v>144677</v>
      </c>
      <c r="Q2586">
        <v>133993</v>
      </c>
      <c r="R2586">
        <v>130742</v>
      </c>
    </row>
    <row r="2587" spans="4:19" x14ac:dyDescent="0.25">
      <c r="D2587" t="s">
        <v>81</v>
      </c>
      <c r="E2587">
        <v>2014</v>
      </c>
      <c r="F2587" t="s">
        <v>28</v>
      </c>
      <c r="G2587">
        <v>139555</v>
      </c>
      <c r="H2587">
        <v>121563</v>
      </c>
      <c r="I2587">
        <v>117291</v>
      </c>
      <c r="J2587">
        <v>117605</v>
      </c>
      <c r="K2587">
        <v>101245</v>
      </c>
      <c r="L2587">
        <v>103432</v>
      </c>
      <c r="M2587">
        <v>126205</v>
      </c>
      <c r="N2587">
        <v>106615</v>
      </c>
      <c r="O2587">
        <v>135613</v>
      </c>
      <c r="P2587">
        <v>121837</v>
      </c>
      <c r="Q2587">
        <v>167357</v>
      </c>
      <c r="R2587">
        <v>149164</v>
      </c>
    </row>
    <row r="2588" spans="4:19" x14ac:dyDescent="0.25">
      <c r="D2588" t="s">
        <v>81</v>
      </c>
      <c r="E2588">
        <v>2015</v>
      </c>
      <c r="F2588" t="s">
        <v>28</v>
      </c>
      <c r="G2588">
        <v>156910</v>
      </c>
      <c r="H2588">
        <v>130042</v>
      </c>
      <c r="I2588">
        <v>147694</v>
      </c>
      <c r="J2588">
        <v>132577</v>
      </c>
      <c r="K2588">
        <v>105416</v>
      </c>
      <c r="L2588">
        <v>143856</v>
      </c>
      <c r="M2588">
        <v>131775</v>
      </c>
    </row>
    <row r="2589" spans="4:19" x14ac:dyDescent="0.25">
      <c r="D2589" t="s">
        <v>81</v>
      </c>
      <c r="E2589">
        <v>2013</v>
      </c>
      <c r="F2589" t="s">
        <v>29</v>
      </c>
      <c r="S2589">
        <v>78475</v>
      </c>
    </row>
    <row r="2590" spans="4:19" x14ac:dyDescent="0.25">
      <c r="D2590" t="s">
        <v>81</v>
      </c>
      <c r="E2590">
        <v>2014</v>
      </c>
      <c r="F2590" t="s">
        <v>29</v>
      </c>
      <c r="S2590">
        <v>87059</v>
      </c>
    </row>
    <row r="2591" spans="4:19" x14ac:dyDescent="0.25">
      <c r="D2591" t="s">
        <v>81</v>
      </c>
      <c r="E2591">
        <v>2015</v>
      </c>
      <c r="F2591" t="s">
        <v>29</v>
      </c>
      <c r="S2591">
        <v>75462</v>
      </c>
    </row>
    <row r="2592" spans="4:19" x14ac:dyDescent="0.25">
      <c r="D2592" t="s">
        <v>81</v>
      </c>
      <c r="E2592">
        <v>2013</v>
      </c>
      <c r="F2592" t="s">
        <v>30</v>
      </c>
      <c r="G2592">
        <v>14260</v>
      </c>
      <c r="H2592">
        <v>10060</v>
      </c>
      <c r="I2592">
        <v>12204</v>
      </c>
      <c r="J2592">
        <v>11640</v>
      </c>
      <c r="K2592">
        <v>5076</v>
      </c>
      <c r="L2592">
        <v>12787</v>
      </c>
      <c r="M2592">
        <v>12448</v>
      </c>
      <c r="N2592">
        <v>10369</v>
      </c>
      <c r="O2592">
        <v>14295</v>
      </c>
      <c r="P2592">
        <v>14826</v>
      </c>
      <c r="Q2592">
        <v>11018</v>
      </c>
      <c r="R2592">
        <v>11466</v>
      </c>
    </row>
    <row r="2593" spans="4:19" x14ac:dyDescent="0.25">
      <c r="D2593" t="s">
        <v>81</v>
      </c>
      <c r="E2593">
        <v>2014</v>
      </c>
      <c r="F2593" t="s">
        <v>30</v>
      </c>
      <c r="G2593">
        <v>14952</v>
      </c>
      <c r="H2593">
        <v>13671</v>
      </c>
      <c r="I2593">
        <v>12528</v>
      </c>
      <c r="J2593">
        <v>11486</v>
      </c>
      <c r="K2593">
        <v>10570</v>
      </c>
      <c r="L2593">
        <v>11923</v>
      </c>
      <c r="M2593">
        <v>11929</v>
      </c>
      <c r="N2593">
        <v>10201</v>
      </c>
      <c r="O2593">
        <v>14804</v>
      </c>
      <c r="P2593">
        <v>12635</v>
      </c>
      <c r="Q2593">
        <v>9486</v>
      </c>
      <c r="R2593">
        <v>12366</v>
      </c>
    </row>
    <row r="2594" spans="4:19" x14ac:dyDescent="0.25">
      <c r="D2594" t="s">
        <v>81</v>
      </c>
      <c r="E2594">
        <v>2015</v>
      </c>
      <c r="F2594" t="s">
        <v>30</v>
      </c>
      <c r="G2594">
        <v>13050</v>
      </c>
      <c r="H2594">
        <v>10863</v>
      </c>
      <c r="I2594">
        <v>12322</v>
      </c>
      <c r="J2594">
        <v>9338</v>
      </c>
      <c r="K2594">
        <v>9233</v>
      </c>
      <c r="L2594">
        <v>10823</v>
      </c>
      <c r="M2594">
        <v>9833</v>
      </c>
    </row>
    <row r="2595" spans="4:19" x14ac:dyDescent="0.25">
      <c r="D2595" t="s">
        <v>81</v>
      </c>
      <c r="E2595">
        <v>2013</v>
      </c>
      <c r="F2595" t="s">
        <v>31</v>
      </c>
      <c r="S2595">
        <v>0.79652452618324732</v>
      </c>
    </row>
    <row r="2596" spans="4:19" x14ac:dyDescent="0.25">
      <c r="D2596" t="s">
        <v>81</v>
      </c>
      <c r="E2596">
        <v>2014</v>
      </c>
      <c r="F2596" t="s">
        <v>31</v>
      </c>
      <c r="S2596">
        <v>0.93353003597587803</v>
      </c>
    </row>
    <row r="2597" spans="4:19" x14ac:dyDescent="0.25">
      <c r="D2597" t="s">
        <v>81</v>
      </c>
      <c r="E2597">
        <v>2015</v>
      </c>
      <c r="F2597" t="s">
        <v>31</v>
      </c>
      <c r="S2597">
        <v>0.91081376042868156</v>
      </c>
    </row>
    <row r="2598" spans="4:19" x14ac:dyDescent="0.25">
      <c r="D2598" t="s">
        <v>81</v>
      </c>
      <c r="E2598">
        <v>2013</v>
      </c>
      <c r="F2598" t="s">
        <v>32</v>
      </c>
      <c r="G2598">
        <v>0.74807174054455905</v>
      </c>
      <c r="H2598">
        <v>0.77389573394652844</v>
      </c>
      <c r="I2598">
        <v>0.84134499638873284</v>
      </c>
      <c r="J2598">
        <v>0.80154524493345736</v>
      </c>
      <c r="K2598">
        <v>0.70605487593099991</v>
      </c>
      <c r="L2598">
        <v>0.7871564197172588</v>
      </c>
      <c r="M2598">
        <v>0.9554114490161002</v>
      </c>
      <c r="N2598">
        <v>0.94691115277333215</v>
      </c>
      <c r="O2598">
        <v>0.93983739837398372</v>
      </c>
      <c r="P2598">
        <v>0.95093913179019562</v>
      </c>
      <c r="Q2598">
        <v>0.94446986398236343</v>
      </c>
      <c r="R2598">
        <v>0.94705431670631879</v>
      </c>
    </row>
    <row r="2599" spans="4:19" x14ac:dyDescent="0.25">
      <c r="D2599" t="s">
        <v>81</v>
      </c>
      <c r="E2599">
        <v>2014</v>
      </c>
      <c r="F2599" t="s">
        <v>32</v>
      </c>
      <c r="G2599">
        <v>0.93145268474215848</v>
      </c>
      <c r="H2599">
        <v>0.9494780382115422</v>
      </c>
      <c r="I2599">
        <v>0.94340098777893944</v>
      </c>
      <c r="J2599">
        <v>0.95324716770384554</v>
      </c>
      <c r="K2599">
        <v>0.94857316596447028</v>
      </c>
      <c r="L2599">
        <v>0.91633246256300815</v>
      </c>
      <c r="M2599">
        <v>0.89739347693969884</v>
      </c>
      <c r="N2599">
        <v>0.90437450938414332</v>
      </c>
      <c r="O2599">
        <v>0.9360577959887858</v>
      </c>
      <c r="P2599">
        <v>0.91807064055417775</v>
      </c>
      <c r="Q2599">
        <v>0.93494800027919311</v>
      </c>
      <c r="R2599">
        <v>0.9194115873069062</v>
      </c>
    </row>
    <row r="2600" spans="4:19" x14ac:dyDescent="0.25">
      <c r="D2600" t="s">
        <v>81</v>
      </c>
      <c r="E2600">
        <v>2015</v>
      </c>
      <c r="F2600" t="s">
        <v>32</v>
      </c>
      <c r="G2600">
        <v>0.906754820218864</v>
      </c>
      <c r="H2600">
        <v>0.90702168074932865</v>
      </c>
      <c r="I2600">
        <v>0.91003290625218791</v>
      </c>
      <c r="J2600">
        <v>0.91322907369319728</v>
      </c>
      <c r="K2600">
        <v>0.91705252017462624</v>
      </c>
      <c r="L2600">
        <v>0.91254054054054057</v>
      </c>
      <c r="M2600">
        <v>0.91121922668910271</v>
      </c>
    </row>
    <row r="2601" spans="4:19" x14ac:dyDescent="0.25">
      <c r="D2601" t="s">
        <v>81</v>
      </c>
      <c r="E2601">
        <v>2013</v>
      </c>
      <c r="F2601" t="s">
        <v>33</v>
      </c>
      <c r="S2601">
        <v>0.80627374198838631</v>
      </c>
    </row>
    <row r="2602" spans="4:19" x14ac:dyDescent="0.25">
      <c r="D2602" t="s">
        <v>81</v>
      </c>
      <c r="E2602">
        <v>2014</v>
      </c>
      <c r="F2602" t="s">
        <v>33</v>
      </c>
      <c r="S2602">
        <v>0.92632428940568479</v>
      </c>
    </row>
    <row r="2603" spans="4:19" x14ac:dyDescent="0.25">
      <c r="D2603" t="s">
        <v>81</v>
      </c>
      <c r="E2603">
        <v>2015</v>
      </c>
      <c r="F2603" t="s">
        <v>33</v>
      </c>
      <c r="S2603">
        <v>0.92667369666418042</v>
      </c>
    </row>
    <row r="2604" spans="4:19" x14ac:dyDescent="0.25">
      <c r="D2604" t="s">
        <v>81</v>
      </c>
      <c r="E2604">
        <v>2013</v>
      </c>
      <c r="F2604" t="s">
        <v>34</v>
      </c>
      <c r="G2604">
        <v>0.73750363971658739</v>
      </c>
      <c r="H2604">
        <v>0.76448090181671779</v>
      </c>
      <c r="I2604">
        <v>0.86151875145585832</v>
      </c>
      <c r="J2604">
        <v>0.80651815181518149</v>
      </c>
      <c r="K2604">
        <v>0.73118741937465448</v>
      </c>
      <c r="L2604">
        <v>0.82970267883426552</v>
      </c>
      <c r="M2604">
        <v>0.95256154357950762</v>
      </c>
      <c r="N2604">
        <v>0.91925163444150781</v>
      </c>
      <c r="O2604">
        <v>0.91368752551466725</v>
      </c>
      <c r="P2604">
        <v>0.92572709574656364</v>
      </c>
      <c r="Q2604">
        <v>0.91472917731221259</v>
      </c>
      <c r="R2604">
        <v>0.92088931734650836</v>
      </c>
    </row>
    <row r="2605" spans="4:19" x14ac:dyDescent="0.25">
      <c r="D2605" t="s">
        <v>81</v>
      </c>
      <c r="E2605">
        <v>2014</v>
      </c>
      <c r="F2605" t="s">
        <v>34</v>
      </c>
      <c r="G2605">
        <v>0.90290850903614461</v>
      </c>
      <c r="H2605">
        <v>0.92564858205710421</v>
      </c>
      <c r="I2605">
        <v>0.91864441911078865</v>
      </c>
      <c r="J2605">
        <v>0.93253123021127171</v>
      </c>
      <c r="K2605">
        <v>0.92435954769053852</v>
      </c>
      <c r="L2605">
        <v>0.93492747941983534</v>
      </c>
      <c r="M2605">
        <v>0.95793901156677186</v>
      </c>
      <c r="N2605">
        <v>0.93549370949294697</v>
      </c>
      <c r="O2605">
        <v>0.95650752125572269</v>
      </c>
      <c r="P2605">
        <v>0.92993979200875754</v>
      </c>
      <c r="Q2605">
        <v>0.95770823433575458</v>
      </c>
      <c r="R2605">
        <v>0.93485361722719573</v>
      </c>
    </row>
    <row r="2606" spans="4:19" x14ac:dyDescent="0.25">
      <c r="D2606" t="s">
        <v>81</v>
      </c>
      <c r="E2606">
        <v>2015</v>
      </c>
      <c r="F2606" t="s">
        <v>34</v>
      </c>
      <c r="G2606">
        <v>0.91148899062568123</v>
      </c>
      <c r="H2606">
        <v>0.91080204956603572</v>
      </c>
      <c r="I2606">
        <v>0.93707074655201295</v>
      </c>
      <c r="J2606">
        <v>0.94219763449065241</v>
      </c>
      <c r="K2606">
        <v>0.93494102621891673</v>
      </c>
      <c r="L2606">
        <v>0.93461831390239614</v>
      </c>
      <c r="M2606">
        <v>0.92048304078131182</v>
      </c>
    </row>
    <row r="2607" spans="4:19" x14ac:dyDescent="0.25">
      <c r="D2607" t="s">
        <v>82</v>
      </c>
      <c r="E2607">
        <v>2013</v>
      </c>
      <c r="F2607" t="s">
        <v>17</v>
      </c>
      <c r="S2607">
        <v>0.91203871748336363</v>
      </c>
    </row>
    <row r="2608" spans="4:19" x14ac:dyDescent="0.25">
      <c r="D2608" t="s">
        <v>82</v>
      </c>
      <c r="E2608">
        <v>2014</v>
      </c>
      <c r="F2608" t="s">
        <v>17</v>
      </c>
      <c r="S2608">
        <v>0.88974283180608926</v>
      </c>
    </row>
    <row r="2609" spans="4:19" x14ac:dyDescent="0.25">
      <c r="D2609" t="s">
        <v>82</v>
      </c>
      <c r="E2609">
        <v>2015</v>
      </c>
      <c r="F2609" t="s">
        <v>17</v>
      </c>
      <c r="S2609">
        <v>0.91310612705174787</v>
      </c>
    </row>
    <row r="2610" spans="4:19" x14ac:dyDescent="0.25">
      <c r="D2610" t="s">
        <v>82</v>
      </c>
      <c r="E2610">
        <v>2013</v>
      </c>
      <c r="F2610" t="s">
        <v>18</v>
      </c>
      <c r="G2610">
        <v>0.99712643678160917</v>
      </c>
      <c r="H2610">
        <v>0.99071207430340558</v>
      </c>
      <c r="I2610">
        <v>0.99406528189910981</v>
      </c>
      <c r="J2610">
        <v>0.87096774193548387</v>
      </c>
      <c r="K2610">
        <v>0.86034063260340632</v>
      </c>
      <c r="L2610">
        <v>0.92001870907390082</v>
      </c>
      <c r="M2610">
        <v>0.9280172413793103</v>
      </c>
      <c r="N2610">
        <v>0.78918377566349529</v>
      </c>
      <c r="O2610">
        <v>0.86729857819905209</v>
      </c>
      <c r="P2610">
        <v>0.86566617862371886</v>
      </c>
      <c r="Q2610">
        <v>0.79948696023941856</v>
      </c>
      <c r="R2610">
        <v>0.85816800337695232</v>
      </c>
    </row>
    <row r="2611" spans="4:19" x14ac:dyDescent="0.25">
      <c r="D2611" t="s">
        <v>82</v>
      </c>
      <c r="E2611">
        <v>2014</v>
      </c>
      <c r="F2611" t="s">
        <v>18</v>
      </c>
      <c r="G2611">
        <v>0.91524846834581353</v>
      </c>
      <c r="H2611">
        <v>0.85697896749521985</v>
      </c>
      <c r="I2611">
        <v>0.94656488549618323</v>
      </c>
      <c r="J2611">
        <v>0.88784648187633264</v>
      </c>
      <c r="K2611">
        <v>0.95607107601184604</v>
      </c>
      <c r="L2611">
        <v>0.87446300715990455</v>
      </c>
      <c r="M2611">
        <v>0.79476526796842539</v>
      </c>
      <c r="N2611">
        <v>0.92178502879078694</v>
      </c>
      <c r="O2611">
        <v>0.92634372926343733</v>
      </c>
      <c r="P2611">
        <v>0.91909863317325458</v>
      </c>
      <c r="Q2611">
        <v>0.93258909403177326</v>
      </c>
      <c r="R2611">
        <v>0.9304556354916067</v>
      </c>
    </row>
    <row r="2612" spans="4:19" x14ac:dyDescent="0.25">
      <c r="D2612" t="s">
        <v>82</v>
      </c>
      <c r="E2612">
        <v>2015</v>
      </c>
      <c r="F2612" t="s">
        <v>18</v>
      </c>
      <c r="G2612">
        <v>0.84334103156274054</v>
      </c>
      <c r="H2612">
        <v>0.87670609645131936</v>
      </c>
      <c r="I2612">
        <v>0.93677269200930957</v>
      </c>
      <c r="J2612">
        <v>0.94857916102841677</v>
      </c>
      <c r="K2612">
        <v>0.91976620616365568</v>
      </c>
      <c r="L2612">
        <v>0.94374999999999998</v>
      </c>
      <c r="M2612">
        <v>0.93108048021342815</v>
      </c>
    </row>
    <row r="2613" spans="4:19" x14ac:dyDescent="0.25">
      <c r="D2613" t="s">
        <v>82</v>
      </c>
      <c r="E2613">
        <v>2013</v>
      </c>
      <c r="F2613" t="s">
        <v>19</v>
      </c>
      <c r="S2613">
        <v>0.73408262721166084</v>
      </c>
    </row>
    <row r="2614" spans="4:19" x14ac:dyDescent="0.25">
      <c r="D2614" t="s">
        <v>82</v>
      </c>
      <c r="E2614">
        <v>2014</v>
      </c>
      <c r="F2614" t="s">
        <v>19</v>
      </c>
      <c r="S2614">
        <v>0.93031030225686984</v>
      </c>
    </row>
    <row r="2615" spans="4:19" x14ac:dyDescent="0.25">
      <c r="D2615" t="s">
        <v>82</v>
      </c>
      <c r="E2615">
        <v>2015</v>
      </c>
      <c r="F2615" t="s">
        <v>19</v>
      </c>
      <c r="S2615">
        <v>0.98158060057796204</v>
      </c>
    </row>
    <row r="2616" spans="4:19" x14ac:dyDescent="0.25">
      <c r="D2616" t="s">
        <v>82</v>
      </c>
      <c r="E2616">
        <v>2013</v>
      </c>
      <c r="F2616" t="s">
        <v>20</v>
      </c>
      <c r="G2616">
        <v>0.68658222172402195</v>
      </c>
      <c r="H2616">
        <v>0.94137949066569049</v>
      </c>
      <c r="I2616">
        <v>0.65104963158626439</v>
      </c>
      <c r="J2616">
        <v>0.62930045871559637</v>
      </c>
      <c r="K2616">
        <v>0.58932150883800039</v>
      </c>
      <c r="L2616">
        <v>0.79722761297477129</v>
      </c>
      <c r="M2616">
        <v>0.78976143141153077</v>
      </c>
      <c r="N2616">
        <v>0.75691358024691358</v>
      </c>
      <c r="O2616">
        <v>0.82543209876543211</v>
      </c>
      <c r="P2616">
        <v>0.9720161556214969</v>
      </c>
      <c r="Q2616">
        <v>0.73286223349640633</v>
      </c>
      <c r="R2616">
        <v>0.66647517832351955</v>
      </c>
    </row>
    <row r="2617" spans="4:19" x14ac:dyDescent="0.25">
      <c r="D2617" t="s">
        <v>82</v>
      </c>
      <c r="E2617">
        <v>2014</v>
      </c>
      <c r="F2617" t="s">
        <v>20</v>
      </c>
      <c r="G2617">
        <v>0.91891264838946674</v>
      </c>
      <c r="H2617">
        <v>0.9784835056622353</v>
      </c>
      <c r="I2617">
        <v>0.81023000727516925</v>
      </c>
      <c r="J2617">
        <v>0.85323238206173557</v>
      </c>
      <c r="K2617">
        <v>0.94729566269224119</v>
      </c>
      <c r="L2617">
        <v>0.99375583853680127</v>
      </c>
      <c r="M2617">
        <v>0.99738987086729558</v>
      </c>
      <c r="N2617">
        <v>0.99589880422966692</v>
      </c>
      <c r="O2617">
        <v>0.99596547194595608</v>
      </c>
      <c r="P2617">
        <v>0.97563055381025043</v>
      </c>
      <c r="Q2617">
        <v>0.95462430879323434</v>
      </c>
      <c r="R2617">
        <v>0.98813396252348007</v>
      </c>
    </row>
    <row r="2618" spans="4:19" x14ac:dyDescent="0.25">
      <c r="D2618" t="s">
        <v>82</v>
      </c>
      <c r="E2618">
        <v>2015</v>
      </c>
      <c r="F2618" t="s">
        <v>20</v>
      </c>
      <c r="G2618">
        <v>0.98545311578533512</v>
      </c>
      <c r="H2618">
        <v>0.99205753348875803</v>
      </c>
      <c r="I2618">
        <v>0.9916895096375582</v>
      </c>
      <c r="J2618">
        <v>0.97856085565582773</v>
      </c>
      <c r="K2618">
        <v>0.96064739634080332</v>
      </c>
      <c r="L2618">
        <v>0.98582753886354579</v>
      </c>
      <c r="M2618">
        <v>0.97126902254998082</v>
      </c>
    </row>
    <row r="2619" spans="4:19" x14ac:dyDescent="0.25">
      <c r="D2619" t="s">
        <v>82</v>
      </c>
      <c r="E2619">
        <v>2013</v>
      </c>
      <c r="F2619" t="s">
        <v>21</v>
      </c>
      <c r="S2619">
        <v>0.82420663326175136</v>
      </c>
    </row>
    <row r="2620" spans="4:19" x14ac:dyDescent="0.25">
      <c r="D2620" t="s">
        <v>82</v>
      </c>
      <c r="E2620">
        <v>2014</v>
      </c>
      <c r="F2620" t="s">
        <v>21</v>
      </c>
      <c r="S2620">
        <v>0.98262976135250757</v>
      </c>
    </row>
    <row r="2621" spans="4:19" x14ac:dyDescent="0.25">
      <c r="D2621" t="s">
        <v>82</v>
      </c>
      <c r="E2621">
        <v>2015</v>
      </c>
      <c r="F2621" t="s">
        <v>21</v>
      </c>
      <c r="S2621">
        <v>0.99072282799859301</v>
      </c>
    </row>
    <row r="2622" spans="4:19" x14ac:dyDescent="0.25">
      <c r="D2622" t="s">
        <v>82</v>
      </c>
      <c r="E2622">
        <v>2013</v>
      </c>
      <c r="F2622" t="s">
        <v>22</v>
      </c>
      <c r="G2622">
        <v>0.84554380664652573</v>
      </c>
      <c r="H2622">
        <v>0.96594173163725894</v>
      </c>
      <c r="I2622">
        <v>0.86335103814582326</v>
      </c>
      <c r="J2622">
        <v>0.66219614417435035</v>
      </c>
      <c r="K2622">
        <v>0.70764552562988703</v>
      </c>
      <c r="L2622">
        <v>0.87574215436810854</v>
      </c>
      <c r="M2622">
        <v>0.84387197501951605</v>
      </c>
      <c r="N2622">
        <v>0.83843717001055962</v>
      </c>
      <c r="O2622">
        <v>0.91771620486985728</v>
      </c>
      <c r="P2622">
        <v>0.92767295597484278</v>
      </c>
      <c r="Q2622">
        <v>0.85083848190644307</v>
      </c>
      <c r="R2622">
        <v>0.77278645833333337</v>
      </c>
    </row>
    <row r="2623" spans="4:19" x14ac:dyDescent="0.25">
      <c r="D2623" t="s">
        <v>82</v>
      </c>
      <c r="E2623">
        <v>2014</v>
      </c>
      <c r="F2623" t="s">
        <v>22</v>
      </c>
      <c r="G2623">
        <v>0.98595848595848601</v>
      </c>
      <c r="H2623">
        <v>0.98779991866612449</v>
      </c>
      <c r="I2623">
        <v>0.96760797342192695</v>
      </c>
      <c r="J2623">
        <v>0.97276264591439687</v>
      </c>
      <c r="K2623">
        <v>0.96183868169991327</v>
      </c>
      <c r="L2623">
        <v>0.99579095054366884</v>
      </c>
      <c r="M2623">
        <v>0.99816737935247402</v>
      </c>
      <c r="N2623">
        <v>0.99717114568599718</v>
      </c>
      <c r="O2623">
        <v>0.99755799755799757</v>
      </c>
      <c r="P2623">
        <v>0.99583066067992299</v>
      </c>
      <c r="Q2623">
        <v>0.99222267703643063</v>
      </c>
      <c r="R2623">
        <v>0.99723587223587229</v>
      </c>
    </row>
    <row r="2624" spans="4:19" x14ac:dyDescent="0.25">
      <c r="D2624" t="s">
        <v>82</v>
      </c>
      <c r="E2624">
        <v>2015</v>
      </c>
      <c r="F2624" t="s">
        <v>22</v>
      </c>
      <c r="G2624">
        <v>0.99223803363518759</v>
      </c>
      <c r="H2624">
        <v>0.99257007767646066</v>
      </c>
      <c r="I2624">
        <v>0.99570815450643779</v>
      </c>
      <c r="J2624">
        <v>0.98719475878499108</v>
      </c>
      <c r="K2624">
        <v>0.98853868194842409</v>
      </c>
      <c r="L2624">
        <v>0.98809853307500695</v>
      </c>
      <c r="M2624">
        <v>0.99067870667055058</v>
      </c>
    </row>
    <row r="2625" spans="4:19" x14ac:dyDescent="0.25">
      <c r="D2625" t="s">
        <v>82</v>
      </c>
      <c r="E2625">
        <v>2013</v>
      </c>
      <c r="F2625" t="s">
        <v>23</v>
      </c>
      <c r="S2625">
        <v>61722</v>
      </c>
    </row>
    <row r="2626" spans="4:19" x14ac:dyDescent="0.25">
      <c r="D2626" t="s">
        <v>82</v>
      </c>
      <c r="E2626">
        <v>2014</v>
      </c>
      <c r="F2626" t="s">
        <v>23</v>
      </c>
      <c r="S2626">
        <v>46926</v>
      </c>
    </row>
    <row r="2627" spans="4:19" x14ac:dyDescent="0.25">
      <c r="D2627" t="s">
        <v>82</v>
      </c>
      <c r="E2627">
        <v>2015</v>
      </c>
      <c r="F2627" t="s">
        <v>23</v>
      </c>
      <c r="S2627">
        <v>41285</v>
      </c>
    </row>
    <row r="2628" spans="4:19" x14ac:dyDescent="0.25">
      <c r="D2628" t="s">
        <v>82</v>
      </c>
      <c r="E2628">
        <v>2013</v>
      </c>
      <c r="F2628" t="s">
        <v>24</v>
      </c>
      <c r="G2628">
        <v>11701</v>
      </c>
      <c r="H2628">
        <v>10944</v>
      </c>
      <c r="I2628">
        <v>9209</v>
      </c>
      <c r="J2628">
        <v>8921</v>
      </c>
      <c r="K2628">
        <v>7131</v>
      </c>
      <c r="L2628">
        <v>6801</v>
      </c>
      <c r="M2628">
        <v>7015</v>
      </c>
      <c r="N2628">
        <v>6985</v>
      </c>
      <c r="O2628">
        <v>8133</v>
      </c>
      <c r="P2628">
        <v>7660</v>
      </c>
      <c r="Q2628">
        <v>7334</v>
      </c>
      <c r="R2628">
        <v>7101</v>
      </c>
    </row>
    <row r="2629" spans="4:19" x14ac:dyDescent="0.25">
      <c r="D2629" t="s">
        <v>82</v>
      </c>
      <c r="E2629">
        <v>2014</v>
      </c>
      <c r="F2629" t="s">
        <v>24</v>
      </c>
      <c r="G2629">
        <v>8325</v>
      </c>
      <c r="H2629">
        <v>7953</v>
      </c>
      <c r="I2629">
        <v>6437</v>
      </c>
      <c r="J2629">
        <v>5992</v>
      </c>
      <c r="K2629">
        <v>5781</v>
      </c>
      <c r="L2629">
        <v>5746</v>
      </c>
      <c r="M2629">
        <v>6692</v>
      </c>
      <c r="N2629">
        <v>5828</v>
      </c>
      <c r="O2629">
        <v>8125</v>
      </c>
      <c r="P2629">
        <v>7069</v>
      </c>
      <c r="Q2629">
        <v>6230</v>
      </c>
      <c r="R2629">
        <v>6157</v>
      </c>
    </row>
    <row r="2630" spans="4:19" x14ac:dyDescent="0.25">
      <c r="D2630" t="s">
        <v>82</v>
      </c>
      <c r="E2630">
        <v>2015</v>
      </c>
      <c r="F2630" t="s">
        <v>24</v>
      </c>
      <c r="G2630">
        <v>6339</v>
      </c>
      <c r="H2630">
        <v>6393</v>
      </c>
      <c r="I2630">
        <v>6207</v>
      </c>
      <c r="J2630">
        <v>5270</v>
      </c>
      <c r="K2630">
        <v>5059</v>
      </c>
      <c r="L2630">
        <v>6049</v>
      </c>
      <c r="M2630">
        <v>5968</v>
      </c>
    </row>
    <row r="2631" spans="4:19" x14ac:dyDescent="0.25">
      <c r="D2631" t="s">
        <v>82</v>
      </c>
      <c r="E2631">
        <v>2013</v>
      </c>
      <c r="F2631" t="s">
        <v>25</v>
      </c>
      <c r="S2631">
        <v>105842</v>
      </c>
    </row>
    <row r="2632" spans="4:19" x14ac:dyDescent="0.25">
      <c r="D2632" t="s">
        <v>82</v>
      </c>
      <c r="E2632">
        <v>2014</v>
      </c>
      <c r="F2632" t="s">
        <v>25</v>
      </c>
      <c r="S2632">
        <v>104992</v>
      </c>
    </row>
    <row r="2633" spans="4:19" x14ac:dyDescent="0.25">
      <c r="D2633" t="s">
        <v>82</v>
      </c>
      <c r="E2633">
        <v>2015</v>
      </c>
      <c r="F2633" t="s">
        <v>25</v>
      </c>
      <c r="S2633">
        <v>111644</v>
      </c>
    </row>
    <row r="2634" spans="4:19" x14ac:dyDescent="0.25">
      <c r="D2634" t="s">
        <v>82</v>
      </c>
      <c r="E2634">
        <v>2013</v>
      </c>
      <c r="F2634" t="s">
        <v>26</v>
      </c>
      <c r="G2634">
        <v>17326</v>
      </c>
      <c r="H2634">
        <v>16192</v>
      </c>
      <c r="I2634">
        <v>14009</v>
      </c>
      <c r="J2634">
        <v>14615</v>
      </c>
      <c r="K2634">
        <v>12977</v>
      </c>
      <c r="L2634">
        <v>15053</v>
      </c>
      <c r="M2634">
        <v>15670</v>
      </c>
      <c r="N2634">
        <v>14778</v>
      </c>
      <c r="O2634">
        <v>20434</v>
      </c>
      <c r="P2634">
        <v>21320</v>
      </c>
      <c r="Q2634">
        <v>18787</v>
      </c>
      <c r="R2634">
        <v>17992</v>
      </c>
    </row>
    <row r="2635" spans="4:19" x14ac:dyDescent="0.25">
      <c r="D2635" t="s">
        <v>82</v>
      </c>
      <c r="E2635">
        <v>2014</v>
      </c>
      <c r="F2635" t="s">
        <v>26</v>
      </c>
      <c r="G2635">
        <v>18876</v>
      </c>
      <c r="H2635">
        <v>15692</v>
      </c>
      <c r="I2635">
        <v>13795</v>
      </c>
      <c r="J2635">
        <v>14618</v>
      </c>
      <c r="K2635">
        <v>12881</v>
      </c>
      <c r="L2635">
        <v>13820</v>
      </c>
      <c r="M2635">
        <v>15310</v>
      </c>
      <c r="O2635">
        <v>18426</v>
      </c>
      <c r="P2635">
        <v>18297</v>
      </c>
      <c r="Q2635">
        <v>18526</v>
      </c>
      <c r="R2635">
        <v>18392</v>
      </c>
    </row>
    <row r="2636" spans="4:19" x14ac:dyDescent="0.25">
      <c r="D2636" t="s">
        <v>82</v>
      </c>
      <c r="E2636">
        <v>2015</v>
      </c>
      <c r="F2636" t="s">
        <v>26</v>
      </c>
      <c r="G2636">
        <v>16937</v>
      </c>
      <c r="H2636">
        <v>16575</v>
      </c>
      <c r="I2636">
        <v>15681</v>
      </c>
      <c r="J2636">
        <v>15279</v>
      </c>
      <c r="K2636">
        <v>13591</v>
      </c>
      <c r="L2636">
        <v>16019</v>
      </c>
      <c r="M2636">
        <v>17562</v>
      </c>
    </row>
    <row r="2637" spans="4:19" x14ac:dyDescent="0.25">
      <c r="D2637" t="s">
        <v>82</v>
      </c>
      <c r="E2637">
        <v>2013</v>
      </c>
      <c r="F2637" t="s">
        <v>27</v>
      </c>
      <c r="S2637">
        <v>198064</v>
      </c>
    </row>
    <row r="2638" spans="4:19" x14ac:dyDescent="0.25">
      <c r="D2638" t="s">
        <v>82</v>
      </c>
      <c r="E2638">
        <v>2014</v>
      </c>
      <c r="F2638" t="s">
        <v>27</v>
      </c>
      <c r="S2638">
        <v>186376</v>
      </c>
    </row>
    <row r="2639" spans="4:19" x14ac:dyDescent="0.25">
      <c r="D2639" t="s">
        <v>82</v>
      </c>
      <c r="E2639">
        <v>2015</v>
      </c>
      <c r="F2639" t="s">
        <v>27</v>
      </c>
      <c r="S2639">
        <v>196192</v>
      </c>
    </row>
    <row r="2640" spans="4:19" x14ac:dyDescent="0.25">
      <c r="D2640" t="s">
        <v>82</v>
      </c>
      <c r="E2640">
        <v>2013</v>
      </c>
      <c r="F2640" t="s">
        <v>28</v>
      </c>
      <c r="G2640">
        <v>32656</v>
      </c>
      <c r="H2640">
        <v>31681</v>
      </c>
      <c r="I2640">
        <v>27225</v>
      </c>
      <c r="J2640">
        <v>27198</v>
      </c>
      <c r="K2640">
        <v>23838</v>
      </c>
      <c r="L2640">
        <v>27122</v>
      </c>
      <c r="M2640">
        <v>28344</v>
      </c>
      <c r="N2640">
        <v>25772</v>
      </c>
      <c r="O2640">
        <v>36880</v>
      </c>
      <c r="P2640">
        <v>38171</v>
      </c>
      <c r="Q2640">
        <v>31089</v>
      </c>
      <c r="R2640">
        <v>31371</v>
      </c>
    </row>
    <row r="2641" spans="4:19" x14ac:dyDescent="0.25">
      <c r="D2641" t="s">
        <v>82</v>
      </c>
      <c r="E2641">
        <v>2014</v>
      </c>
      <c r="F2641" t="s">
        <v>28</v>
      </c>
      <c r="G2641">
        <v>32919</v>
      </c>
      <c r="H2641">
        <v>28639</v>
      </c>
      <c r="I2641">
        <v>24878</v>
      </c>
      <c r="J2641">
        <v>25266</v>
      </c>
      <c r="K2641">
        <v>22558</v>
      </c>
      <c r="L2641">
        <v>24967</v>
      </c>
      <c r="M2641">
        <v>27149</v>
      </c>
      <c r="N2641">
        <v>28398</v>
      </c>
      <c r="O2641">
        <v>32701</v>
      </c>
      <c r="P2641">
        <v>30940</v>
      </c>
      <c r="Q2641">
        <v>30580</v>
      </c>
      <c r="R2641">
        <v>32392</v>
      </c>
    </row>
    <row r="2642" spans="4:19" x14ac:dyDescent="0.25">
      <c r="D2642" t="s">
        <v>82</v>
      </c>
      <c r="E2642">
        <v>2015</v>
      </c>
      <c r="F2642" t="s">
        <v>28</v>
      </c>
      <c r="G2642">
        <v>29232</v>
      </c>
      <c r="H2642">
        <v>30466</v>
      </c>
      <c r="I2642">
        <v>29539</v>
      </c>
      <c r="J2642">
        <v>26707</v>
      </c>
      <c r="K2642">
        <v>23961</v>
      </c>
      <c r="L2642">
        <v>27588</v>
      </c>
      <c r="M2642">
        <v>28699</v>
      </c>
    </row>
    <row r="2643" spans="4:19" x14ac:dyDescent="0.25">
      <c r="D2643" t="s">
        <v>82</v>
      </c>
      <c r="E2643">
        <v>2013</v>
      </c>
      <c r="F2643" t="s">
        <v>29</v>
      </c>
      <c r="S2643">
        <v>8265</v>
      </c>
    </row>
    <row r="2644" spans="4:19" x14ac:dyDescent="0.25">
      <c r="D2644" t="s">
        <v>82</v>
      </c>
      <c r="E2644">
        <v>2014</v>
      </c>
      <c r="F2644" t="s">
        <v>29</v>
      </c>
      <c r="S2644">
        <v>16915</v>
      </c>
    </row>
    <row r="2645" spans="4:19" x14ac:dyDescent="0.25">
      <c r="D2645" t="s">
        <v>82</v>
      </c>
      <c r="E2645">
        <v>2015</v>
      </c>
      <c r="F2645" t="s">
        <v>29</v>
      </c>
      <c r="S2645">
        <v>15962</v>
      </c>
    </row>
    <row r="2646" spans="4:19" x14ac:dyDescent="0.25">
      <c r="D2646" t="s">
        <v>82</v>
      </c>
      <c r="E2646">
        <v>2013</v>
      </c>
      <c r="F2646" t="s">
        <v>30</v>
      </c>
      <c r="G2646">
        <v>348</v>
      </c>
      <c r="H2646">
        <v>323</v>
      </c>
      <c r="I2646">
        <v>337</v>
      </c>
      <c r="J2646">
        <v>744</v>
      </c>
      <c r="K2646">
        <v>2055</v>
      </c>
      <c r="L2646">
        <v>2138</v>
      </c>
      <c r="M2646">
        <v>2320</v>
      </c>
      <c r="N2646">
        <v>1997</v>
      </c>
      <c r="O2646">
        <v>2954</v>
      </c>
      <c r="P2646">
        <v>2732</v>
      </c>
      <c r="Q2646">
        <v>2339</v>
      </c>
      <c r="R2646">
        <v>2369</v>
      </c>
    </row>
    <row r="2647" spans="4:19" x14ac:dyDescent="0.25">
      <c r="D2647" t="s">
        <v>82</v>
      </c>
      <c r="E2647">
        <v>2014</v>
      </c>
      <c r="F2647" t="s">
        <v>30</v>
      </c>
      <c r="G2647">
        <v>2938</v>
      </c>
      <c r="H2647">
        <v>2615</v>
      </c>
      <c r="I2647">
        <v>2489</v>
      </c>
      <c r="J2647">
        <v>2345</v>
      </c>
      <c r="K2647">
        <v>2026</v>
      </c>
      <c r="L2647">
        <v>2095</v>
      </c>
      <c r="M2647">
        <v>2407</v>
      </c>
      <c r="N2647">
        <v>2084</v>
      </c>
      <c r="O2647">
        <v>3014</v>
      </c>
      <c r="P2647">
        <v>2707</v>
      </c>
      <c r="Q2647">
        <v>2329</v>
      </c>
      <c r="R2647">
        <v>2502</v>
      </c>
    </row>
    <row r="2648" spans="4:19" x14ac:dyDescent="0.25">
      <c r="D2648" t="s">
        <v>82</v>
      </c>
      <c r="E2648">
        <v>2015</v>
      </c>
      <c r="F2648" t="s">
        <v>30</v>
      </c>
      <c r="G2648">
        <v>2598</v>
      </c>
      <c r="H2648">
        <v>2198</v>
      </c>
      <c r="I2648">
        <v>2578</v>
      </c>
      <c r="J2648">
        <v>2217</v>
      </c>
      <c r="K2648">
        <v>1882</v>
      </c>
      <c r="L2648">
        <v>2240</v>
      </c>
      <c r="M2648">
        <v>2249</v>
      </c>
    </row>
    <row r="2649" spans="4:19" x14ac:dyDescent="0.25">
      <c r="D2649" t="s">
        <v>82</v>
      </c>
      <c r="E2649">
        <v>2013</v>
      </c>
      <c r="F2649" t="s">
        <v>31</v>
      </c>
      <c r="S2649">
        <v>0.89789702213149281</v>
      </c>
    </row>
    <row r="2650" spans="4:19" x14ac:dyDescent="0.25">
      <c r="D2650" t="s">
        <v>82</v>
      </c>
      <c r="E2650">
        <v>2014</v>
      </c>
      <c r="F2650" t="s">
        <v>31</v>
      </c>
      <c r="S2650">
        <v>0.94378382985977927</v>
      </c>
    </row>
    <row r="2651" spans="4:19" x14ac:dyDescent="0.25">
      <c r="D2651" t="s">
        <v>82</v>
      </c>
      <c r="E2651">
        <v>2015</v>
      </c>
      <c r="F2651" t="s">
        <v>31</v>
      </c>
      <c r="S2651">
        <v>0.93857333171854185</v>
      </c>
    </row>
    <row r="2652" spans="4:19" x14ac:dyDescent="0.25">
      <c r="D2652" t="s">
        <v>82</v>
      </c>
      <c r="E2652">
        <v>2013</v>
      </c>
      <c r="F2652" t="s">
        <v>32</v>
      </c>
      <c r="G2652">
        <v>0.84462866421673366</v>
      </c>
      <c r="H2652">
        <v>0.85444078947368418</v>
      </c>
      <c r="I2652">
        <v>0.89564556412205454</v>
      </c>
      <c r="J2652">
        <v>0.92175765048761349</v>
      </c>
      <c r="K2652">
        <v>0.93338942644790357</v>
      </c>
      <c r="L2652">
        <v>0.92118806057932656</v>
      </c>
      <c r="M2652">
        <v>0.96849607982893804</v>
      </c>
      <c r="N2652">
        <v>0.93371510379384393</v>
      </c>
      <c r="O2652">
        <v>0.94491577523669001</v>
      </c>
      <c r="P2652">
        <v>0.97167101827676239</v>
      </c>
      <c r="Q2652">
        <v>0.93332424325061358</v>
      </c>
      <c r="R2652">
        <v>0.95718912829178993</v>
      </c>
    </row>
    <row r="2653" spans="4:19" x14ac:dyDescent="0.25">
      <c r="D2653" t="s">
        <v>82</v>
      </c>
      <c r="E2653">
        <v>2014</v>
      </c>
      <c r="F2653" t="s">
        <v>32</v>
      </c>
      <c r="G2653">
        <v>0.95747747747747747</v>
      </c>
      <c r="H2653">
        <v>0.90443857663774674</v>
      </c>
      <c r="I2653">
        <v>0.96535653254621723</v>
      </c>
      <c r="J2653">
        <v>0.95844459279038718</v>
      </c>
      <c r="K2653">
        <v>0.94101366545580345</v>
      </c>
      <c r="L2653">
        <v>0.96623738252697533</v>
      </c>
      <c r="M2653">
        <v>0.92274357441721455</v>
      </c>
      <c r="N2653">
        <v>0.92055593685655457</v>
      </c>
      <c r="O2653">
        <v>0.94510769230769232</v>
      </c>
      <c r="P2653">
        <v>0.93874664026029142</v>
      </c>
      <c r="Q2653">
        <v>0.94975922953451042</v>
      </c>
      <c r="R2653">
        <v>0.94818905311028101</v>
      </c>
    </row>
    <row r="2654" spans="4:19" x14ac:dyDescent="0.25">
      <c r="D2654" t="s">
        <v>82</v>
      </c>
      <c r="E2654">
        <v>2015</v>
      </c>
      <c r="F2654" t="s">
        <v>32</v>
      </c>
      <c r="G2654">
        <v>0.94652153336488409</v>
      </c>
      <c r="H2654">
        <v>0.95088377913342714</v>
      </c>
      <c r="I2654">
        <v>0.92540679877557597</v>
      </c>
      <c r="J2654">
        <v>0.94535104364326372</v>
      </c>
      <c r="K2654">
        <v>0.9235026685115636</v>
      </c>
      <c r="L2654">
        <v>0.94461894528021162</v>
      </c>
      <c r="M2654">
        <v>0.93130026809651478</v>
      </c>
    </row>
    <row r="2655" spans="4:19" x14ac:dyDescent="0.25">
      <c r="D2655" t="s">
        <v>82</v>
      </c>
      <c r="E2655">
        <v>2013</v>
      </c>
      <c r="F2655" t="s">
        <v>33</v>
      </c>
      <c r="S2655">
        <v>0.92527799748755413</v>
      </c>
    </row>
    <row r="2656" spans="4:19" x14ac:dyDescent="0.25">
      <c r="D2656" t="s">
        <v>82</v>
      </c>
      <c r="E2656">
        <v>2014</v>
      </c>
      <c r="F2656" t="s">
        <v>33</v>
      </c>
      <c r="S2656">
        <v>0.92499683263651333</v>
      </c>
    </row>
    <row r="2657" spans="4:19" x14ac:dyDescent="0.25">
      <c r="D2657" t="s">
        <v>82</v>
      </c>
      <c r="E2657">
        <v>2015</v>
      </c>
      <c r="F2657" t="s">
        <v>33</v>
      </c>
      <c r="S2657">
        <v>0.97128937483729405</v>
      </c>
    </row>
    <row r="2658" spans="4:19" x14ac:dyDescent="0.25">
      <c r="D2658" t="s">
        <v>82</v>
      </c>
      <c r="E2658">
        <v>2013</v>
      </c>
      <c r="F2658" t="s">
        <v>34</v>
      </c>
      <c r="G2658">
        <v>0.86186451368739747</v>
      </c>
      <c r="H2658">
        <v>0.86956521739130432</v>
      </c>
      <c r="I2658">
        <v>0.93566978193146422</v>
      </c>
      <c r="J2658">
        <v>0.95681063122923593</v>
      </c>
      <c r="K2658">
        <v>0.97516391814027414</v>
      </c>
      <c r="L2658">
        <v>0.96833053691275173</v>
      </c>
      <c r="M2658">
        <v>0.96882793017456359</v>
      </c>
      <c r="N2658">
        <v>0.90094137783483097</v>
      </c>
      <c r="O2658">
        <v>0.92220871679110961</v>
      </c>
      <c r="P2658">
        <v>0.95941649523097061</v>
      </c>
      <c r="Q2658">
        <v>0.89989764585465715</v>
      </c>
      <c r="R2658">
        <v>0.93734542456718883</v>
      </c>
    </row>
    <row r="2659" spans="4:19" x14ac:dyDescent="0.25">
      <c r="D2659" t="s">
        <v>82</v>
      </c>
      <c r="E2659">
        <v>2014</v>
      </c>
      <c r="F2659" t="s">
        <v>34</v>
      </c>
      <c r="G2659">
        <v>0.93811188811188806</v>
      </c>
      <c r="H2659">
        <v>0.86426147526343988</v>
      </c>
      <c r="I2659">
        <v>0.949410163339383</v>
      </c>
      <c r="J2659">
        <v>0.93937180423666911</v>
      </c>
      <c r="K2659">
        <v>0.91462193289934901</v>
      </c>
      <c r="L2659">
        <v>0.95121951219512191</v>
      </c>
      <c r="M2659">
        <v>0.93443058136448098</v>
      </c>
      <c r="N2659">
        <v>0.99506781750924789</v>
      </c>
      <c r="O2659">
        <v>0.97942052531816948</v>
      </c>
      <c r="P2659">
        <v>0.98903809262811726</v>
      </c>
      <c r="Q2659">
        <v>0.98210862619808303</v>
      </c>
      <c r="R2659">
        <v>0.99009009009009008</v>
      </c>
    </row>
    <row r="2660" spans="4:19" x14ac:dyDescent="0.25">
      <c r="D2660" t="s">
        <v>82</v>
      </c>
      <c r="E2660">
        <v>2015</v>
      </c>
      <c r="F2660" t="s">
        <v>34</v>
      </c>
      <c r="G2660">
        <v>0.97545050927135024</v>
      </c>
      <c r="H2660">
        <v>0.9815369261477046</v>
      </c>
      <c r="I2660">
        <v>0.95682210708117443</v>
      </c>
      <c r="J2660">
        <v>0.98414071510957324</v>
      </c>
      <c r="K2660">
        <v>0.95157029644848845</v>
      </c>
      <c r="L2660">
        <v>0.99034516051170651</v>
      </c>
      <c r="M2660">
        <v>0.95754835468475252</v>
      </c>
    </row>
    <row r="2661" spans="4:19" x14ac:dyDescent="0.25">
      <c r="D2661" t="s">
        <v>83</v>
      </c>
      <c r="E2661">
        <v>2013</v>
      </c>
      <c r="F2661" t="s">
        <v>17</v>
      </c>
      <c r="S2661">
        <v>0.93182115737103954</v>
      </c>
    </row>
    <row r="2662" spans="4:19" x14ac:dyDescent="0.25">
      <c r="D2662" t="s">
        <v>83</v>
      </c>
      <c r="E2662">
        <v>2014</v>
      </c>
      <c r="F2662" t="s">
        <v>17</v>
      </c>
      <c r="S2662">
        <v>0.96214160024842144</v>
      </c>
    </row>
    <row r="2663" spans="4:19" x14ac:dyDescent="0.25">
      <c r="D2663" t="s">
        <v>83</v>
      </c>
      <c r="E2663">
        <v>2015</v>
      </c>
      <c r="F2663" t="s">
        <v>17</v>
      </c>
      <c r="S2663">
        <v>0.95643101367658889</v>
      </c>
    </row>
    <row r="2664" spans="4:19" x14ac:dyDescent="0.25">
      <c r="D2664" t="s">
        <v>83</v>
      </c>
      <c r="E2664">
        <v>2013</v>
      </c>
      <c r="F2664" t="s">
        <v>18</v>
      </c>
      <c r="G2664">
        <v>0.92779983381035913</v>
      </c>
      <c r="H2664">
        <v>0.93649467307290579</v>
      </c>
      <c r="I2664">
        <v>0.94819096553200599</v>
      </c>
      <c r="J2664">
        <v>0.93286562331354561</v>
      </c>
      <c r="K2664">
        <v>0.92924472020045346</v>
      </c>
      <c r="L2664">
        <v>0.9269406392694064</v>
      </c>
      <c r="M2664">
        <v>0.91639826354852261</v>
      </c>
      <c r="N2664">
        <v>0.92778928677123407</v>
      </c>
      <c r="O2664">
        <v>0.94115389535627481</v>
      </c>
      <c r="P2664">
        <v>0.96329822251481234</v>
      </c>
      <c r="Q2664">
        <v>0.96397490386561424</v>
      </c>
      <c r="R2664">
        <v>0.96357498223169868</v>
      </c>
    </row>
    <row r="2665" spans="4:19" x14ac:dyDescent="0.25">
      <c r="D2665" t="s">
        <v>83</v>
      </c>
      <c r="E2665">
        <v>2014</v>
      </c>
      <c r="F2665" t="s">
        <v>18</v>
      </c>
      <c r="G2665">
        <v>0.96251874062968512</v>
      </c>
      <c r="H2665">
        <v>0.96043470877907966</v>
      </c>
      <c r="I2665">
        <v>0.96852434734308457</v>
      </c>
      <c r="J2665">
        <v>0.96115025709388691</v>
      </c>
      <c r="K2665">
        <v>0.9648277093376183</v>
      </c>
      <c r="L2665">
        <v>0.95934466019417475</v>
      </c>
      <c r="M2665">
        <v>0.95805580558055803</v>
      </c>
      <c r="N2665">
        <v>0.96676557863501489</v>
      </c>
      <c r="O2665">
        <v>0.97203283706692645</v>
      </c>
      <c r="P2665">
        <v>0.96192413893329454</v>
      </c>
      <c r="Q2665">
        <v>0.95845481049562686</v>
      </c>
      <c r="R2665">
        <v>0.96578298397040685</v>
      </c>
    </row>
    <row r="2666" spans="4:19" x14ac:dyDescent="0.25">
      <c r="D2666" t="s">
        <v>83</v>
      </c>
      <c r="E2666">
        <v>2015</v>
      </c>
      <c r="F2666" t="s">
        <v>18</v>
      </c>
      <c r="G2666">
        <v>0.95623820147588812</v>
      </c>
      <c r="H2666">
        <v>0.95123713202094995</v>
      </c>
      <c r="I2666">
        <v>0.95533541883906847</v>
      </c>
      <c r="J2666">
        <v>0.95544275239706711</v>
      </c>
      <c r="K2666">
        <v>0.94955300127713926</v>
      </c>
      <c r="L2666">
        <v>0.96472416472416478</v>
      </c>
      <c r="M2666">
        <v>0.95971640348050269</v>
      </c>
    </row>
    <row r="2667" spans="4:19" x14ac:dyDescent="0.25">
      <c r="D2667" t="s">
        <v>83</v>
      </c>
      <c r="E2667">
        <v>2013</v>
      </c>
      <c r="F2667" t="s">
        <v>19</v>
      </c>
      <c r="S2667">
        <v>0.93634808638015821</v>
      </c>
    </row>
    <row r="2668" spans="4:19" x14ac:dyDescent="0.25">
      <c r="D2668" t="s">
        <v>83</v>
      </c>
      <c r="E2668">
        <v>2014</v>
      </c>
      <c r="F2668" t="s">
        <v>19</v>
      </c>
      <c r="S2668">
        <v>0.99936123517730069</v>
      </c>
    </row>
    <row r="2669" spans="4:19" x14ac:dyDescent="0.25">
      <c r="D2669" t="s">
        <v>83</v>
      </c>
      <c r="E2669">
        <v>2015</v>
      </c>
      <c r="F2669" t="s">
        <v>19</v>
      </c>
      <c r="S2669">
        <v>0.99909892944236123</v>
      </c>
    </row>
    <row r="2670" spans="4:19" x14ac:dyDescent="0.25">
      <c r="D2670" t="s">
        <v>83</v>
      </c>
      <c r="E2670">
        <v>2013</v>
      </c>
      <c r="F2670" t="s">
        <v>20</v>
      </c>
      <c r="G2670">
        <v>0.90211280495777002</v>
      </c>
      <c r="H2670">
        <v>0.96684936684936684</v>
      </c>
      <c r="I2670">
        <v>0.89081381500595469</v>
      </c>
      <c r="J2670">
        <v>0.95705135537001029</v>
      </c>
      <c r="K2670">
        <v>0.84982453309668826</v>
      </c>
      <c r="L2670">
        <v>0.98374051391292772</v>
      </c>
      <c r="M2670">
        <v>1</v>
      </c>
      <c r="N2670">
        <v>1</v>
      </c>
      <c r="O2670">
        <v>0.99410681399631673</v>
      </c>
      <c r="P2670">
        <v>0.99994637854069202</v>
      </c>
      <c r="Q2670">
        <v>0.9985626471757546</v>
      </c>
      <c r="R2670">
        <v>0.99780157146928306</v>
      </c>
    </row>
    <row r="2671" spans="4:19" x14ac:dyDescent="0.25">
      <c r="D2671" t="s">
        <v>83</v>
      </c>
      <c r="E2671">
        <v>2014</v>
      </c>
      <c r="F2671" t="s">
        <v>20</v>
      </c>
      <c r="G2671">
        <v>0.9998052930339838</v>
      </c>
      <c r="H2671">
        <v>0.99917642027906683</v>
      </c>
      <c r="I2671">
        <v>0.99987084632557799</v>
      </c>
      <c r="J2671">
        <v>0.99904156756948637</v>
      </c>
      <c r="K2671">
        <v>0.99879150487360324</v>
      </c>
      <c r="L2671">
        <v>0.99896606141957955</v>
      </c>
      <c r="M2671">
        <v>0.99976904080871254</v>
      </c>
      <c r="N2671">
        <v>0.99987307765532119</v>
      </c>
      <c r="O2671">
        <v>0.99985560725172473</v>
      </c>
      <c r="P2671">
        <v>0.99851128102100106</v>
      </c>
      <c r="Q2671">
        <v>0.99519006482956096</v>
      </c>
      <c r="R2671">
        <v>0.99816167860990113</v>
      </c>
    </row>
    <row r="2672" spans="4:19" x14ac:dyDescent="0.25">
      <c r="D2672" t="s">
        <v>83</v>
      </c>
      <c r="E2672">
        <v>2015</v>
      </c>
      <c r="F2672" t="s">
        <v>20</v>
      </c>
      <c r="G2672">
        <v>0.99657341344348482</v>
      </c>
      <c r="H2672">
        <v>0.99941020844918527</v>
      </c>
      <c r="I2672">
        <v>0.99961548106662212</v>
      </c>
      <c r="J2672">
        <v>0.99919315797966757</v>
      </c>
      <c r="K2672">
        <v>0.99990818106693602</v>
      </c>
      <c r="L2672">
        <v>0.99988609397247274</v>
      </c>
      <c r="M2672">
        <v>0.99940592000712891</v>
      </c>
    </row>
    <row r="2673" spans="4:19" x14ac:dyDescent="0.25">
      <c r="D2673" t="s">
        <v>83</v>
      </c>
      <c r="E2673">
        <v>2013</v>
      </c>
      <c r="F2673" t="s">
        <v>21</v>
      </c>
      <c r="S2673">
        <v>0.96422817381558368</v>
      </c>
    </row>
    <row r="2674" spans="4:19" x14ac:dyDescent="0.25">
      <c r="D2674" t="s">
        <v>83</v>
      </c>
      <c r="E2674">
        <v>2014</v>
      </c>
      <c r="F2674" t="s">
        <v>21</v>
      </c>
      <c r="S2674">
        <v>0.99620991881473819</v>
      </c>
    </row>
    <row r="2675" spans="4:19" x14ac:dyDescent="0.25">
      <c r="D2675" t="s">
        <v>83</v>
      </c>
      <c r="E2675">
        <v>2015</v>
      </c>
      <c r="F2675" t="s">
        <v>21</v>
      </c>
      <c r="S2675">
        <v>0.99772130669388948</v>
      </c>
    </row>
    <row r="2676" spans="4:19" x14ac:dyDescent="0.25">
      <c r="D2676" t="s">
        <v>83</v>
      </c>
      <c r="E2676">
        <v>2013</v>
      </c>
      <c r="F2676" t="s">
        <v>22</v>
      </c>
      <c r="G2676">
        <v>0.90144364242087727</v>
      </c>
      <c r="H2676">
        <v>0.96937639198218262</v>
      </c>
      <c r="I2676">
        <v>0.97364445190532145</v>
      </c>
      <c r="J2676">
        <v>0.97953266245949178</v>
      </c>
      <c r="K2676">
        <v>0.94506726457399104</v>
      </c>
      <c r="L2676">
        <v>0.98596147567744041</v>
      </c>
      <c r="M2676">
        <v>1</v>
      </c>
      <c r="N2676">
        <v>0.99199999999999999</v>
      </c>
      <c r="O2676">
        <v>0.98309987819732036</v>
      </c>
      <c r="P2676">
        <v>0.99391538134993629</v>
      </c>
      <c r="Q2676">
        <v>0.99032815198618307</v>
      </c>
      <c r="R2676">
        <v>0.98384728340675476</v>
      </c>
    </row>
    <row r="2677" spans="4:19" x14ac:dyDescent="0.25">
      <c r="D2677" t="s">
        <v>83</v>
      </c>
      <c r="E2677">
        <v>2014</v>
      </c>
      <c r="F2677" t="s">
        <v>22</v>
      </c>
      <c r="G2677">
        <v>0.9924501424501424</v>
      </c>
      <c r="H2677">
        <v>0.99448805745782531</v>
      </c>
      <c r="I2677">
        <v>0.9905543511923196</v>
      </c>
      <c r="J2677">
        <v>0.99758488421650804</v>
      </c>
      <c r="K2677">
        <v>0.99805413055015035</v>
      </c>
      <c r="L2677">
        <v>0.9998620309050773</v>
      </c>
      <c r="M2677">
        <v>1</v>
      </c>
      <c r="N2677">
        <v>1</v>
      </c>
      <c r="O2677">
        <v>0.99669207536315263</v>
      </c>
      <c r="P2677">
        <v>0.99890320811625999</v>
      </c>
      <c r="Q2677">
        <v>0.99786465177398165</v>
      </c>
      <c r="R2677">
        <v>0.99846103110915685</v>
      </c>
    </row>
    <row r="2678" spans="4:19" x14ac:dyDescent="0.25">
      <c r="D2678" t="s">
        <v>83</v>
      </c>
      <c r="E2678">
        <v>2015</v>
      </c>
      <c r="F2678" t="s">
        <v>22</v>
      </c>
      <c r="G2678">
        <v>0.99658882183154029</v>
      </c>
      <c r="H2678">
        <v>0.99686806733655231</v>
      </c>
      <c r="I2678">
        <v>0.99802785652656234</v>
      </c>
      <c r="J2678">
        <v>0.9945772738476707</v>
      </c>
      <c r="K2678">
        <v>0.99913953821884416</v>
      </c>
      <c r="L2678">
        <v>0.99905021963670904</v>
      </c>
      <c r="M2678">
        <v>0.99987418218419732</v>
      </c>
    </row>
    <row r="2679" spans="4:19" x14ac:dyDescent="0.25">
      <c r="D2679" t="s">
        <v>83</v>
      </c>
      <c r="E2679">
        <v>2013</v>
      </c>
      <c r="F2679" t="s">
        <v>23</v>
      </c>
      <c r="S2679">
        <v>112295</v>
      </c>
    </row>
    <row r="2680" spans="4:19" x14ac:dyDescent="0.25">
      <c r="D2680" t="s">
        <v>83</v>
      </c>
      <c r="E2680">
        <v>2014</v>
      </c>
      <c r="F2680" t="s">
        <v>23</v>
      </c>
      <c r="S2680">
        <v>106684</v>
      </c>
    </row>
    <row r="2681" spans="4:19" x14ac:dyDescent="0.25">
      <c r="D2681" t="s">
        <v>83</v>
      </c>
      <c r="E2681">
        <v>2015</v>
      </c>
      <c r="F2681" t="s">
        <v>23</v>
      </c>
      <c r="S2681">
        <v>103569</v>
      </c>
    </row>
    <row r="2682" spans="4:19" x14ac:dyDescent="0.25">
      <c r="D2682" t="s">
        <v>83</v>
      </c>
      <c r="E2682">
        <v>2013</v>
      </c>
      <c r="F2682" t="s">
        <v>24</v>
      </c>
      <c r="G2682">
        <v>20088</v>
      </c>
      <c r="H2682">
        <v>17798</v>
      </c>
      <c r="I2682">
        <v>15422</v>
      </c>
      <c r="J2682">
        <v>15470</v>
      </c>
      <c r="K2682">
        <v>14775</v>
      </c>
      <c r="L2682">
        <v>14409</v>
      </c>
      <c r="M2682">
        <v>14333</v>
      </c>
      <c r="N2682">
        <v>14391</v>
      </c>
      <c r="O2682">
        <v>16895</v>
      </c>
      <c r="P2682">
        <v>18878</v>
      </c>
      <c r="Q2682">
        <v>14882</v>
      </c>
      <c r="R2682">
        <v>16312</v>
      </c>
    </row>
    <row r="2683" spans="4:19" x14ac:dyDescent="0.25">
      <c r="D2683" t="s">
        <v>83</v>
      </c>
      <c r="E2683">
        <v>2014</v>
      </c>
      <c r="F2683" t="s">
        <v>24</v>
      </c>
      <c r="G2683">
        <v>18826</v>
      </c>
      <c r="H2683">
        <v>17423</v>
      </c>
      <c r="I2683">
        <v>13655</v>
      </c>
      <c r="J2683">
        <v>13383</v>
      </c>
      <c r="K2683">
        <v>14205</v>
      </c>
      <c r="L2683">
        <v>13901</v>
      </c>
      <c r="M2683">
        <v>15291</v>
      </c>
      <c r="N2683">
        <v>15622</v>
      </c>
      <c r="O2683">
        <v>21952</v>
      </c>
      <c r="P2683">
        <v>18713</v>
      </c>
      <c r="Q2683">
        <v>16723</v>
      </c>
      <c r="R2683">
        <v>18189</v>
      </c>
    </row>
    <row r="2684" spans="4:19" x14ac:dyDescent="0.25">
      <c r="D2684" t="s">
        <v>83</v>
      </c>
      <c r="E2684">
        <v>2015</v>
      </c>
      <c r="F2684" t="s">
        <v>24</v>
      </c>
      <c r="G2684">
        <v>17817</v>
      </c>
      <c r="H2684">
        <v>15302</v>
      </c>
      <c r="I2684">
        <v>15660</v>
      </c>
      <c r="J2684">
        <v>14194</v>
      </c>
      <c r="K2684">
        <v>12779</v>
      </c>
      <c r="L2684">
        <v>14085</v>
      </c>
      <c r="M2684">
        <v>13732</v>
      </c>
    </row>
    <row r="2685" spans="4:19" x14ac:dyDescent="0.25">
      <c r="D2685" t="s">
        <v>83</v>
      </c>
      <c r="E2685">
        <v>2013</v>
      </c>
      <c r="F2685" t="s">
        <v>25</v>
      </c>
      <c r="S2685">
        <v>245457</v>
      </c>
    </row>
    <row r="2686" spans="4:19" x14ac:dyDescent="0.25">
      <c r="D2686" t="s">
        <v>83</v>
      </c>
      <c r="E2686">
        <v>2014</v>
      </c>
      <c r="F2686" t="s">
        <v>25</v>
      </c>
      <c r="S2686">
        <v>246296</v>
      </c>
    </row>
    <row r="2687" spans="4:19" x14ac:dyDescent="0.25">
      <c r="D2687" t="s">
        <v>83</v>
      </c>
      <c r="E2687">
        <v>2015</v>
      </c>
      <c r="F2687" t="s">
        <v>25</v>
      </c>
      <c r="S2687">
        <v>252202</v>
      </c>
    </row>
    <row r="2688" spans="4:19" x14ac:dyDescent="0.25">
      <c r="D2688" t="s">
        <v>83</v>
      </c>
      <c r="E2688">
        <v>2013</v>
      </c>
      <c r="F2688" t="s">
        <v>26</v>
      </c>
      <c r="G2688">
        <v>43263</v>
      </c>
      <c r="H2688">
        <v>35057</v>
      </c>
      <c r="I2688">
        <v>34993</v>
      </c>
      <c r="J2688">
        <v>31635</v>
      </c>
      <c r="K2688">
        <v>29432</v>
      </c>
      <c r="L2688">
        <v>34223</v>
      </c>
      <c r="M2688">
        <v>36854</v>
      </c>
      <c r="N2688">
        <v>34573</v>
      </c>
      <c r="O2688">
        <v>41623</v>
      </c>
      <c r="P2688">
        <v>43907</v>
      </c>
      <c r="Q2688">
        <v>38740</v>
      </c>
      <c r="R2688">
        <v>46619</v>
      </c>
    </row>
    <row r="2689" spans="4:19" x14ac:dyDescent="0.25">
      <c r="D2689" t="s">
        <v>83</v>
      </c>
      <c r="E2689">
        <v>2014</v>
      </c>
      <c r="F2689" t="s">
        <v>26</v>
      </c>
      <c r="G2689">
        <v>43747</v>
      </c>
      <c r="H2689">
        <v>36655</v>
      </c>
      <c r="I2689">
        <v>33326</v>
      </c>
      <c r="J2689">
        <v>33814</v>
      </c>
      <c r="K2689">
        <v>30512</v>
      </c>
      <c r="L2689">
        <v>33075</v>
      </c>
      <c r="M2689">
        <v>35167</v>
      </c>
      <c r="N2689">
        <v>34598</v>
      </c>
      <c r="O2689">
        <v>39757</v>
      </c>
      <c r="P2689">
        <v>40624</v>
      </c>
      <c r="Q2689">
        <v>37703</v>
      </c>
      <c r="R2689">
        <v>54142</v>
      </c>
    </row>
    <row r="2690" spans="4:19" x14ac:dyDescent="0.25">
      <c r="D2690" t="s">
        <v>83</v>
      </c>
      <c r="E2690">
        <v>2015</v>
      </c>
      <c r="F2690" t="s">
        <v>26</v>
      </c>
      <c r="G2690">
        <v>38142</v>
      </c>
      <c r="H2690">
        <v>33358</v>
      </c>
      <c r="I2690">
        <v>35783</v>
      </c>
      <c r="J2690">
        <v>35574</v>
      </c>
      <c r="K2690">
        <v>30871</v>
      </c>
      <c r="L2690">
        <v>37315</v>
      </c>
      <c r="M2690">
        <v>41159</v>
      </c>
    </row>
    <row r="2691" spans="4:19" x14ac:dyDescent="0.25">
      <c r="D2691" t="s">
        <v>83</v>
      </c>
      <c r="E2691">
        <v>2013</v>
      </c>
      <c r="F2691" t="s">
        <v>27</v>
      </c>
      <c r="S2691">
        <v>437141</v>
      </c>
    </row>
    <row r="2692" spans="4:19" x14ac:dyDescent="0.25">
      <c r="D2692" t="s">
        <v>83</v>
      </c>
      <c r="E2692">
        <v>2014</v>
      </c>
      <c r="F2692" t="s">
        <v>27</v>
      </c>
      <c r="S2692">
        <v>439769</v>
      </c>
    </row>
    <row r="2693" spans="4:19" x14ac:dyDescent="0.25">
      <c r="D2693" t="s">
        <v>83</v>
      </c>
      <c r="E2693">
        <v>2015</v>
      </c>
      <c r="F2693" t="s">
        <v>27</v>
      </c>
      <c r="S2693">
        <v>467733</v>
      </c>
    </row>
    <row r="2694" spans="4:19" x14ac:dyDescent="0.25">
      <c r="D2694" t="s">
        <v>83</v>
      </c>
      <c r="E2694">
        <v>2013</v>
      </c>
      <c r="F2694" t="s">
        <v>28</v>
      </c>
      <c r="G2694">
        <v>75854</v>
      </c>
      <c r="H2694">
        <v>62595</v>
      </c>
      <c r="I2694">
        <v>61360</v>
      </c>
      <c r="J2694">
        <v>56663</v>
      </c>
      <c r="K2694">
        <v>52763</v>
      </c>
      <c r="L2694">
        <v>60351</v>
      </c>
      <c r="M2694">
        <v>67555</v>
      </c>
      <c r="N2694">
        <v>59106</v>
      </c>
      <c r="O2694">
        <v>72249</v>
      </c>
      <c r="P2694">
        <v>77313</v>
      </c>
      <c r="Q2694">
        <v>70624</v>
      </c>
      <c r="R2694">
        <v>79893</v>
      </c>
    </row>
    <row r="2695" spans="4:19" x14ac:dyDescent="0.25">
      <c r="D2695" t="s">
        <v>83</v>
      </c>
      <c r="E2695">
        <v>2014</v>
      </c>
      <c r="F2695" t="s">
        <v>28</v>
      </c>
      <c r="G2695">
        <v>77326</v>
      </c>
      <c r="H2695">
        <v>68609</v>
      </c>
      <c r="I2695">
        <v>59752</v>
      </c>
      <c r="J2695">
        <v>60378</v>
      </c>
      <c r="K2695">
        <v>54803</v>
      </c>
      <c r="L2695">
        <v>57889</v>
      </c>
      <c r="M2695">
        <v>61012</v>
      </c>
      <c r="N2695">
        <v>57309</v>
      </c>
      <c r="O2695">
        <v>68960</v>
      </c>
      <c r="P2695">
        <v>72985</v>
      </c>
      <c r="Q2695">
        <v>66207</v>
      </c>
      <c r="R2695">
        <v>94324</v>
      </c>
    </row>
    <row r="2696" spans="4:19" x14ac:dyDescent="0.25">
      <c r="D2696" t="s">
        <v>83</v>
      </c>
      <c r="E2696">
        <v>2015</v>
      </c>
      <c r="F2696" t="s">
        <v>28</v>
      </c>
      <c r="G2696">
        <v>69857</v>
      </c>
      <c r="H2696">
        <v>64325</v>
      </c>
      <c r="I2696">
        <v>68833</v>
      </c>
      <c r="J2696">
        <v>65654</v>
      </c>
      <c r="K2696">
        <v>56047</v>
      </c>
      <c r="L2696">
        <v>68867</v>
      </c>
      <c r="M2696">
        <v>74150</v>
      </c>
    </row>
    <row r="2697" spans="4:19" x14ac:dyDescent="0.25">
      <c r="D2697" t="s">
        <v>83</v>
      </c>
      <c r="E2697">
        <v>2013</v>
      </c>
      <c r="F2697" t="s">
        <v>29</v>
      </c>
      <c r="S2697">
        <v>61104</v>
      </c>
    </row>
    <row r="2698" spans="4:19" x14ac:dyDescent="0.25">
      <c r="D2698" t="s">
        <v>83</v>
      </c>
      <c r="E2698">
        <v>2014</v>
      </c>
      <c r="F2698" t="s">
        <v>29</v>
      </c>
      <c r="S2698">
        <v>38644</v>
      </c>
    </row>
    <row r="2699" spans="4:19" x14ac:dyDescent="0.25">
      <c r="D2699" t="s">
        <v>83</v>
      </c>
      <c r="E2699">
        <v>2015</v>
      </c>
      <c r="F2699" t="s">
        <v>29</v>
      </c>
      <c r="S2699">
        <v>39776</v>
      </c>
    </row>
    <row r="2700" spans="4:19" x14ac:dyDescent="0.25">
      <c r="D2700" t="s">
        <v>83</v>
      </c>
      <c r="E2700">
        <v>2013</v>
      </c>
      <c r="F2700" t="s">
        <v>30</v>
      </c>
      <c r="G2700">
        <v>10831</v>
      </c>
      <c r="H2700">
        <v>9574</v>
      </c>
      <c r="I2700">
        <v>9342</v>
      </c>
      <c r="J2700">
        <v>9265</v>
      </c>
      <c r="K2700">
        <v>8381</v>
      </c>
      <c r="L2700">
        <v>6570</v>
      </c>
      <c r="M2700">
        <v>7141</v>
      </c>
      <c r="N2700">
        <v>6758</v>
      </c>
      <c r="O2700">
        <v>7817</v>
      </c>
      <c r="P2700">
        <v>6076</v>
      </c>
      <c r="Q2700">
        <v>4941</v>
      </c>
      <c r="R2700">
        <v>5628</v>
      </c>
    </row>
    <row r="2701" spans="4:19" x14ac:dyDescent="0.25">
      <c r="D2701" t="s">
        <v>83</v>
      </c>
      <c r="E2701">
        <v>2014</v>
      </c>
      <c r="F2701" t="s">
        <v>30</v>
      </c>
      <c r="G2701">
        <v>6003</v>
      </c>
      <c r="H2701">
        <v>5889</v>
      </c>
      <c r="I2701">
        <v>5401</v>
      </c>
      <c r="J2701">
        <v>5251</v>
      </c>
      <c r="K2701">
        <v>5601</v>
      </c>
      <c r="L2701">
        <v>4944</v>
      </c>
      <c r="M2701">
        <v>5555</v>
      </c>
      <c r="N2701">
        <v>5055</v>
      </c>
      <c r="O2701">
        <v>7187</v>
      </c>
      <c r="P2701">
        <v>6881</v>
      </c>
      <c r="Q2701">
        <v>5488</v>
      </c>
      <c r="R2701">
        <v>6488</v>
      </c>
    </row>
    <row r="2702" spans="4:19" x14ac:dyDescent="0.25">
      <c r="D2702" t="s">
        <v>83</v>
      </c>
      <c r="E2702">
        <v>2015</v>
      </c>
      <c r="F2702" t="s">
        <v>30</v>
      </c>
      <c r="G2702">
        <v>5827</v>
      </c>
      <c r="H2702">
        <v>5537</v>
      </c>
      <c r="I2702">
        <v>5754</v>
      </c>
      <c r="J2702">
        <v>5319</v>
      </c>
      <c r="K2702">
        <v>4698</v>
      </c>
      <c r="L2702">
        <v>6435</v>
      </c>
      <c r="M2702">
        <v>6206</v>
      </c>
    </row>
    <row r="2703" spans="4:19" x14ac:dyDescent="0.25">
      <c r="D2703" t="s">
        <v>83</v>
      </c>
      <c r="E2703">
        <v>2013</v>
      </c>
      <c r="F2703" t="s">
        <v>31</v>
      </c>
      <c r="S2703">
        <v>0.91140300102408833</v>
      </c>
    </row>
    <row r="2704" spans="4:19" x14ac:dyDescent="0.25">
      <c r="D2704" t="s">
        <v>83</v>
      </c>
      <c r="E2704">
        <v>2014</v>
      </c>
      <c r="F2704" t="s">
        <v>31</v>
      </c>
      <c r="S2704">
        <v>0.96049079524577252</v>
      </c>
    </row>
    <row r="2705" spans="4:19" x14ac:dyDescent="0.25">
      <c r="D2705" t="s">
        <v>83</v>
      </c>
      <c r="E2705">
        <v>2015</v>
      </c>
      <c r="F2705" t="s">
        <v>31</v>
      </c>
      <c r="S2705">
        <v>0.89516167965317806</v>
      </c>
    </row>
    <row r="2706" spans="4:19" x14ac:dyDescent="0.25">
      <c r="D2706" t="s">
        <v>83</v>
      </c>
      <c r="E2706">
        <v>2013</v>
      </c>
      <c r="F2706" t="s">
        <v>32</v>
      </c>
      <c r="G2706">
        <v>0.8945639187574671</v>
      </c>
      <c r="H2706">
        <v>0.9102708169457242</v>
      </c>
      <c r="I2706">
        <v>0.91700168590325504</v>
      </c>
      <c r="J2706">
        <v>0.92643826761473824</v>
      </c>
      <c r="K2706">
        <v>0.89028764805414551</v>
      </c>
      <c r="L2706">
        <v>0.88541883545006594</v>
      </c>
      <c r="M2706">
        <v>0.96204562896811552</v>
      </c>
      <c r="N2706">
        <v>0.94190813703008824</v>
      </c>
      <c r="O2706">
        <v>0.93068955312222557</v>
      </c>
      <c r="P2706">
        <v>0.94713423032100863</v>
      </c>
      <c r="Q2706">
        <v>0.96505845988442418</v>
      </c>
      <c r="R2706">
        <v>0.96959293771456601</v>
      </c>
    </row>
    <row r="2707" spans="4:19" x14ac:dyDescent="0.25">
      <c r="D2707" t="s">
        <v>83</v>
      </c>
      <c r="E2707">
        <v>2014</v>
      </c>
      <c r="F2707" t="s">
        <v>32</v>
      </c>
      <c r="G2707">
        <v>0.95957718049506002</v>
      </c>
      <c r="H2707">
        <v>0.94432646501750561</v>
      </c>
      <c r="I2707">
        <v>0.97136580007323325</v>
      </c>
      <c r="J2707">
        <v>0.9709332735560039</v>
      </c>
      <c r="K2707">
        <v>0.96656107004575853</v>
      </c>
      <c r="L2707">
        <v>0.97784332062441548</v>
      </c>
      <c r="M2707">
        <v>0.93976849126937412</v>
      </c>
      <c r="N2707">
        <v>0.8909870695173473</v>
      </c>
      <c r="O2707">
        <v>0.90328899416909625</v>
      </c>
      <c r="P2707">
        <v>0.89996259284989044</v>
      </c>
      <c r="Q2707">
        <v>0.87651737128505647</v>
      </c>
      <c r="R2707">
        <v>0.91060531090219365</v>
      </c>
    </row>
    <row r="2708" spans="4:19" x14ac:dyDescent="0.25">
      <c r="D2708" t="s">
        <v>83</v>
      </c>
      <c r="E2708">
        <v>2015</v>
      </c>
      <c r="F2708" t="s">
        <v>32</v>
      </c>
      <c r="G2708">
        <v>0.89914126957400231</v>
      </c>
      <c r="H2708">
        <v>0.91903019213174753</v>
      </c>
      <c r="I2708">
        <v>0.86468710089399747</v>
      </c>
      <c r="J2708">
        <v>0.90968014654079188</v>
      </c>
      <c r="K2708">
        <v>0.8870803662258393</v>
      </c>
      <c r="L2708">
        <v>0.88753993610223647</v>
      </c>
      <c r="M2708">
        <v>0.89848528983396447</v>
      </c>
    </row>
    <row r="2709" spans="4:19" x14ac:dyDescent="0.25">
      <c r="D2709" t="s">
        <v>83</v>
      </c>
      <c r="E2709">
        <v>2013</v>
      </c>
      <c r="F2709" t="s">
        <v>33</v>
      </c>
      <c r="S2709">
        <v>0.9560149289037243</v>
      </c>
    </row>
    <row r="2710" spans="4:19" x14ac:dyDescent="0.25">
      <c r="D2710" t="s">
        <v>83</v>
      </c>
      <c r="E2710">
        <v>2014</v>
      </c>
      <c r="F2710" t="s">
        <v>33</v>
      </c>
      <c r="S2710">
        <v>0.95017607930089998</v>
      </c>
    </row>
    <row r="2711" spans="4:19" x14ac:dyDescent="0.25">
      <c r="D2711" t="s">
        <v>83</v>
      </c>
      <c r="E2711">
        <v>2015</v>
      </c>
      <c r="F2711" t="s">
        <v>33</v>
      </c>
      <c r="S2711">
        <v>0.94729976934701343</v>
      </c>
    </row>
    <row r="2712" spans="4:19" x14ac:dyDescent="0.25">
      <c r="D2712" t="s">
        <v>83</v>
      </c>
      <c r="E2712">
        <v>2013</v>
      </c>
      <c r="F2712" t="s">
        <v>34</v>
      </c>
      <c r="G2712">
        <v>0.93845691984389068</v>
      </c>
      <c r="H2712">
        <v>0.96209139140852307</v>
      </c>
      <c r="I2712">
        <v>0.98036995092487733</v>
      </c>
      <c r="J2712">
        <v>0.98073701842546068</v>
      </c>
      <c r="K2712">
        <v>0.93134830349193787</v>
      </c>
      <c r="L2712">
        <v>0.9363228699551569</v>
      </c>
      <c r="M2712">
        <v>0.96499270681391958</v>
      </c>
      <c r="N2712">
        <v>0.95734958111195734</v>
      </c>
      <c r="O2712">
        <v>0.95185846729607893</v>
      </c>
      <c r="P2712">
        <v>0.94975809452921478</v>
      </c>
      <c r="Q2712">
        <v>0.94750126198889451</v>
      </c>
      <c r="R2712">
        <v>0.95462861324551773</v>
      </c>
    </row>
    <row r="2713" spans="4:19" x14ac:dyDescent="0.25">
      <c r="D2713" t="s">
        <v>83</v>
      </c>
      <c r="E2713">
        <v>2014</v>
      </c>
      <c r="F2713" t="s">
        <v>34</v>
      </c>
      <c r="G2713">
        <v>0.94067201995790128</v>
      </c>
      <c r="H2713">
        <v>0.9159153952843273</v>
      </c>
      <c r="I2713">
        <v>0.95495391705069121</v>
      </c>
      <c r="J2713">
        <v>0.95152647975077886</v>
      </c>
      <c r="K2713">
        <v>0.94995258666104732</v>
      </c>
      <c r="L2713">
        <v>0.96807959374028396</v>
      </c>
      <c r="M2713">
        <v>0.98362706083001705</v>
      </c>
      <c r="N2713">
        <v>0.99011189175123604</v>
      </c>
      <c r="O2713">
        <v>0.9739036593740803</v>
      </c>
      <c r="P2713">
        <v>0.98620901011339257</v>
      </c>
      <c r="Q2713">
        <v>0.93491864831038796</v>
      </c>
      <c r="R2713">
        <v>0.97201548079785649</v>
      </c>
    </row>
    <row r="2714" spans="4:19" x14ac:dyDescent="0.25">
      <c r="D2714" t="s">
        <v>83</v>
      </c>
      <c r="E2714">
        <v>2015</v>
      </c>
      <c r="F2714" t="s">
        <v>34</v>
      </c>
      <c r="G2714">
        <v>0.98016861467714123</v>
      </c>
      <c r="H2714">
        <v>0.94071600041749293</v>
      </c>
      <c r="I2714">
        <v>0.89753513953962105</v>
      </c>
      <c r="J2714">
        <v>0.9799601546935427</v>
      </c>
      <c r="K2714">
        <v>0.94328628771202905</v>
      </c>
      <c r="L2714">
        <v>0.94918436803192119</v>
      </c>
      <c r="M2714">
        <v>0.94061325899890924</v>
      </c>
    </row>
    <row r="2715" spans="4:19" x14ac:dyDescent="0.25">
      <c r="D2715" t="s">
        <v>84</v>
      </c>
      <c r="E2715">
        <v>2013</v>
      </c>
      <c r="F2715" t="s">
        <v>17</v>
      </c>
      <c r="S2715">
        <v>0.9773820981713186</v>
      </c>
    </row>
    <row r="2716" spans="4:19" x14ac:dyDescent="0.25">
      <c r="D2716" t="s">
        <v>84</v>
      </c>
      <c r="E2716">
        <v>2014</v>
      </c>
      <c r="F2716" t="s">
        <v>17</v>
      </c>
      <c r="S2716">
        <v>0.94620763851533085</v>
      </c>
    </row>
    <row r="2717" spans="4:19" x14ac:dyDescent="0.25">
      <c r="D2717" t="s">
        <v>84</v>
      </c>
      <c r="E2717">
        <v>2015</v>
      </c>
      <c r="F2717" t="s">
        <v>17</v>
      </c>
      <c r="S2717">
        <v>0.83030904451375109</v>
      </c>
    </row>
    <row r="2718" spans="4:19" x14ac:dyDescent="0.25">
      <c r="D2718" t="s">
        <v>84</v>
      </c>
      <c r="E2718">
        <v>2013</v>
      </c>
      <c r="F2718" t="s">
        <v>18</v>
      </c>
      <c r="G2718">
        <v>0.96010879419764283</v>
      </c>
      <c r="H2718">
        <v>0.96335078534031415</v>
      </c>
      <c r="I2718">
        <v>0.98301245753114386</v>
      </c>
      <c r="J2718">
        <v>0.98370197904540158</v>
      </c>
      <c r="K2718">
        <v>0.97265160523186678</v>
      </c>
      <c r="L2718">
        <v>0.98930481283422456</v>
      </c>
      <c r="M2718">
        <v>0.99763313609467452</v>
      </c>
      <c r="N2718">
        <v>0.98166259168704162</v>
      </c>
      <c r="O2718">
        <v>0.99196141479099675</v>
      </c>
      <c r="P2718">
        <v>0.97268211920529801</v>
      </c>
      <c r="Q2718">
        <v>0.97497393117831077</v>
      </c>
      <c r="R2718">
        <v>0.97861507128309577</v>
      </c>
    </row>
    <row r="2719" spans="4:19" x14ac:dyDescent="0.25">
      <c r="D2719" t="s">
        <v>84</v>
      </c>
      <c r="E2719">
        <v>2014</v>
      </c>
      <c r="F2719" t="s">
        <v>18</v>
      </c>
      <c r="G2719">
        <v>0.98247078464106841</v>
      </c>
      <c r="H2719">
        <v>0.97175639894086496</v>
      </c>
      <c r="I2719">
        <v>0.89788053949903657</v>
      </c>
      <c r="J2719">
        <v>0.91434071222329161</v>
      </c>
      <c r="K2719">
        <v>0.96082698585418935</v>
      </c>
      <c r="L2719">
        <v>0.94040404040404035</v>
      </c>
      <c r="M2719">
        <v>0.94906166219839139</v>
      </c>
      <c r="N2719">
        <v>0.96296296296296291</v>
      </c>
      <c r="O2719">
        <v>0.91057441253263705</v>
      </c>
      <c r="P2719">
        <v>0.94050343249427915</v>
      </c>
      <c r="Q2719">
        <v>0.93917050691244242</v>
      </c>
      <c r="R2719">
        <v>0.91787003610108309</v>
      </c>
    </row>
    <row r="2720" spans="4:19" x14ac:dyDescent="0.25">
      <c r="D2720" t="s">
        <v>84</v>
      </c>
      <c r="E2720">
        <v>2015</v>
      </c>
      <c r="F2720" t="s">
        <v>18</v>
      </c>
      <c r="G2720">
        <v>0.89638554216867472</v>
      </c>
      <c r="H2720">
        <v>1</v>
      </c>
      <c r="I2720">
        <v>1</v>
      </c>
      <c r="J2720">
        <v>1</v>
      </c>
      <c r="K2720">
        <v>1.928374655647383E-2</v>
      </c>
      <c r="L2720">
        <v>1</v>
      </c>
      <c r="M2720">
        <v>1</v>
      </c>
    </row>
    <row r="2721" spans="4:19" x14ac:dyDescent="0.25">
      <c r="D2721" t="s">
        <v>84</v>
      </c>
      <c r="E2721">
        <v>2013</v>
      </c>
      <c r="F2721" t="s">
        <v>19</v>
      </c>
      <c r="S2721">
        <v>0.99539153915391543</v>
      </c>
    </row>
    <row r="2722" spans="4:19" x14ac:dyDescent="0.25">
      <c r="D2722" t="s">
        <v>84</v>
      </c>
      <c r="E2722">
        <v>2014</v>
      </c>
      <c r="F2722" t="s">
        <v>19</v>
      </c>
      <c r="S2722">
        <v>0.95619488940376374</v>
      </c>
    </row>
    <row r="2723" spans="4:19" x14ac:dyDescent="0.25">
      <c r="D2723" t="s">
        <v>84</v>
      </c>
      <c r="E2723">
        <v>2015</v>
      </c>
      <c r="F2723" t="s">
        <v>19</v>
      </c>
      <c r="S2723">
        <v>0.91720338130220391</v>
      </c>
    </row>
    <row r="2724" spans="4:19" x14ac:dyDescent="0.25">
      <c r="D2724" t="s">
        <v>84</v>
      </c>
      <c r="E2724">
        <v>2013</v>
      </c>
      <c r="F2724" t="s">
        <v>20</v>
      </c>
      <c r="G2724">
        <v>0.99485543780224306</v>
      </c>
      <c r="H2724">
        <v>0.99674443841562665</v>
      </c>
      <c r="I2724">
        <v>0.99351239133255487</v>
      </c>
      <c r="J2724">
        <v>0.99495459132189712</v>
      </c>
      <c r="K2724">
        <v>0.99284590070110168</v>
      </c>
      <c r="L2724">
        <v>0.99739243807040412</v>
      </c>
      <c r="M2724">
        <v>0.997174183338985</v>
      </c>
      <c r="N2724">
        <v>0.99347074638330557</v>
      </c>
      <c r="O2724">
        <v>0.99541809851088203</v>
      </c>
      <c r="P2724">
        <v>0.99453156413349419</v>
      </c>
      <c r="Q2724">
        <v>0.99121918270854437</v>
      </c>
      <c r="R2724">
        <v>0.99721513112090976</v>
      </c>
    </row>
    <row r="2725" spans="4:19" x14ac:dyDescent="0.25">
      <c r="D2725" t="s">
        <v>84</v>
      </c>
      <c r="E2725">
        <v>2014</v>
      </c>
      <c r="F2725" t="s">
        <v>20</v>
      </c>
      <c r="G2725">
        <v>0.99956077742395955</v>
      </c>
      <c r="H2725">
        <v>0.99616582794152886</v>
      </c>
      <c r="I2725">
        <v>0.81495898790490751</v>
      </c>
      <c r="J2725">
        <v>0.89296636085626913</v>
      </c>
      <c r="K2725">
        <v>0.99774625480578016</v>
      </c>
      <c r="L2725">
        <v>0.97098831030818278</v>
      </c>
      <c r="M2725">
        <v>0.98757822871230794</v>
      </c>
      <c r="N2725">
        <v>0.99024103468547908</v>
      </c>
      <c r="O2725">
        <v>0.96559241706161136</v>
      </c>
      <c r="P2725">
        <v>0.88192277691107646</v>
      </c>
      <c r="Q2725">
        <v>0.82943560960399132</v>
      </c>
      <c r="R2725">
        <v>0.91655801825293348</v>
      </c>
    </row>
    <row r="2726" spans="4:19" x14ac:dyDescent="0.25">
      <c r="D2726" t="s">
        <v>84</v>
      </c>
      <c r="E2726">
        <v>2015</v>
      </c>
      <c r="F2726" t="s">
        <v>20</v>
      </c>
      <c r="G2726">
        <v>0.9019252700073791</v>
      </c>
      <c r="H2726">
        <v>0.9933889340927583</v>
      </c>
      <c r="I2726">
        <v>0.96026591273783146</v>
      </c>
      <c r="J2726">
        <v>0.90355272147574583</v>
      </c>
      <c r="K2726">
        <v>0.85203716940671903</v>
      </c>
      <c r="L2726">
        <v>0.87409903585135262</v>
      </c>
      <c r="M2726">
        <v>0.92797292942313891</v>
      </c>
    </row>
    <row r="2727" spans="4:19" x14ac:dyDescent="0.25">
      <c r="D2727" t="s">
        <v>84</v>
      </c>
      <c r="E2727">
        <v>2013</v>
      </c>
      <c r="F2727" t="s">
        <v>21</v>
      </c>
      <c r="S2727">
        <v>0.99033280507131538</v>
      </c>
    </row>
    <row r="2728" spans="4:19" x14ac:dyDescent="0.25">
      <c r="D2728" t="s">
        <v>84</v>
      </c>
      <c r="E2728">
        <v>2014</v>
      </c>
      <c r="F2728" t="s">
        <v>21</v>
      </c>
      <c r="S2728">
        <v>0.98433583959899751</v>
      </c>
    </row>
    <row r="2729" spans="4:19" x14ac:dyDescent="0.25">
      <c r="D2729" t="s">
        <v>84</v>
      </c>
      <c r="E2729">
        <v>2015</v>
      </c>
      <c r="F2729" t="s">
        <v>21</v>
      </c>
      <c r="S2729">
        <v>0.97317002041411493</v>
      </c>
    </row>
    <row r="2730" spans="4:19" x14ac:dyDescent="0.25">
      <c r="D2730" t="s">
        <v>84</v>
      </c>
      <c r="E2730">
        <v>2013</v>
      </c>
      <c r="F2730" t="s">
        <v>22</v>
      </c>
      <c r="G2730">
        <v>0.97767513471901457</v>
      </c>
      <c r="H2730">
        <v>0.99459459459459465</v>
      </c>
      <c r="I2730">
        <v>0.9874572405929305</v>
      </c>
      <c r="J2730">
        <v>0.99506781750924789</v>
      </c>
      <c r="K2730">
        <v>0.98515519568151144</v>
      </c>
      <c r="L2730">
        <v>1</v>
      </c>
      <c r="M2730">
        <v>0.99893955461293749</v>
      </c>
      <c r="N2730">
        <v>0.98060941828254844</v>
      </c>
      <c r="O2730">
        <v>0.97814207650273222</v>
      </c>
      <c r="P2730">
        <v>0.98752228163992872</v>
      </c>
      <c r="Q2730">
        <v>0.99146211312700105</v>
      </c>
      <c r="R2730">
        <v>0.9918597370068879</v>
      </c>
    </row>
    <row r="2731" spans="4:19" x14ac:dyDescent="0.25">
      <c r="D2731" t="s">
        <v>84</v>
      </c>
      <c r="E2731">
        <v>2014</v>
      </c>
      <c r="F2731" t="s">
        <v>22</v>
      </c>
      <c r="G2731">
        <v>0.98124999999999996</v>
      </c>
      <c r="H2731">
        <v>0.97787144362486833</v>
      </c>
      <c r="I2731">
        <v>0.9779411764705882</v>
      </c>
      <c r="J2731">
        <v>0.9821905609973286</v>
      </c>
      <c r="K2731">
        <v>0.98944033790918695</v>
      </c>
      <c r="L2731">
        <v>0.98613376835236544</v>
      </c>
      <c r="M2731">
        <v>0.99492814877430258</v>
      </c>
      <c r="N2731">
        <v>0.96725146198830414</v>
      </c>
      <c r="O2731">
        <v>0.98697318007662838</v>
      </c>
      <c r="P2731">
        <v>0.97814685314685312</v>
      </c>
      <c r="Q2731">
        <v>0.93837535014005602</v>
      </c>
      <c r="R2731">
        <v>0.98286140089418783</v>
      </c>
    </row>
    <row r="2732" spans="4:19" x14ac:dyDescent="0.25">
      <c r="D2732" t="s">
        <v>84</v>
      </c>
      <c r="E2732">
        <v>2015</v>
      </c>
      <c r="F2732" t="s">
        <v>22</v>
      </c>
      <c r="G2732">
        <v>0.98696043165467628</v>
      </c>
      <c r="H2732">
        <v>0.98081180811808122</v>
      </c>
      <c r="I2732">
        <v>0.9812054439403759</v>
      </c>
      <c r="J2732">
        <v>0.97244732576985415</v>
      </c>
      <c r="K2732">
        <v>0.93894389438943893</v>
      </c>
      <c r="L2732">
        <v>0.97465437788018439</v>
      </c>
      <c r="M2732">
        <v>0.96400846859562461</v>
      </c>
    </row>
    <row r="2733" spans="4:19" x14ac:dyDescent="0.25">
      <c r="D2733" t="s">
        <v>84</v>
      </c>
      <c r="E2733">
        <v>2013</v>
      </c>
      <c r="F2733" t="s">
        <v>23</v>
      </c>
      <c r="S2733">
        <v>17424</v>
      </c>
    </row>
    <row r="2734" spans="4:19" x14ac:dyDescent="0.25">
      <c r="D2734" t="s">
        <v>84</v>
      </c>
      <c r="E2734">
        <v>2014</v>
      </c>
      <c r="F2734" t="s">
        <v>23</v>
      </c>
      <c r="S2734">
        <v>20850</v>
      </c>
    </row>
    <row r="2735" spans="4:19" x14ac:dyDescent="0.25">
      <c r="D2735" t="s">
        <v>84</v>
      </c>
      <c r="E2735">
        <v>2015</v>
      </c>
      <c r="F2735" t="s">
        <v>23</v>
      </c>
      <c r="S2735">
        <v>22245</v>
      </c>
    </row>
    <row r="2736" spans="4:19" x14ac:dyDescent="0.25">
      <c r="D2736" t="s">
        <v>84</v>
      </c>
      <c r="E2736">
        <v>2013</v>
      </c>
      <c r="F2736" t="s">
        <v>24</v>
      </c>
      <c r="G2736">
        <v>3227</v>
      </c>
      <c r="H2736">
        <v>2944</v>
      </c>
      <c r="I2736">
        <v>2587</v>
      </c>
      <c r="J2736">
        <v>1979</v>
      </c>
      <c r="K2736">
        <v>2324</v>
      </c>
      <c r="L2736">
        <v>2204</v>
      </c>
      <c r="M2736">
        <v>2159</v>
      </c>
      <c r="N2736">
        <v>2162</v>
      </c>
      <c r="O2736">
        <v>2846</v>
      </c>
      <c r="P2736">
        <v>2992</v>
      </c>
      <c r="Q2736">
        <v>2636</v>
      </c>
      <c r="R2736">
        <v>2675</v>
      </c>
    </row>
    <row r="2737" spans="4:19" x14ac:dyDescent="0.25">
      <c r="D2737" t="s">
        <v>84</v>
      </c>
      <c r="E2737">
        <v>2014</v>
      </c>
      <c r="F2737" t="s">
        <v>24</v>
      </c>
      <c r="G2737">
        <v>3142</v>
      </c>
      <c r="H2737">
        <v>3414</v>
      </c>
      <c r="I2737">
        <v>3296</v>
      </c>
      <c r="J2737">
        <v>3038</v>
      </c>
      <c r="K2737">
        <v>2385</v>
      </c>
      <c r="L2737">
        <v>2818</v>
      </c>
      <c r="M2737">
        <v>2757</v>
      </c>
      <c r="N2737">
        <v>2950</v>
      </c>
      <c r="O2737">
        <v>3736</v>
      </c>
      <c r="P2737">
        <v>3574</v>
      </c>
      <c r="Q2737">
        <v>3233</v>
      </c>
      <c r="R2737">
        <v>3302</v>
      </c>
    </row>
    <row r="2738" spans="4:19" x14ac:dyDescent="0.25">
      <c r="D2738" t="s">
        <v>84</v>
      </c>
      <c r="E2738">
        <v>2015</v>
      </c>
      <c r="F2738" t="s">
        <v>24</v>
      </c>
      <c r="G2738">
        <v>3540</v>
      </c>
      <c r="H2738">
        <v>3331</v>
      </c>
      <c r="I2738">
        <v>3678</v>
      </c>
      <c r="J2738">
        <v>2837</v>
      </c>
      <c r="K2738">
        <v>2618</v>
      </c>
      <c r="L2738">
        <v>3223</v>
      </c>
      <c r="M2738">
        <v>3018</v>
      </c>
    </row>
    <row r="2739" spans="4:19" x14ac:dyDescent="0.25">
      <c r="D2739" t="s">
        <v>84</v>
      </c>
      <c r="E2739">
        <v>2013</v>
      </c>
      <c r="F2739" t="s">
        <v>25</v>
      </c>
      <c r="S2739">
        <v>55909</v>
      </c>
    </row>
    <row r="2740" spans="4:19" x14ac:dyDescent="0.25">
      <c r="D2740" t="s">
        <v>84</v>
      </c>
      <c r="E2740">
        <v>2014</v>
      </c>
      <c r="F2740" t="s">
        <v>25</v>
      </c>
      <c r="S2740">
        <v>55881</v>
      </c>
    </row>
    <row r="2741" spans="4:19" x14ac:dyDescent="0.25">
      <c r="D2741" t="s">
        <v>84</v>
      </c>
      <c r="E2741">
        <v>2015</v>
      </c>
      <c r="F2741" t="s">
        <v>25</v>
      </c>
      <c r="S2741">
        <v>64623</v>
      </c>
    </row>
    <row r="2742" spans="4:19" x14ac:dyDescent="0.25">
      <c r="D2742" t="s">
        <v>84</v>
      </c>
      <c r="E2742">
        <v>2013</v>
      </c>
      <c r="F2742" t="s">
        <v>26</v>
      </c>
      <c r="G2742">
        <v>9186</v>
      </c>
      <c r="H2742">
        <v>7973</v>
      </c>
      <c r="I2742">
        <v>7340</v>
      </c>
      <c r="J2742">
        <v>7168</v>
      </c>
      <c r="K2742">
        <v>8950</v>
      </c>
      <c r="L2742">
        <v>6906</v>
      </c>
      <c r="M2742">
        <v>8386</v>
      </c>
      <c r="N2742">
        <v>8056</v>
      </c>
      <c r="O2742">
        <v>10241</v>
      </c>
      <c r="P2742">
        <v>11331</v>
      </c>
      <c r="Q2742">
        <v>9413</v>
      </c>
      <c r="R2742">
        <v>9989</v>
      </c>
    </row>
    <row r="2743" spans="4:19" x14ac:dyDescent="0.25">
      <c r="D2743" t="s">
        <v>84</v>
      </c>
      <c r="E2743">
        <v>2014</v>
      </c>
      <c r="F2743" t="s">
        <v>26</v>
      </c>
      <c r="G2743">
        <v>9053</v>
      </c>
      <c r="H2743">
        <v>7532</v>
      </c>
      <c r="I2743">
        <v>8031</v>
      </c>
      <c r="J2743">
        <v>8191</v>
      </c>
      <c r="K2743">
        <v>6836</v>
      </c>
      <c r="L2743">
        <v>7532</v>
      </c>
      <c r="M2743">
        <v>8706</v>
      </c>
      <c r="N2743">
        <v>7923</v>
      </c>
      <c r="O2743">
        <v>10517</v>
      </c>
      <c r="P2743">
        <v>11598</v>
      </c>
      <c r="Q2743">
        <v>9324</v>
      </c>
      <c r="R2743">
        <v>9260</v>
      </c>
    </row>
    <row r="2744" spans="4:19" x14ac:dyDescent="0.25">
      <c r="D2744" t="s">
        <v>84</v>
      </c>
      <c r="E2744">
        <v>2015</v>
      </c>
      <c r="F2744" t="s">
        <v>26</v>
      </c>
      <c r="G2744">
        <v>13373</v>
      </c>
      <c r="H2744">
        <v>8570</v>
      </c>
      <c r="I2744">
        <v>9695</v>
      </c>
      <c r="J2744">
        <v>7778</v>
      </c>
      <c r="K2744">
        <v>7186</v>
      </c>
      <c r="L2744">
        <v>8510</v>
      </c>
      <c r="M2744">
        <v>9511</v>
      </c>
    </row>
    <row r="2745" spans="4:19" x14ac:dyDescent="0.25">
      <c r="D2745" t="s">
        <v>84</v>
      </c>
      <c r="E2745">
        <v>2013</v>
      </c>
      <c r="F2745" t="s">
        <v>27</v>
      </c>
      <c r="S2745">
        <v>100128</v>
      </c>
    </row>
    <row r="2746" spans="4:19" x14ac:dyDescent="0.25">
      <c r="D2746" t="s">
        <v>84</v>
      </c>
      <c r="E2746">
        <v>2014</v>
      </c>
      <c r="F2746" t="s">
        <v>27</v>
      </c>
      <c r="S2746">
        <v>101166</v>
      </c>
    </row>
    <row r="2747" spans="4:19" x14ac:dyDescent="0.25">
      <c r="D2747" t="s">
        <v>84</v>
      </c>
      <c r="E2747">
        <v>2015</v>
      </c>
      <c r="F2747" t="s">
        <v>27</v>
      </c>
      <c r="S2747">
        <v>120029</v>
      </c>
    </row>
    <row r="2748" spans="4:19" x14ac:dyDescent="0.25">
      <c r="D2748" t="s">
        <v>84</v>
      </c>
      <c r="E2748">
        <v>2013</v>
      </c>
      <c r="F2748" t="s">
        <v>28</v>
      </c>
      <c r="G2748">
        <v>16222</v>
      </c>
      <c r="H2748">
        <v>14879</v>
      </c>
      <c r="I2748">
        <v>13051</v>
      </c>
      <c r="J2748">
        <v>13564</v>
      </c>
      <c r="K2748">
        <v>14892</v>
      </c>
      <c r="L2748">
        <v>12410</v>
      </c>
      <c r="M2748">
        <v>15110</v>
      </c>
      <c r="N2748">
        <v>14628</v>
      </c>
      <c r="O2748">
        <v>18874</v>
      </c>
      <c r="P2748">
        <v>21085</v>
      </c>
      <c r="Q2748">
        <v>16363</v>
      </c>
      <c r="R2748">
        <v>17232</v>
      </c>
    </row>
    <row r="2749" spans="4:19" x14ac:dyDescent="0.25">
      <c r="D2749" t="s">
        <v>84</v>
      </c>
      <c r="E2749">
        <v>2014</v>
      </c>
      <c r="F2749" t="s">
        <v>28</v>
      </c>
      <c r="G2749">
        <v>15841</v>
      </c>
      <c r="H2749">
        <v>13047</v>
      </c>
      <c r="I2749">
        <v>15028</v>
      </c>
      <c r="J2749">
        <v>15452</v>
      </c>
      <c r="K2749">
        <v>12388</v>
      </c>
      <c r="L2749">
        <v>13544</v>
      </c>
      <c r="M2749">
        <v>15866</v>
      </c>
      <c r="N2749">
        <v>13963</v>
      </c>
      <c r="O2749">
        <v>21196</v>
      </c>
      <c r="P2749">
        <v>21297</v>
      </c>
      <c r="Q2749">
        <v>16679</v>
      </c>
      <c r="R2749">
        <v>17147</v>
      </c>
    </row>
    <row r="2750" spans="4:19" x14ac:dyDescent="0.25">
      <c r="D2750" t="s">
        <v>84</v>
      </c>
      <c r="E2750">
        <v>2015</v>
      </c>
      <c r="F2750" t="s">
        <v>28</v>
      </c>
      <c r="G2750">
        <v>23856</v>
      </c>
      <c r="H2750">
        <v>16709</v>
      </c>
      <c r="I2750">
        <v>18950</v>
      </c>
      <c r="J2750">
        <v>14461</v>
      </c>
      <c r="K2750">
        <v>13434</v>
      </c>
      <c r="L2750">
        <v>15748</v>
      </c>
      <c r="M2750">
        <v>16871</v>
      </c>
    </row>
    <row r="2751" spans="4:19" x14ac:dyDescent="0.25">
      <c r="D2751" t="s">
        <v>84</v>
      </c>
      <c r="E2751">
        <v>2013</v>
      </c>
      <c r="F2751" t="s">
        <v>29</v>
      </c>
      <c r="S2751">
        <v>6234</v>
      </c>
    </row>
    <row r="2752" spans="4:19" x14ac:dyDescent="0.25">
      <c r="D2752" t="s">
        <v>84</v>
      </c>
      <c r="E2752">
        <v>2014</v>
      </c>
      <c r="F2752" t="s">
        <v>29</v>
      </c>
      <c r="S2752">
        <v>7436</v>
      </c>
    </row>
    <row r="2753" spans="4:19" x14ac:dyDescent="0.25">
      <c r="D2753" t="s">
        <v>84</v>
      </c>
      <c r="E2753">
        <v>2015</v>
      </c>
      <c r="F2753" t="s">
        <v>29</v>
      </c>
      <c r="S2753">
        <v>7054</v>
      </c>
    </row>
    <row r="2754" spans="4:19" x14ac:dyDescent="0.25">
      <c r="D2754" t="s">
        <v>84</v>
      </c>
      <c r="E2754">
        <v>2013</v>
      </c>
      <c r="F2754" t="s">
        <v>30</v>
      </c>
      <c r="G2754">
        <v>1103</v>
      </c>
      <c r="H2754">
        <v>955</v>
      </c>
      <c r="I2754">
        <v>883</v>
      </c>
      <c r="J2754">
        <v>859</v>
      </c>
      <c r="K2754">
        <v>841</v>
      </c>
      <c r="L2754">
        <v>748</v>
      </c>
      <c r="M2754">
        <v>845</v>
      </c>
      <c r="N2754">
        <v>818</v>
      </c>
      <c r="O2754">
        <v>1244</v>
      </c>
      <c r="P2754">
        <v>1208</v>
      </c>
      <c r="Q2754">
        <v>959</v>
      </c>
      <c r="R2754">
        <v>982</v>
      </c>
    </row>
    <row r="2755" spans="4:19" x14ac:dyDescent="0.25">
      <c r="D2755" t="s">
        <v>84</v>
      </c>
      <c r="E2755">
        <v>2014</v>
      </c>
      <c r="F2755" t="s">
        <v>30</v>
      </c>
      <c r="G2755">
        <v>1198</v>
      </c>
      <c r="H2755">
        <v>1133</v>
      </c>
      <c r="I2755">
        <v>1038</v>
      </c>
      <c r="J2755">
        <v>1039</v>
      </c>
      <c r="K2755">
        <v>919</v>
      </c>
      <c r="L2755">
        <v>990</v>
      </c>
      <c r="M2755">
        <v>1119</v>
      </c>
      <c r="N2755">
        <v>1053</v>
      </c>
      <c r="O2755">
        <v>1532</v>
      </c>
      <c r="P2755">
        <v>1311</v>
      </c>
      <c r="Q2755">
        <v>1085</v>
      </c>
      <c r="R2755">
        <v>1108</v>
      </c>
    </row>
    <row r="2756" spans="4:19" x14ac:dyDescent="0.25">
      <c r="D2756" t="s">
        <v>84</v>
      </c>
      <c r="E2756">
        <v>2015</v>
      </c>
      <c r="F2756" t="s">
        <v>30</v>
      </c>
      <c r="G2756">
        <v>1245</v>
      </c>
      <c r="H2756">
        <v>1026</v>
      </c>
      <c r="I2756">
        <v>946</v>
      </c>
      <c r="J2756">
        <v>893</v>
      </c>
      <c r="K2756">
        <v>1089</v>
      </c>
      <c r="L2756">
        <v>894</v>
      </c>
      <c r="M2756">
        <v>961</v>
      </c>
    </row>
    <row r="2757" spans="4:19" x14ac:dyDescent="0.25">
      <c r="D2757" t="s">
        <v>84</v>
      </c>
      <c r="E2757">
        <v>2013</v>
      </c>
      <c r="F2757" t="s">
        <v>31</v>
      </c>
      <c r="S2757">
        <v>0.89703856749311295</v>
      </c>
    </row>
    <row r="2758" spans="4:19" x14ac:dyDescent="0.25">
      <c r="D2758" t="s">
        <v>84</v>
      </c>
      <c r="E2758">
        <v>2014</v>
      </c>
      <c r="F2758" t="s">
        <v>31</v>
      </c>
      <c r="S2758">
        <v>0.9092565947242206</v>
      </c>
    </row>
    <row r="2759" spans="4:19" x14ac:dyDescent="0.25">
      <c r="D2759" t="s">
        <v>84</v>
      </c>
      <c r="E2759">
        <v>2015</v>
      </c>
      <c r="F2759" t="s">
        <v>31</v>
      </c>
      <c r="S2759">
        <v>0.86918408631153066</v>
      </c>
    </row>
    <row r="2760" spans="4:19" x14ac:dyDescent="0.25">
      <c r="D2760" t="s">
        <v>84</v>
      </c>
      <c r="E2760">
        <v>2013</v>
      </c>
      <c r="F2760" t="s">
        <v>32</v>
      </c>
      <c r="G2760">
        <v>0.86303067864889993</v>
      </c>
      <c r="H2760">
        <v>0.88349184782608692</v>
      </c>
      <c r="I2760">
        <v>0.9002705836876691</v>
      </c>
      <c r="J2760">
        <v>1.023244062657908</v>
      </c>
      <c r="K2760">
        <v>0.85886402753872637</v>
      </c>
      <c r="L2760">
        <v>0.83938294010889292</v>
      </c>
      <c r="M2760">
        <v>0.94673459935155169</v>
      </c>
      <c r="N2760">
        <v>0.95744680851063835</v>
      </c>
      <c r="O2760">
        <v>0.93815881939564305</v>
      </c>
      <c r="P2760">
        <v>0.946524064171123</v>
      </c>
      <c r="Q2760">
        <v>0.92943854324734443</v>
      </c>
      <c r="R2760">
        <v>0.91551401869158877</v>
      </c>
    </row>
    <row r="2761" spans="4:19" x14ac:dyDescent="0.25">
      <c r="D2761" t="s">
        <v>84</v>
      </c>
      <c r="E2761">
        <v>2014</v>
      </c>
      <c r="F2761" t="s">
        <v>32</v>
      </c>
      <c r="G2761">
        <v>0.93252705283259074</v>
      </c>
      <c r="H2761">
        <v>0.91739894551845347</v>
      </c>
      <c r="I2761">
        <v>0.90776699029126218</v>
      </c>
      <c r="J2761">
        <v>0.88248847926267282</v>
      </c>
      <c r="K2761">
        <v>0.92452830188679247</v>
      </c>
      <c r="L2761">
        <v>0.77501774308019877</v>
      </c>
      <c r="M2761">
        <v>1.0279289082335872</v>
      </c>
      <c r="N2761">
        <v>0.88949152542372878</v>
      </c>
      <c r="O2761">
        <v>0.89480728051391867</v>
      </c>
      <c r="P2761">
        <v>0.86597649692221601</v>
      </c>
      <c r="Q2761">
        <v>0.8648314259201979</v>
      </c>
      <c r="R2761">
        <v>0.86371895820714717</v>
      </c>
    </row>
    <row r="2762" spans="4:19" x14ac:dyDescent="0.25">
      <c r="D2762" t="s">
        <v>84</v>
      </c>
      <c r="E2762">
        <v>2015</v>
      </c>
      <c r="F2762" t="s">
        <v>32</v>
      </c>
      <c r="G2762">
        <v>0.90225988700564974</v>
      </c>
      <c r="H2762">
        <v>0.88261783248273795</v>
      </c>
      <c r="I2762">
        <v>0.86460032626427408</v>
      </c>
      <c r="J2762">
        <v>0.85089883679943601</v>
      </c>
      <c r="K2762">
        <v>0.852559205500382</v>
      </c>
      <c r="L2762">
        <v>0.84114179336022343</v>
      </c>
      <c r="M2762">
        <v>0.88270377733598404</v>
      </c>
    </row>
    <row r="2763" spans="4:19" x14ac:dyDescent="0.25">
      <c r="D2763" t="s">
        <v>84</v>
      </c>
      <c r="E2763">
        <v>2013</v>
      </c>
      <c r="F2763" t="s">
        <v>33</v>
      </c>
      <c r="S2763">
        <v>0.98152192172014108</v>
      </c>
    </row>
    <row r="2764" spans="4:19" x14ac:dyDescent="0.25">
      <c r="D2764" t="s">
        <v>84</v>
      </c>
      <c r="E2764">
        <v>2014</v>
      </c>
      <c r="F2764" t="s">
        <v>33</v>
      </c>
      <c r="S2764">
        <v>1.0129586134283632</v>
      </c>
    </row>
    <row r="2765" spans="4:19" x14ac:dyDescent="0.25">
      <c r="D2765" t="s">
        <v>84</v>
      </c>
      <c r="E2765">
        <v>2015</v>
      </c>
      <c r="F2765" t="s">
        <v>33</v>
      </c>
      <c r="S2765">
        <v>0.98762654668166483</v>
      </c>
    </row>
    <row r="2766" spans="4:19" x14ac:dyDescent="0.25">
      <c r="D2766" t="s">
        <v>84</v>
      </c>
      <c r="E2766">
        <v>2013</v>
      </c>
      <c r="F2766" t="s">
        <v>34</v>
      </c>
      <c r="G2766">
        <v>0.96209213051823417</v>
      </c>
      <c r="H2766">
        <v>0.98634146341463413</v>
      </c>
      <c r="I2766">
        <v>0.98216340621403908</v>
      </c>
      <c r="J2766">
        <v>0.98932160804020097</v>
      </c>
      <c r="K2766">
        <v>0.98894668400520158</v>
      </c>
      <c r="L2766">
        <v>0.98020477815699658</v>
      </c>
      <c r="M2766">
        <v>0.98679638637943012</v>
      </c>
      <c r="N2766">
        <v>0.97822706065318821</v>
      </c>
      <c r="O2766">
        <v>0.98247371056584876</v>
      </c>
      <c r="P2766">
        <v>0.98590840463009566</v>
      </c>
      <c r="Q2766">
        <v>0.98193111236589492</v>
      </c>
      <c r="R2766">
        <v>0.96990740740740744</v>
      </c>
    </row>
    <row r="2767" spans="4:19" x14ac:dyDescent="0.25">
      <c r="D2767" t="s">
        <v>84</v>
      </c>
      <c r="E2767">
        <v>2014</v>
      </c>
      <c r="F2767" t="s">
        <v>34</v>
      </c>
      <c r="G2767">
        <v>0.97894736842105268</v>
      </c>
      <c r="H2767">
        <v>0.965090587715422</v>
      </c>
      <c r="I2767">
        <v>0.9457943925233645</v>
      </c>
      <c r="J2767">
        <v>1.1329411764705883</v>
      </c>
      <c r="K2767">
        <v>1.1934279312920089</v>
      </c>
      <c r="L2767">
        <v>0.94383775351014043</v>
      </c>
      <c r="M2767">
        <v>0.9908675799086758</v>
      </c>
      <c r="N2767">
        <v>1.3070866141732282</v>
      </c>
      <c r="O2767">
        <v>0.97673065735892961</v>
      </c>
      <c r="P2767">
        <v>0.9835265405735204</v>
      </c>
      <c r="Q2767">
        <v>0.99397590361445787</v>
      </c>
      <c r="R2767">
        <v>0.97533908754623921</v>
      </c>
    </row>
    <row r="2768" spans="4:19" x14ac:dyDescent="0.25">
      <c r="D2768" t="s">
        <v>84</v>
      </c>
      <c r="E2768">
        <v>2015</v>
      </c>
      <c r="F2768" t="s">
        <v>34</v>
      </c>
      <c r="G2768">
        <v>0.99102902374670188</v>
      </c>
      <c r="H2768">
        <v>0.99023861171366589</v>
      </c>
      <c r="I2768">
        <v>0.99099526066350707</v>
      </c>
      <c r="J2768">
        <v>0.97553699284009543</v>
      </c>
      <c r="K2768">
        <v>0.99067909454061254</v>
      </c>
      <c r="L2768">
        <v>0.988182329769274</v>
      </c>
      <c r="M2768">
        <v>0.98538367844092567</v>
      </c>
    </row>
    <row r="2769" spans="4:19" x14ac:dyDescent="0.25">
      <c r="D2769" t="s">
        <v>85</v>
      </c>
      <c r="E2769">
        <v>2013</v>
      </c>
      <c r="F2769" t="s">
        <v>17</v>
      </c>
      <c r="S2769">
        <v>0.93923709111087728</v>
      </c>
    </row>
    <row r="2770" spans="4:19" x14ac:dyDescent="0.25">
      <c r="D2770" t="s">
        <v>85</v>
      </c>
      <c r="E2770">
        <v>2014</v>
      </c>
      <c r="F2770" t="s">
        <v>17</v>
      </c>
      <c r="S2770">
        <v>0.92328798121800126</v>
      </c>
    </row>
    <row r="2771" spans="4:19" x14ac:dyDescent="0.25">
      <c r="D2771" t="s">
        <v>85</v>
      </c>
      <c r="E2771">
        <v>2015</v>
      </c>
      <c r="F2771" t="s">
        <v>17</v>
      </c>
      <c r="S2771">
        <v>0.92513335026670052</v>
      </c>
    </row>
    <row r="2772" spans="4:19" x14ac:dyDescent="0.25">
      <c r="D2772" t="s">
        <v>85</v>
      </c>
      <c r="E2772">
        <v>2013</v>
      </c>
      <c r="F2772" t="s">
        <v>18</v>
      </c>
      <c r="G2772">
        <v>0.92392174808374328</v>
      </c>
      <c r="H2772">
        <v>0.93306907531353567</v>
      </c>
      <c r="I2772">
        <v>0.94125664440507018</v>
      </c>
      <c r="J2772">
        <v>0.93779836123975779</v>
      </c>
      <c r="K2772">
        <v>0.93765200088436873</v>
      </c>
      <c r="L2772">
        <v>0.9531293853494246</v>
      </c>
      <c r="M2772">
        <v>0.95092592592592595</v>
      </c>
      <c r="N2772">
        <v>0.95193879067003417</v>
      </c>
      <c r="O2772">
        <v>0.94516483516483518</v>
      </c>
      <c r="P2772">
        <v>0.94870790916209868</v>
      </c>
      <c r="Q2772">
        <v>0.93040985208835603</v>
      </c>
      <c r="R2772">
        <v>0.94024205748865353</v>
      </c>
    </row>
    <row r="2773" spans="4:19" x14ac:dyDescent="0.25">
      <c r="D2773" t="s">
        <v>85</v>
      </c>
      <c r="E2773">
        <v>2014</v>
      </c>
      <c r="F2773" t="s">
        <v>18</v>
      </c>
      <c r="G2773">
        <v>0.92845058123669699</v>
      </c>
      <c r="H2773">
        <v>0.91461946050096343</v>
      </c>
      <c r="I2773">
        <v>0.91498836822864738</v>
      </c>
      <c r="J2773">
        <v>0.92653170666309159</v>
      </c>
      <c r="K2773">
        <v>0.91935117107557041</v>
      </c>
      <c r="L2773">
        <v>0.93113639722181174</v>
      </c>
      <c r="M2773">
        <v>0.92824490926721148</v>
      </c>
      <c r="N2773">
        <v>0.92540952380952379</v>
      </c>
      <c r="O2773">
        <v>0.91756955409157726</v>
      </c>
      <c r="P2773">
        <v>0.91998592127647094</v>
      </c>
      <c r="Q2773">
        <v>0.90908459990283852</v>
      </c>
      <c r="R2773">
        <v>0.91866822286381222</v>
      </c>
    </row>
    <row r="2774" spans="4:19" x14ac:dyDescent="0.25">
      <c r="D2774" t="s">
        <v>85</v>
      </c>
      <c r="E2774">
        <v>2015</v>
      </c>
      <c r="F2774" t="s">
        <v>18</v>
      </c>
      <c r="G2774">
        <v>0.91424453519096804</v>
      </c>
      <c r="H2774">
        <v>0.92070250133049492</v>
      </c>
      <c r="I2774">
        <v>0.93098467721677969</v>
      </c>
      <c r="J2774">
        <v>0.93362725450901807</v>
      </c>
      <c r="K2774">
        <v>0.92831996870721689</v>
      </c>
      <c r="L2774">
        <v>0.93522002290201212</v>
      </c>
      <c r="M2774">
        <v>0.91617167238350206</v>
      </c>
    </row>
    <row r="2775" spans="4:19" x14ac:dyDescent="0.25">
      <c r="D2775" t="s">
        <v>85</v>
      </c>
      <c r="E2775">
        <v>2013</v>
      </c>
      <c r="F2775" t="s">
        <v>19</v>
      </c>
      <c r="S2775">
        <v>0.97464445685148948</v>
      </c>
    </row>
    <row r="2776" spans="4:19" x14ac:dyDescent="0.25">
      <c r="D2776" t="s">
        <v>85</v>
      </c>
      <c r="E2776">
        <v>2014</v>
      </c>
      <c r="F2776" t="s">
        <v>19</v>
      </c>
      <c r="S2776">
        <v>0.99883868852259927</v>
      </c>
    </row>
    <row r="2777" spans="4:19" x14ac:dyDescent="0.25">
      <c r="D2777" t="s">
        <v>85</v>
      </c>
      <c r="E2777">
        <v>2015</v>
      </c>
      <c r="F2777" t="s">
        <v>19</v>
      </c>
      <c r="S2777">
        <v>0.99868860181928376</v>
      </c>
    </row>
    <row r="2778" spans="4:19" x14ac:dyDescent="0.25">
      <c r="D2778" t="s">
        <v>85</v>
      </c>
      <c r="E2778">
        <v>2013</v>
      </c>
      <c r="F2778" t="s">
        <v>20</v>
      </c>
      <c r="G2778">
        <v>0.88786073807064203</v>
      </c>
      <c r="H2778">
        <v>0.99474121572178054</v>
      </c>
      <c r="I2778">
        <v>0.99508605732088806</v>
      </c>
      <c r="J2778">
        <v>0.98305176963464724</v>
      </c>
      <c r="K2778">
        <v>0.99004503101192332</v>
      </c>
      <c r="L2778">
        <v>0.99440602257072486</v>
      </c>
      <c r="M2778">
        <v>0.99233337170484637</v>
      </c>
      <c r="N2778">
        <v>0.97241837263539777</v>
      </c>
      <c r="O2778">
        <v>0.98735753681280158</v>
      </c>
      <c r="P2778">
        <v>0.99223307764298396</v>
      </c>
      <c r="Q2778">
        <v>0.99008880167625635</v>
      </c>
      <c r="R2778">
        <v>0.99620166866863613</v>
      </c>
    </row>
    <row r="2779" spans="4:19" x14ac:dyDescent="0.25">
      <c r="D2779" t="s">
        <v>85</v>
      </c>
      <c r="E2779">
        <v>2014</v>
      </c>
      <c r="F2779" t="s">
        <v>20</v>
      </c>
      <c r="G2779">
        <v>0.99922470974472855</v>
      </c>
      <c r="H2779">
        <v>0.99876301898907494</v>
      </c>
      <c r="I2779">
        <v>0.99943774058215473</v>
      </c>
      <c r="J2779">
        <v>0.99869289960332341</v>
      </c>
      <c r="K2779">
        <v>0.9983175040538399</v>
      </c>
      <c r="L2779">
        <v>0.99801909307875891</v>
      </c>
      <c r="M2779">
        <v>0.99919664550513365</v>
      </c>
      <c r="N2779">
        <v>0.99878307789449516</v>
      </c>
      <c r="O2779">
        <v>0.99948371966853056</v>
      </c>
      <c r="P2779">
        <v>0.99965838917356453</v>
      </c>
      <c r="Q2779">
        <v>0.9994500780889114</v>
      </c>
      <c r="R2779">
        <v>0.99931572200965701</v>
      </c>
    </row>
    <row r="2780" spans="4:19" x14ac:dyDescent="0.25">
      <c r="D2780" t="s">
        <v>85</v>
      </c>
      <c r="E2780">
        <v>2015</v>
      </c>
      <c r="F2780" t="s">
        <v>20</v>
      </c>
      <c r="G2780">
        <v>0.99892836534498397</v>
      </c>
      <c r="H2780">
        <v>0.99894165240699895</v>
      </c>
      <c r="I2780">
        <v>0.99906177472717395</v>
      </c>
      <c r="J2780">
        <v>0.99789982362596474</v>
      </c>
      <c r="K2780">
        <v>0.99741055857950645</v>
      </c>
      <c r="L2780">
        <v>0.99899349570336604</v>
      </c>
      <c r="M2780">
        <v>0.99927031684073564</v>
      </c>
    </row>
    <row r="2781" spans="4:19" x14ac:dyDescent="0.25">
      <c r="D2781" t="s">
        <v>85</v>
      </c>
      <c r="E2781">
        <v>2013</v>
      </c>
      <c r="F2781" t="s">
        <v>21</v>
      </c>
      <c r="S2781">
        <v>0.99349811521238651</v>
      </c>
    </row>
    <row r="2782" spans="4:19" x14ac:dyDescent="0.25">
      <c r="D2782" t="s">
        <v>85</v>
      </c>
      <c r="E2782">
        <v>2014</v>
      </c>
      <c r="F2782" t="s">
        <v>21</v>
      </c>
      <c r="S2782">
        <v>0.99900068038782108</v>
      </c>
    </row>
    <row r="2783" spans="4:19" x14ac:dyDescent="0.25">
      <c r="D2783" t="s">
        <v>85</v>
      </c>
      <c r="E2783">
        <v>2015</v>
      </c>
      <c r="F2783" t="s">
        <v>21</v>
      </c>
      <c r="S2783">
        <v>0.99889761342977601</v>
      </c>
    </row>
    <row r="2784" spans="4:19" x14ac:dyDescent="0.25">
      <c r="D2784" t="s">
        <v>85</v>
      </c>
      <c r="E2784">
        <v>2013</v>
      </c>
      <c r="F2784" t="s">
        <v>22</v>
      </c>
      <c r="G2784">
        <v>0.98276395115164628</v>
      </c>
      <c r="H2784">
        <v>0.98686354378818741</v>
      </c>
      <c r="I2784">
        <v>0.99574660633484158</v>
      </c>
      <c r="J2784">
        <v>0.99421674629117429</v>
      </c>
      <c r="K2784">
        <v>0.99786975045648207</v>
      </c>
      <c r="L2784">
        <v>0.99857197258187358</v>
      </c>
      <c r="M2784">
        <v>0.99922797807457731</v>
      </c>
      <c r="N2784">
        <v>0.99777585567774618</v>
      </c>
      <c r="O2784">
        <v>0.99645838603592207</v>
      </c>
      <c r="P2784">
        <v>0.99688518652662084</v>
      </c>
      <c r="Q2784">
        <v>0.98002278103916585</v>
      </c>
      <c r="R2784">
        <v>0.97817912839795351</v>
      </c>
    </row>
    <row r="2785" spans="4:19" x14ac:dyDescent="0.25">
      <c r="D2785" t="s">
        <v>85</v>
      </c>
      <c r="E2785">
        <v>2014</v>
      </c>
      <c r="F2785" t="s">
        <v>22</v>
      </c>
      <c r="G2785">
        <v>0.99889731219848377</v>
      </c>
      <c r="H2785">
        <v>0.99835836821800872</v>
      </c>
      <c r="I2785">
        <v>0.9981735159817352</v>
      </c>
      <c r="J2785">
        <v>0.99883609475557988</v>
      </c>
      <c r="K2785">
        <v>0.9996839193994469</v>
      </c>
      <c r="L2785">
        <v>0.99910959412332123</v>
      </c>
      <c r="M2785">
        <v>0.99979435152179874</v>
      </c>
      <c r="N2785">
        <v>0.99940482095030259</v>
      </c>
      <c r="O2785">
        <v>0.99885828457257031</v>
      </c>
      <c r="P2785">
        <v>0.99921747636126512</v>
      </c>
      <c r="Q2785">
        <v>0.99882629107981225</v>
      </c>
      <c r="R2785">
        <v>0.99982138604429627</v>
      </c>
    </row>
    <row r="2786" spans="4:19" x14ac:dyDescent="0.25">
      <c r="D2786" t="s">
        <v>85</v>
      </c>
      <c r="E2786">
        <v>2015</v>
      </c>
      <c r="F2786" t="s">
        <v>22</v>
      </c>
      <c r="G2786">
        <v>0.99788175191576844</v>
      </c>
      <c r="H2786">
        <v>0.99854895371926078</v>
      </c>
      <c r="I2786">
        <v>0.9993323622238407</v>
      </c>
      <c r="J2786">
        <v>0.99790575916230362</v>
      </c>
      <c r="K2786">
        <v>0.99953230961103745</v>
      </c>
      <c r="L2786">
        <v>0.99965166504110348</v>
      </c>
      <c r="M2786">
        <v>0.99954331941544883</v>
      </c>
    </row>
    <row r="2787" spans="4:19" x14ac:dyDescent="0.25">
      <c r="D2787" t="s">
        <v>85</v>
      </c>
      <c r="E2787">
        <v>2013</v>
      </c>
      <c r="F2787" t="s">
        <v>23</v>
      </c>
      <c r="S2787">
        <v>120040</v>
      </c>
    </row>
    <row r="2788" spans="4:19" x14ac:dyDescent="0.25">
      <c r="D2788" t="s">
        <v>85</v>
      </c>
      <c r="E2788">
        <v>2014</v>
      </c>
      <c r="F2788" t="s">
        <v>23</v>
      </c>
      <c r="S2788">
        <v>162591</v>
      </c>
    </row>
    <row r="2789" spans="4:19" x14ac:dyDescent="0.25">
      <c r="D2789" t="s">
        <v>85</v>
      </c>
      <c r="E2789">
        <v>2015</v>
      </c>
      <c r="F2789" t="s">
        <v>23</v>
      </c>
      <c r="S2789">
        <v>143993</v>
      </c>
    </row>
    <row r="2790" spans="4:19" x14ac:dyDescent="0.25">
      <c r="D2790" t="s">
        <v>85</v>
      </c>
      <c r="E2790">
        <v>2013</v>
      </c>
      <c r="F2790" t="s">
        <v>24</v>
      </c>
      <c r="H2790">
        <v>23242</v>
      </c>
      <c r="I2790">
        <v>20156</v>
      </c>
      <c r="J2790">
        <v>18707</v>
      </c>
      <c r="K2790">
        <v>19169</v>
      </c>
      <c r="L2790">
        <v>17971</v>
      </c>
      <c r="M2790">
        <v>20795</v>
      </c>
      <c r="N2790">
        <v>21115</v>
      </c>
      <c r="O2790">
        <v>25880</v>
      </c>
      <c r="P2790">
        <v>27048</v>
      </c>
      <c r="Q2790">
        <v>23432</v>
      </c>
      <c r="R2790">
        <v>23061</v>
      </c>
    </row>
    <row r="2791" spans="4:19" x14ac:dyDescent="0.25">
      <c r="D2791" t="s">
        <v>85</v>
      </c>
      <c r="E2791">
        <v>2014</v>
      </c>
      <c r="F2791" t="s">
        <v>24</v>
      </c>
      <c r="G2791">
        <v>27801</v>
      </c>
      <c r="H2791">
        <v>28442</v>
      </c>
      <c r="I2791">
        <v>21762</v>
      </c>
      <c r="J2791">
        <v>19524</v>
      </c>
      <c r="K2791">
        <v>18431</v>
      </c>
      <c r="L2791">
        <v>21512</v>
      </c>
      <c r="M2791">
        <v>25119</v>
      </c>
      <c r="N2791">
        <v>24049</v>
      </c>
      <c r="O2791">
        <v>31350</v>
      </c>
      <c r="P2791">
        <v>25155</v>
      </c>
      <c r="Q2791">
        <v>20058</v>
      </c>
      <c r="R2791">
        <v>21506</v>
      </c>
    </row>
    <row r="2792" spans="4:19" x14ac:dyDescent="0.25">
      <c r="D2792" t="s">
        <v>85</v>
      </c>
      <c r="E2792">
        <v>2015</v>
      </c>
      <c r="F2792" t="s">
        <v>24</v>
      </c>
      <c r="G2792">
        <v>23360</v>
      </c>
      <c r="H2792">
        <v>22880</v>
      </c>
      <c r="I2792">
        <v>20795</v>
      </c>
      <c r="J2792">
        <v>18241</v>
      </c>
      <c r="K2792">
        <v>15854</v>
      </c>
      <c r="L2792">
        <v>20658</v>
      </c>
      <c r="M2792">
        <v>22205</v>
      </c>
    </row>
    <row r="2793" spans="4:19" x14ac:dyDescent="0.25">
      <c r="D2793" t="s">
        <v>85</v>
      </c>
      <c r="E2793">
        <v>2013</v>
      </c>
      <c r="F2793" t="s">
        <v>25</v>
      </c>
      <c r="S2793">
        <v>486706</v>
      </c>
    </row>
    <row r="2794" spans="4:19" x14ac:dyDescent="0.25">
      <c r="D2794" t="s">
        <v>85</v>
      </c>
      <c r="E2794">
        <v>2014</v>
      </c>
      <c r="F2794" t="s">
        <v>25</v>
      </c>
      <c r="S2794">
        <v>533559</v>
      </c>
    </row>
    <row r="2795" spans="4:19" x14ac:dyDescent="0.25">
      <c r="D2795" t="s">
        <v>85</v>
      </c>
      <c r="E2795">
        <v>2015</v>
      </c>
      <c r="F2795" t="s">
        <v>25</v>
      </c>
      <c r="S2795">
        <v>583859</v>
      </c>
    </row>
    <row r="2796" spans="4:19" x14ac:dyDescent="0.25">
      <c r="D2796" t="s">
        <v>85</v>
      </c>
      <c r="E2796">
        <v>2013</v>
      </c>
      <c r="F2796" t="s">
        <v>26</v>
      </c>
      <c r="G2796">
        <v>78445</v>
      </c>
      <c r="H2796">
        <v>69311</v>
      </c>
      <c r="I2796">
        <v>65501</v>
      </c>
      <c r="J2796">
        <v>66191</v>
      </c>
      <c r="K2796">
        <v>61836</v>
      </c>
      <c r="L2796">
        <v>66891</v>
      </c>
      <c r="M2796">
        <v>78531</v>
      </c>
      <c r="N2796">
        <v>71374</v>
      </c>
      <c r="O2796">
        <v>98766</v>
      </c>
      <c r="P2796">
        <v>100713</v>
      </c>
      <c r="Q2796">
        <v>84436</v>
      </c>
      <c r="R2796">
        <v>98386</v>
      </c>
    </row>
    <row r="2797" spans="4:19" x14ac:dyDescent="0.25">
      <c r="D2797" t="s">
        <v>85</v>
      </c>
      <c r="E2797">
        <v>2014</v>
      </c>
      <c r="F2797" t="s">
        <v>26</v>
      </c>
      <c r="G2797">
        <v>86602</v>
      </c>
      <c r="H2797">
        <v>79792</v>
      </c>
      <c r="I2797">
        <v>77926</v>
      </c>
      <c r="J2797">
        <v>70937</v>
      </c>
      <c r="K2797">
        <v>65868</v>
      </c>
      <c r="L2797">
        <v>71382</v>
      </c>
      <c r="M2797">
        <v>81052</v>
      </c>
      <c r="N2797">
        <v>80130</v>
      </c>
      <c r="O2797">
        <v>107669</v>
      </c>
      <c r="P2797">
        <v>98441</v>
      </c>
      <c r="Q2797">
        <v>83606</v>
      </c>
      <c r="R2797">
        <v>105463</v>
      </c>
    </row>
    <row r="2798" spans="4:19" x14ac:dyDescent="0.25">
      <c r="D2798" t="s">
        <v>85</v>
      </c>
      <c r="E2798">
        <v>2015</v>
      </c>
      <c r="F2798" t="s">
        <v>26</v>
      </c>
      <c r="G2798">
        <v>96172</v>
      </c>
      <c r="H2798">
        <v>77864</v>
      </c>
      <c r="I2798">
        <v>83646</v>
      </c>
      <c r="J2798">
        <v>78777</v>
      </c>
      <c r="K2798">
        <v>69847</v>
      </c>
      <c r="L2798">
        <v>86808</v>
      </c>
      <c r="M2798">
        <v>90745</v>
      </c>
    </row>
    <row r="2799" spans="4:19" x14ac:dyDescent="0.25">
      <c r="D2799" t="s">
        <v>85</v>
      </c>
      <c r="E2799">
        <v>2013</v>
      </c>
      <c r="F2799" t="s">
        <v>27</v>
      </c>
      <c r="S2799">
        <v>842577</v>
      </c>
    </row>
    <row r="2800" spans="4:19" x14ac:dyDescent="0.25">
      <c r="D2800" t="s">
        <v>85</v>
      </c>
      <c r="E2800">
        <v>2014</v>
      </c>
      <c r="F2800" t="s">
        <v>27</v>
      </c>
      <c r="S2800">
        <v>878194</v>
      </c>
    </row>
    <row r="2801" spans="4:19" x14ac:dyDescent="0.25">
      <c r="D2801" t="s">
        <v>85</v>
      </c>
      <c r="E2801">
        <v>2015</v>
      </c>
      <c r="F2801" t="s">
        <v>27</v>
      </c>
      <c r="S2801">
        <v>979851</v>
      </c>
    </row>
    <row r="2802" spans="4:19" x14ac:dyDescent="0.25">
      <c r="D2802" t="s">
        <v>85</v>
      </c>
      <c r="E2802">
        <v>2013</v>
      </c>
      <c r="F2802" t="s">
        <v>28</v>
      </c>
      <c r="G2802">
        <v>134455</v>
      </c>
      <c r="H2802">
        <v>123938</v>
      </c>
      <c r="I2802">
        <v>115516</v>
      </c>
      <c r="J2802">
        <v>115477</v>
      </c>
      <c r="K2802">
        <v>104522</v>
      </c>
      <c r="L2802">
        <v>115032</v>
      </c>
      <c r="M2802">
        <v>133637</v>
      </c>
      <c r="N2802">
        <v>118721</v>
      </c>
      <c r="O2802">
        <v>171315</v>
      </c>
      <c r="P2802">
        <v>171310</v>
      </c>
      <c r="Q2802">
        <v>140149</v>
      </c>
      <c r="R2802">
        <v>157853</v>
      </c>
    </row>
    <row r="2803" spans="4:19" x14ac:dyDescent="0.25">
      <c r="D2803" t="s">
        <v>85</v>
      </c>
      <c r="E2803">
        <v>2014</v>
      </c>
      <c r="F2803" t="s">
        <v>28</v>
      </c>
      <c r="G2803">
        <v>144186</v>
      </c>
      <c r="H2803">
        <v>134001</v>
      </c>
      <c r="I2803">
        <v>129085</v>
      </c>
      <c r="J2803">
        <v>119592</v>
      </c>
      <c r="K2803">
        <v>104877</v>
      </c>
      <c r="L2803">
        <v>114715</v>
      </c>
      <c r="M2803">
        <v>131738</v>
      </c>
      <c r="N2803">
        <v>128476</v>
      </c>
      <c r="O2803">
        <v>181482</v>
      </c>
      <c r="P2803">
        <v>163126</v>
      </c>
      <c r="Q2803">
        <v>136187</v>
      </c>
      <c r="R2803">
        <v>171286</v>
      </c>
    </row>
    <row r="2804" spans="4:19" x14ac:dyDescent="0.25">
      <c r="D2804" t="s">
        <v>85</v>
      </c>
      <c r="E2804">
        <v>2015</v>
      </c>
      <c r="F2804" t="s">
        <v>28</v>
      </c>
      <c r="G2804">
        <v>155304</v>
      </c>
      <c r="H2804">
        <v>133159</v>
      </c>
      <c r="I2804">
        <v>147097</v>
      </c>
      <c r="J2804">
        <v>130225</v>
      </c>
      <c r="K2804">
        <v>116193</v>
      </c>
      <c r="L2804">
        <v>143887</v>
      </c>
      <c r="M2804">
        <v>153986</v>
      </c>
    </row>
    <row r="2805" spans="4:19" x14ac:dyDescent="0.25">
      <c r="D2805" t="s">
        <v>85</v>
      </c>
      <c r="E2805">
        <v>2013</v>
      </c>
      <c r="F2805" t="s">
        <v>29</v>
      </c>
      <c r="S2805">
        <v>104521</v>
      </c>
    </row>
    <row r="2806" spans="4:19" x14ac:dyDescent="0.25">
      <c r="D2806" t="s">
        <v>85</v>
      </c>
      <c r="E2806">
        <v>2014</v>
      </c>
      <c r="F2806" t="s">
        <v>29</v>
      </c>
      <c r="S2806">
        <v>106059</v>
      </c>
    </row>
    <row r="2807" spans="4:19" x14ac:dyDescent="0.25">
      <c r="D2807" t="s">
        <v>85</v>
      </c>
      <c r="E2807">
        <v>2015</v>
      </c>
      <c r="F2807" t="s">
        <v>29</v>
      </c>
      <c r="S2807">
        <v>94488</v>
      </c>
    </row>
    <row r="2808" spans="4:19" x14ac:dyDescent="0.25">
      <c r="D2808" t="s">
        <v>85</v>
      </c>
      <c r="E2808">
        <v>2013</v>
      </c>
      <c r="F2808" t="s">
        <v>30</v>
      </c>
      <c r="G2808">
        <v>17482</v>
      </c>
      <c r="H2808">
        <v>15389</v>
      </c>
      <c r="I2808">
        <v>14674</v>
      </c>
      <c r="J2808">
        <v>14035</v>
      </c>
      <c r="K2808">
        <v>13569</v>
      </c>
      <c r="L2808">
        <v>14252</v>
      </c>
      <c r="M2808">
        <v>15120</v>
      </c>
      <c r="N2808">
        <v>13462</v>
      </c>
      <c r="O2808">
        <v>18200</v>
      </c>
      <c r="P2808">
        <v>17878</v>
      </c>
      <c r="Q2808">
        <v>15347</v>
      </c>
      <c r="R2808">
        <v>15864</v>
      </c>
    </row>
    <row r="2809" spans="4:19" x14ac:dyDescent="0.25">
      <c r="D2809" t="s">
        <v>85</v>
      </c>
      <c r="E2809">
        <v>2014</v>
      </c>
      <c r="F2809" t="s">
        <v>30</v>
      </c>
      <c r="G2809">
        <v>18323</v>
      </c>
      <c r="H2809">
        <v>16608</v>
      </c>
      <c r="I2809">
        <v>15045</v>
      </c>
      <c r="J2809">
        <v>14918</v>
      </c>
      <c r="K2809">
        <v>13193</v>
      </c>
      <c r="L2809">
        <v>13534</v>
      </c>
      <c r="M2809">
        <v>14438</v>
      </c>
      <c r="N2809">
        <v>13125</v>
      </c>
      <c r="O2809">
        <v>18367</v>
      </c>
      <c r="P2809">
        <v>17047</v>
      </c>
      <c r="Q2809">
        <v>14409</v>
      </c>
      <c r="R2809">
        <v>16279</v>
      </c>
    </row>
    <row r="2810" spans="4:19" x14ac:dyDescent="0.25">
      <c r="D2810" t="s">
        <v>85</v>
      </c>
      <c r="E2810">
        <v>2015</v>
      </c>
      <c r="F2810" t="s">
        <v>30</v>
      </c>
      <c r="G2810">
        <v>16652</v>
      </c>
      <c r="H2810">
        <v>15032</v>
      </c>
      <c r="I2810">
        <v>15924</v>
      </c>
      <c r="J2810">
        <v>12475</v>
      </c>
      <c r="K2810">
        <v>10226</v>
      </c>
      <c r="L2810">
        <v>12226</v>
      </c>
      <c r="M2810">
        <v>11953</v>
      </c>
    </row>
    <row r="2811" spans="4:19" x14ac:dyDescent="0.25">
      <c r="D2811" t="s">
        <v>85</v>
      </c>
      <c r="E2811">
        <v>2013</v>
      </c>
      <c r="F2811" t="s">
        <v>31</v>
      </c>
      <c r="S2811">
        <v>0.85908168529664664</v>
      </c>
    </row>
    <row r="2812" spans="4:19" x14ac:dyDescent="0.25">
      <c r="D2812" t="s">
        <v>85</v>
      </c>
      <c r="E2812">
        <v>2014</v>
      </c>
      <c r="F2812" t="s">
        <v>31</v>
      </c>
      <c r="S2812">
        <v>0.91664360265943379</v>
      </c>
    </row>
    <row r="2813" spans="4:19" x14ac:dyDescent="0.25">
      <c r="D2813" t="s">
        <v>85</v>
      </c>
      <c r="E2813">
        <v>2015</v>
      </c>
      <c r="F2813" t="s">
        <v>31</v>
      </c>
      <c r="S2813">
        <v>0.90897474182772775</v>
      </c>
    </row>
    <row r="2814" spans="4:19" x14ac:dyDescent="0.25">
      <c r="D2814" t="s">
        <v>85</v>
      </c>
      <c r="E2814">
        <v>2013</v>
      </c>
      <c r="F2814" t="s">
        <v>32</v>
      </c>
      <c r="G2814">
        <v>0.85486481152555749</v>
      </c>
      <c r="H2814">
        <v>0.8360296015833405</v>
      </c>
      <c r="I2814">
        <v>0.84024608057154193</v>
      </c>
      <c r="J2814">
        <v>0.84631421393061423</v>
      </c>
      <c r="K2814">
        <v>0.83118576868902916</v>
      </c>
      <c r="L2814">
        <v>0.86461521339936565</v>
      </c>
      <c r="M2814">
        <v>0.94065881221447467</v>
      </c>
      <c r="N2814">
        <v>0.96249112005683168</v>
      </c>
      <c r="O2814">
        <v>0.92438176197836164</v>
      </c>
      <c r="P2814">
        <v>0.87858621709553386</v>
      </c>
      <c r="Q2814">
        <v>0.92740696483441443</v>
      </c>
      <c r="R2814">
        <v>0.97064307705650232</v>
      </c>
    </row>
    <row r="2815" spans="4:19" x14ac:dyDescent="0.25">
      <c r="D2815" t="s">
        <v>85</v>
      </c>
      <c r="E2815">
        <v>2014</v>
      </c>
      <c r="F2815" t="s">
        <v>32</v>
      </c>
      <c r="G2815">
        <v>0.94460630912557098</v>
      </c>
      <c r="H2815">
        <v>0.88742001265733772</v>
      </c>
      <c r="I2815">
        <v>0.94053855344177928</v>
      </c>
      <c r="J2815">
        <v>0.93479819709076006</v>
      </c>
      <c r="K2815">
        <v>0.93624871141012422</v>
      </c>
      <c r="L2815">
        <v>0.89689475641502414</v>
      </c>
      <c r="M2815">
        <v>0.88650025876826311</v>
      </c>
      <c r="N2815">
        <v>0.90012058713460019</v>
      </c>
      <c r="O2815">
        <v>0.9242424242424242</v>
      </c>
      <c r="P2815">
        <v>0.93305505863645399</v>
      </c>
      <c r="Q2815">
        <v>0.93977465350483602</v>
      </c>
      <c r="R2815">
        <v>0.93722682042220773</v>
      </c>
    </row>
    <row r="2816" spans="4:19" x14ac:dyDescent="0.25">
      <c r="D2816" t="s">
        <v>85</v>
      </c>
      <c r="E2816">
        <v>2015</v>
      </c>
      <c r="F2816" t="s">
        <v>32</v>
      </c>
      <c r="G2816">
        <v>0.92153253424657533</v>
      </c>
      <c r="H2816">
        <v>0.92084790209790213</v>
      </c>
      <c r="I2816">
        <v>0.90507333493628273</v>
      </c>
      <c r="J2816">
        <v>0.90367852639657908</v>
      </c>
      <c r="K2816">
        <v>0.92456162482654225</v>
      </c>
      <c r="L2816">
        <v>0.89679543034175624</v>
      </c>
      <c r="M2816">
        <v>0.89173609547399235</v>
      </c>
    </row>
    <row r="2817" spans="4:19" x14ac:dyDescent="0.25">
      <c r="D2817" t="s">
        <v>85</v>
      </c>
      <c r="E2817">
        <v>2013</v>
      </c>
      <c r="F2817" t="s">
        <v>33</v>
      </c>
      <c r="S2817">
        <v>0.90718499395118546</v>
      </c>
    </row>
    <row r="2818" spans="4:19" x14ac:dyDescent="0.25">
      <c r="D2818" t="s">
        <v>85</v>
      </c>
      <c r="E2818">
        <v>2014</v>
      </c>
      <c r="F2818" t="s">
        <v>33</v>
      </c>
      <c r="S2818">
        <v>0.90284565359602875</v>
      </c>
    </row>
    <row r="2819" spans="4:19" x14ac:dyDescent="0.25">
      <c r="D2819" t="s">
        <v>85</v>
      </c>
      <c r="E2819">
        <v>2015</v>
      </c>
      <c r="F2819" t="s">
        <v>33</v>
      </c>
      <c r="S2819">
        <v>0.93527393207904386</v>
      </c>
    </row>
    <row r="2820" spans="4:19" x14ac:dyDescent="0.25">
      <c r="D2820" t="s">
        <v>85</v>
      </c>
      <c r="E2820">
        <v>2013</v>
      </c>
      <c r="F2820" t="s">
        <v>34</v>
      </c>
      <c r="H2820">
        <v>0.88623559539052499</v>
      </c>
      <c r="I2820">
        <v>0.90306008487826672</v>
      </c>
      <c r="J2820">
        <v>0.88970469582055833</v>
      </c>
      <c r="K2820">
        <v>0.90259843774908333</v>
      </c>
      <c r="L2820">
        <v>0.9278468586387435</v>
      </c>
      <c r="M2820">
        <v>0.93613060289273953</v>
      </c>
      <c r="N2820">
        <v>0.94409148665819564</v>
      </c>
      <c r="O2820">
        <v>0.89046233068398073</v>
      </c>
      <c r="P2820">
        <v>0.8235641755762102</v>
      </c>
      <c r="Q2820">
        <v>0.88339731285988488</v>
      </c>
      <c r="R2820">
        <v>0.95594168944422753</v>
      </c>
    </row>
    <row r="2821" spans="4:19" x14ac:dyDescent="0.25">
      <c r="D2821" t="s">
        <v>85</v>
      </c>
      <c r="E2821">
        <v>2014</v>
      </c>
      <c r="F2821" t="s">
        <v>34</v>
      </c>
      <c r="G2821">
        <v>0.91916859122401851</v>
      </c>
      <c r="H2821">
        <v>0.83669097771204159</v>
      </c>
      <c r="I2821">
        <v>0.91323588574493764</v>
      </c>
      <c r="J2821">
        <v>0.9085159899389148</v>
      </c>
      <c r="K2821">
        <v>0.90756038077255918</v>
      </c>
      <c r="L2821">
        <v>0.9042553191489362</v>
      </c>
      <c r="M2821">
        <v>0.96048476572501496</v>
      </c>
      <c r="N2821">
        <v>0.94209250279746359</v>
      </c>
      <c r="O2821">
        <v>0.94459039885359442</v>
      </c>
      <c r="P2821">
        <v>0.97672738945509996</v>
      </c>
      <c r="Q2821">
        <v>0.98040201005025129</v>
      </c>
      <c r="R2821">
        <v>0.97196423921534592</v>
      </c>
    </row>
    <row r="2822" spans="4:19" x14ac:dyDescent="0.25">
      <c r="D2822" t="s">
        <v>85</v>
      </c>
      <c r="E2822">
        <v>2015</v>
      </c>
      <c r="F2822" t="s">
        <v>34</v>
      </c>
      <c r="G2822">
        <v>0.94597441685477801</v>
      </c>
      <c r="H2822">
        <v>0.94722284518202882</v>
      </c>
      <c r="I2822">
        <v>0.94170510577381894</v>
      </c>
      <c r="J2822">
        <v>0.93870158818612426</v>
      </c>
      <c r="K2822">
        <v>0.96207041072925403</v>
      </c>
      <c r="L2822">
        <v>0.91069478282785854</v>
      </c>
      <c r="M2822">
        <v>0.90593642282650322</v>
      </c>
    </row>
    <row r="2823" spans="4:19" x14ac:dyDescent="0.25">
      <c r="D2823" t="s">
        <v>86</v>
      </c>
      <c r="E2823">
        <v>2013</v>
      </c>
      <c r="F2823" t="s">
        <v>17</v>
      </c>
      <c r="S2823">
        <v>0.91377755038843189</v>
      </c>
    </row>
    <row r="2824" spans="4:19" x14ac:dyDescent="0.25">
      <c r="D2824" t="s">
        <v>86</v>
      </c>
      <c r="E2824">
        <v>2014</v>
      </c>
      <c r="F2824" t="s">
        <v>17</v>
      </c>
      <c r="S2824">
        <v>0.93128622380740078</v>
      </c>
    </row>
    <row r="2825" spans="4:19" x14ac:dyDescent="0.25">
      <c r="D2825" t="s">
        <v>86</v>
      </c>
      <c r="E2825">
        <v>2015</v>
      </c>
      <c r="F2825" t="s">
        <v>17</v>
      </c>
      <c r="S2825">
        <v>0.80070425755704944</v>
      </c>
    </row>
    <row r="2826" spans="4:19" x14ac:dyDescent="0.25">
      <c r="D2826" t="s">
        <v>86</v>
      </c>
      <c r="E2826">
        <v>2013</v>
      </c>
      <c r="F2826" t="s">
        <v>18</v>
      </c>
      <c r="G2826">
        <v>0.90790470578331506</v>
      </c>
      <c r="H2826">
        <v>0.90556030795551756</v>
      </c>
      <c r="I2826">
        <v>0.90966959684752957</v>
      </c>
      <c r="J2826">
        <v>0.9180836073273837</v>
      </c>
      <c r="K2826">
        <v>0.90635284731225696</v>
      </c>
      <c r="L2826">
        <v>0.91899057344854673</v>
      </c>
      <c r="M2826">
        <v>0.93206712893176569</v>
      </c>
      <c r="N2826">
        <v>0.92493832961353228</v>
      </c>
      <c r="O2826">
        <v>0.92223485925504689</v>
      </c>
      <c r="P2826">
        <v>0.93227870600782081</v>
      </c>
      <c r="Q2826">
        <v>0.90375433011890272</v>
      </c>
      <c r="R2826">
        <v>0.93407864302235932</v>
      </c>
    </row>
    <row r="2827" spans="4:19" x14ac:dyDescent="0.25">
      <c r="D2827" t="s">
        <v>86</v>
      </c>
      <c r="E2827">
        <v>2014</v>
      </c>
      <c r="F2827" t="s">
        <v>18</v>
      </c>
      <c r="G2827">
        <v>0.91097149862090099</v>
      </c>
      <c r="H2827">
        <v>0.92998603007642366</v>
      </c>
      <c r="I2827">
        <v>0.92815029479364441</v>
      </c>
      <c r="J2827">
        <v>0.94348131075258046</v>
      </c>
      <c r="K2827">
        <v>0.92697360634394599</v>
      </c>
      <c r="L2827">
        <v>0.9432584891051875</v>
      </c>
      <c r="M2827">
        <v>0.94437713404559975</v>
      </c>
      <c r="N2827">
        <v>0.93510118632240058</v>
      </c>
      <c r="O2827">
        <v>0.9431705644854117</v>
      </c>
      <c r="P2827">
        <v>0.93927659948957143</v>
      </c>
      <c r="Q2827">
        <v>0.94361769021169561</v>
      </c>
      <c r="R2827">
        <v>0.93512716549944708</v>
      </c>
    </row>
    <row r="2828" spans="4:19" x14ac:dyDescent="0.25">
      <c r="D2828" t="s">
        <v>86</v>
      </c>
      <c r="E2828">
        <v>2015</v>
      </c>
      <c r="F2828" t="s">
        <v>18</v>
      </c>
      <c r="G2828">
        <v>0.76870537100279412</v>
      </c>
      <c r="H2828">
        <v>0.59918335089567965</v>
      </c>
      <c r="I2828">
        <v>0.62743437764606269</v>
      </c>
      <c r="J2828">
        <v>0.96037226058240766</v>
      </c>
      <c r="K2828">
        <v>0.95008576329331051</v>
      </c>
      <c r="L2828">
        <v>0.93617443012884038</v>
      </c>
      <c r="M2828">
        <v>0.94199178644763859</v>
      </c>
    </row>
    <row r="2829" spans="4:19" x14ac:dyDescent="0.25">
      <c r="D2829" t="s">
        <v>86</v>
      </c>
      <c r="E2829">
        <v>2013</v>
      </c>
      <c r="F2829" t="s">
        <v>19</v>
      </c>
      <c r="S2829">
        <v>0.63541261794695802</v>
      </c>
    </row>
    <row r="2830" spans="4:19" x14ac:dyDescent="0.25">
      <c r="D2830" t="s">
        <v>86</v>
      </c>
      <c r="E2830">
        <v>2014</v>
      </c>
      <c r="F2830" t="s">
        <v>19</v>
      </c>
      <c r="S2830">
        <v>0.96035696805197113</v>
      </c>
    </row>
    <row r="2831" spans="4:19" x14ac:dyDescent="0.25">
      <c r="D2831" t="s">
        <v>86</v>
      </c>
      <c r="E2831">
        <v>2015</v>
      </c>
      <c r="F2831" t="s">
        <v>19</v>
      </c>
      <c r="S2831">
        <v>0.92034524186831568</v>
      </c>
    </row>
    <row r="2832" spans="4:19" x14ac:dyDescent="0.25">
      <c r="D2832" t="s">
        <v>86</v>
      </c>
      <c r="E2832">
        <v>2013</v>
      </c>
      <c r="F2832" t="s">
        <v>20</v>
      </c>
      <c r="G2832">
        <v>0.65376585018078115</v>
      </c>
      <c r="H2832">
        <v>0.57450814767887937</v>
      </c>
      <c r="I2832">
        <v>0.57263145018247064</v>
      </c>
      <c r="J2832">
        <v>0.67843350103333822</v>
      </c>
      <c r="K2832">
        <v>0.54583358633392032</v>
      </c>
      <c r="L2832">
        <v>0.63388893373153599</v>
      </c>
      <c r="M2832">
        <v>0.78995246199894364</v>
      </c>
      <c r="N2832">
        <v>0.6803398180264415</v>
      </c>
      <c r="O2832">
        <v>0.84345249120207444</v>
      </c>
      <c r="P2832">
        <v>0.77831661578717837</v>
      </c>
      <c r="Q2832">
        <v>0.61920510246264693</v>
      </c>
      <c r="R2832">
        <v>0.87781961895529625</v>
      </c>
    </row>
    <row r="2833" spans="4:19" x14ac:dyDescent="0.25">
      <c r="D2833" t="s">
        <v>86</v>
      </c>
      <c r="E2833">
        <v>2014</v>
      </c>
      <c r="F2833" t="s">
        <v>20</v>
      </c>
      <c r="G2833">
        <v>0.98087903539478805</v>
      </c>
      <c r="H2833">
        <v>0.99318654388831129</v>
      </c>
      <c r="I2833">
        <v>0.95144947291893855</v>
      </c>
      <c r="J2833">
        <v>0.98121859797432009</v>
      </c>
      <c r="K2833">
        <v>0.80660308854141449</v>
      </c>
      <c r="L2833">
        <v>0.9716203073332037</v>
      </c>
      <c r="M2833">
        <v>0.9975984894315203</v>
      </c>
      <c r="N2833">
        <v>0.99592944369063774</v>
      </c>
      <c r="O2833">
        <v>0.9958428322381655</v>
      </c>
      <c r="P2833">
        <v>0.99556052776445936</v>
      </c>
      <c r="Q2833">
        <v>0.97266471140759481</v>
      </c>
      <c r="R2833">
        <v>0.99817720311408664</v>
      </c>
    </row>
    <row r="2834" spans="4:19" x14ac:dyDescent="0.25">
      <c r="D2834" t="s">
        <v>86</v>
      </c>
      <c r="E2834">
        <v>2015</v>
      </c>
      <c r="F2834" t="s">
        <v>20</v>
      </c>
      <c r="G2834">
        <v>0.96194633093298454</v>
      </c>
      <c r="H2834">
        <v>0.98349127623771149</v>
      </c>
      <c r="I2834">
        <v>0.98077337087024918</v>
      </c>
      <c r="J2834">
        <v>0.85382870761897445</v>
      </c>
      <c r="K2834">
        <v>0.80568008966455851</v>
      </c>
      <c r="L2834">
        <v>0.89715867786490955</v>
      </c>
      <c r="M2834">
        <v>0.93424447736844729</v>
      </c>
    </row>
    <row r="2835" spans="4:19" x14ac:dyDescent="0.25">
      <c r="D2835" t="s">
        <v>86</v>
      </c>
      <c r="E2835">
        <v>2013</v>
      </c>
      <c r="F2835" t="s">
        <v>21</v>
      </c>
      <c r="S2835">
        <v>0.93792231480329979</v>
      </c>
    </row>
    <row r="2836" spans="4:19" x14ac:dyDescent="0.25">
      <c r="D2836" t="s">
        <v>86</v>
      </c>
      <c r="E2836">
        <v>2014</v>
      </c>
      <c r="F2836" t="s">
        <v>21</v>
      </c>
      <c r="S2836">
        <v>0.9937981394418326</v>
      </c>
    </row>
    <row r="2837" spans="4:19" x14ac:dyDescent="0.25">
      <c r="D2837" t="s">
        <v>86</v>
      </c>
      <c r="E2837">
        <v>2015</v>
      </c>
      <c r="F2837" t="s">
        <v>21</v>
      </c>
      <c r="S2837">
        <v>0.92587530795374851</v>
      </c>
    </row>
    <row r="2838" spans="4:19" x14ac:dyDescent="0.25">
      <c r="D2838" t="s">
        <v>86</v>
      </c>
      <c r="E2838">
        <v>2013</v>
      </c>
      <c r="F2838" t="s">
        <v>22</v>
      </c>
      <c r="G2838">
        <v>0.96136214800261954</v>
      </c>
      <c r="H2838">
        <v>0.92508256561793845</v>
      </c>
      <c r="I2838">
        <v>0.83046964490263464</v>
      </c>
      <c r="J2838">
        <v>0.94609092128201688</v>
      </c>
      <c r="K2838">
        <v>0.8992165242165242</v>
      </c>
      <c r="L2838">
        <v>0.98335552596537945</v>
      </c>
      <c r="M2838">
        <v>0.98697628701314655</v>
      </c>
      <c r="N2838">
        <v>0.94507874015748028</v>
      </c>
      <c r="O2838">
        <v>0.98704439454137161</v>
      </c>
      <c r="P2838">
        <v>0.99081081081081079</v>
      </c>
      <c r="Q2838">
        <v>0.88793922127255465</v>
      </c>
      <c r="R2838">
        <v>0.95873932395043904</v>
      </c>
    </row>
    <row r="2839" spans="4:19" x14ac:dyDescent="0.25">
      <c r="D2839" t="s">
        <v>86</v>
      </c>
      <c r="E2839">
        <v>2014</v>
      </c>
      <c r="F2839" t="s">
        <v>22</v>
      </c>
      <c r="G2839">
        <v>0.99012062033314185</v>
      </c>
      <c r="H2839">
        <v>0.98980072179507295</v>
      </c>
      <c r="I2839">
        <v>0.99785736149372517</v>
      </c>
      <c r="J2839">
        <v>0.99798197228575269</v>
      </c>
      <c r="K2839">
        <v>0.9884843353090601</v>
      </c>
      <c r="L2839">
        <v>0.99536464771322619</v>
      </c>
      <c r="M2839">
        <v>0.99626299194207635</v>
      </c>
      <c r="N2839">
        <v>0.99780219780219781</v>
      </c>
      <c r="O2839">
        <v>0.99884373967624707</v>
      </c>
      <c r="P2839">
        <v>0.99419907712590638</v>
      </c>
      <c r="Q2839">
        <v>0.99073346945186114</v>
      </c>
      <c r="R2839">
        <v>0.99814921920185073</v>
      </c>
    </row>
    <row r="2840" spans="4:19" x14ac:dyDescent="0.25">
      <c r="D2840" t="s">
        <v>86</v>
      </c>
      <c r="E2840">
        <v>2015</v>
      </c>
      <c r="F2840" t="s">
        <v>22</v>
      </c>
      <c r="G2840">
        <v>0.99485830443620715</v>
      </c>
      <c r="H2840">
        <v>0.99596406717875274</v>
      </c>
      <c r="I2840">
        <v>0.9954614220877458</v>
      </c>
      <c r="J2840">
        <v>0.98016397778365516</v>
      </c>
      <c r="K2840">
        <v>0.71713270508265103</v>
      </c>
      <c r="L2840">
        <v>0.7564024760286443</v>
      </c>
      <c r="M2840">
        <v>0.99743562346404535</v>
      </c>
    </row>
    <row r="2841" spans="4:19" x14ac:dyDescent="0.25">
      <c r="D2841" t="s">
        <v>86</v>
      </c>
      <c r="E2841">
        <v>2013</v>
      </c>
      <c r="F2841" t="s">
        <v>23</v>
      </c>
      <c r="S2841">
        <v>97043</v>
      </c>
    </row>
    <row r="2842" spans="4:19" x14ac:dyDescent="0.25">
      <c r="D2842" t="s">
        <v>86</v>
      </c>
      <c r="E2842">
        <v>2014</v>
      </c>
      <c r="F2842" t="s">
        <v>23</v>
      </c>
      <c r="S2842">
        <v>88553</v>
      </c>
    </row>
    <row r="2843" spans="4:19" x14ac:dyDescent="0.25">
      <c r="D2843" t="s">
        <v>86</v>
      </c>
      <c r="E2843">
        <v>2015</v>
      </c>
      <c r="F2843" t="s">
        <v>23</v>
      </c>
      <c r="S2843">
        <v>26101</v>
      </c>
    </row>
    <row r="2844" spans="4:19" x14ac:dyDescent="0.25">
      <c r="D2844" t="s">
        <v>86</v>
      </c>
      <c r="E2844">
        <v>2013</v>
      </c>
      <c r="F2844" t="s">
        <v>24</v>
      </c>
      <c r="G2844">
        <v>18032</v>
      </c>
      <c r="H2844">
        <v>15851</v>
      </c>
      <c r="I2844">
        <v>12808</v>
      </c>
      <c r="J2844">
        <v>13336</v>
      </c>
      <c r="K2844">
        <v>12554</v>
      </c>
      <c r="L2844">
        <v>11496</v>
      </c>
      <c r="M2844">
        <v>12966</v>
      </c>
      <c r="O2844">
        <v>14406</v>
      </c>
      <c r="P2844">
        <v>13695</v>
      </c>
      <c r="Q2844">
        <v>11837</v>
      </c>
      <c r="R2844">
        <v>13251</v>
      </c>
    </row>
    <row r="2845" spans="4:19" x14ac:dyDescent="0.25">
      <c r="D2845" t="s">
        <v>86</v>
      </c>
      <c r="E2845">
        <v>2014</v>
      </c>
      <c r="F2845" t="s">
        <v>24</v>
      </c>
      <c r="G2845">
        <v>14071</v>
      </c>
      <c r="H2845">
        <v>16185</v>
      </c>
      <c r="I2845">
        <v>11875</v>
      </c>
      <c r="J2845">
        <v>10817</v>
      </c>
      <c r="K2845">
        <v>10210</v>
      </c>
      <c r="L2845">
        <v>11536</v>
      </c>
      <c r="M2845">
        <v>13859</v>
      </c>
      <c r="N2845">
        <v>14622</v>
      </c>
      <c r="O2845">
        <v>16251</v>
      </c>
      <c r="P2845">
        <v>13756</v>
      </c>
      <c r="Q2845">
        <v>12156</v>
      </c>
      <c r="R2845">
        <v>14874</v>
      </c>
    </row>
    <row r="2846" spans="4:19" x14ac:dyDescent="0.25">
      <c r="D2846" t="s">
        <v>86</v>
      </c>
      <c r="E2846">
        <v>2015</v>
      </c>
      <c r="F2846" t="s">
        <v>24</v>
      </c>
      <c r="J2846">
        <v>12632</v>
      </c>
      <c r="L2846">
        <v>13469</v>
      </c>
    </row>
    <row r="2847" spans="4:19" x14ac:dyDescent="0.25">
      <c r="D2847" t="s">
        <v>86</v>
      </c>
      <c r="E2847">
        <v>2013</v>
      </c>
      <c r="F2847" t="s">
        <v>25</v>
      </c>
      <c r="S2847">
        <v>287758</v>
      </c>
    </row>
    <row r="2848" spans="4:19" x14ac:dyDescent="0.25">
      <c r="D2848" t="s">
        <v>86</v>
      </c>
      <c r="E2848">
        <v>2014</v>
      </c>
      <c r="F2848" t="s">
        <v>25</v>
      </c>
      <c r="S2848">
        <v>241047</v>
      </c>
    </row>
    <row r="2849" spans="4:19" x14ac:dyDescent="0.25">
      <c r="D2849" t="s">
        <v>86</v>
      </c>
      <c r="E2849">
        <v>2015</v>
      </c>
      <c r="F2849" t="s">
        <v>25</v>
      </c>
      <c r="S2849">
        <v>46122</v>
      </c>
    </row>
    <row r="2850" spans="4:19" x14ac:dyDescent="0.25">
      <c r="D2850" t="s">
        <v>86</v>
      </c>
      <c r="E2850">
        <v>2013</v>
      </c>
      <c r="F2850" t="s">
        <v>26</v>
      </c>
      <c r="G2850">
        <v>47785</v>
      </c>
      <c r="H2850">
        <v>42697</v>
      </c>
      <c r="I2850">
        <v>37307</v>
      </c>
      <c r="J2850">
        <v>40335</v>
      </c>
      <c r="K2850">
        <v>36215</v>
      </c>
      <c r="L2850">
        <v>38849</v>
      </c>
      <c r="M2850">
        <v>44570</v>
      </c>
      <c r="O2850">
        <v>54501</v>
      </c>
      <c r="P2850">
        <v>50612</v>
      </c>
      <c r="Q2850">
        <v>45593</v>
      </c>
      <c r="R2850">
        <v>51866</v>
      </c>
    </row>
    <row r="2851" spans="4:19" x14ac:dyDescent="0.25">
      <c r="D2851" t="s">
        <v>86</v>
      </c>
      <c r="E2851">
        <v>2014</v>
      </c>
      <c r="F2851" t="s">
        <v>26</v>
      </c>
      <c r="G2851">
        <v>47440</v>
      </c>
      <c r="H2851">
        <v>41057</v>
      </c>
      <c r="I2851">
        <v>35588</v>
      </c>
      <c r="J2851">
        <v>38080</v>
      </c>
      <c r="L2851">
        <v>36444</v>
      </c>
      <c r="M2851">
        <v>42438</v>
      </c>
      <c r="Q2851">
        <v>47703</v>
      </c>
    </row>
    <row r="2852" spans="4:19" x14ac:dyDescent="0.25">
      <c r="D2852" t="s">
        <v>86</v>
      </c>
      <c r="E2852">
        <v>2015</v>
      </c>
      <c r="F2852" t="s">
        <v>26</v>
      </c>
      <c r="L2852">
        <v>46122</v>
      </c>
    </row>
    <row r="2853" spans="4:19" x14ac:dyDescent="0.25">
      <c r="D2853" t="s">
        <v>86</v>
      </c>
      <c r="E2853">
        <v>2013</v>
      </c>
      <c r="F2853" t="s">
        <v>27</v>
      </c>
      <c r="S2853">
        <v>531093</v>
      </c>
    </row>
    <row r="2854" spans="4:19" x14ac:dyDescent="0.25">
      <c r="D2854" t="s">
        <v>86</v>
      </c>
      <c r="E2854">
        <v>2014</v>
      </c>
      <c r="F2854" t="s">
        <v>27</v>
      </c>
      <c r="S2854">
        <v>503110</v>
      </c>
    </row>
    <row r="2855" spans="4:19" x14ac:dyDescent="0.25">
      <c r="D2855" t="s">
        <v>86</v>
      </c>
      <c r="E2855">
        <v>2015</v>
      </c>
      <c r="F2855" t="s">
        <v>27</v>
      </c>
      <c r="S2855">
        <v>557879</v>
      </c>
    </row>
    <row r="2856" spans="4:19" x14ac:dyDescent="0.25">
      <c r="D2856" t="s">
        <v>86</v>
      </c>
      <c r="E2856">
        <v>2013</v>
      </c>
      <c r="F2856" t="s">
        <v>28</v>
      </c>
      <c r="G2856">
        <v>84827</v>
      </c>
      <c r="H2856">
        <v>81068</v>
      </c>
      <c r="I2856">
        <v>69570</v>
      </c>
      <c r="J2856">
        <v>76928</v>
      </c>
      <c r="K2856">
        <v>67166</v>
      </c>
      <c r="L2856">
        <v>70398</v>
      </c>
      <c r="M2856">
        <v>81136</v>
      </c>
      <c r="N2856">
        <v>66364</v>
      </c>
      <c r="O2856">
        <v>93086</v>
      </c>
      <c r="P2856">
        <v>90471</v>
      </c>
      <c r="Q2856">
        <v>80433</v>
      </c>
      <c r="R2856">
        <v>89851</v>
      </c>
    </row>
    <row r="2857" spans="4:19" x14ac:dyDescent="0.25">
      <c r="D2857" t="s">
        <v>86</v>
      </c>
      <c r="E2857">
        <v>2014</v>
      </c>
      <c r="F2857" t="s">
        <v>28</v>
      </c>
      <c r="G2857">
        <v>85735</v>
      </c>
      <c r="H2857">
        <v>77792</v>
      </c>
      <c r="I2857">
        <v>66329</v>
      </c>
      <c r="J2857">
        <v>71128</v>
      </c>
      <c r="K2857">
        <v>60394</v>
      </c>
      <c r="L2857">
        <v>65826</v>
      </c>
      <c r="M2857">
        <v>75906</v>
      </c>
      <c r="N2857">
        <v>67326</v>
      </c>
      <c r="O2857">
        <v>91516</v>
      </c>
      <c r="P2857">
        <v>86459</v>
      </c>
      <c r="Q2857">
        <v>79957</v>
      </c>
      <c r="R2857">
        <v>91830</v>
      </c>
    </row>
    <row r="2858" spans="4:19" x14ac:dyDescent="0.25">
      <c r="D2858" t="s">
        <v>86</v>
      </c>
      <c r="E2858">
        <v>2015</v>
      </c>
      <c r="F2858" t="s">
        <v>28</v>
      </c>
      <c r="G2858">
        <v>80531</v>
      </c>
      <c r="H2858">
        <v>78180</v>
      </c>
      <c r="I2858">
        <v>81798</v>
      </c>
      <c r="J2858">
        <v>78075</v>
      </c>
      <c r="K2858">
        <v>67389</v>
      </c>
      <c r="L2858">
        <v>83550</v>
      </c>
      <c r="M2858">
        <v>88356</v>
      </c>
    </row>
    <row r="2859" spans="4:19" x14ac:dyDescent="0.25">
      <c r="D2859" t="s">
        <v>86</v>
      </c>
      <c r="E2859">
        <v>2013</v>
      </c>
      <c r="F2859" t="s">
        <v>29</v>
      </c>
      <c r="S2859">
        <v>74273</v>
      </c>
    </row>
    <row r="2860" spans="4:19" x14ac:dyDescent="0.25">
      <c r="D2860" t="s">
        <v>86</v>
      </c>
      <c r="E2860">
        <v>2014</v>
      </c>
      <c r="F2860" t="s">
        <v>29</v>
      </c>
      <c r="S2860">
        <v>71776</v>
      </c>
    </row>
    <row r="2861" spans="4:19" x14ac:dyDescent="0.25">
      <c r="D2861" t="s">
        <v>86</v>
      </c>
      <c r="E2861">
        <v>2015</v>
      </c>
      <c r="F2861" t="s">
        <v>29</v>
      </c>
      <c r="S2861">
        <v>43734</v>
      </c>
    </row>
    <row r="2862" spans="4:19" x14ac:dyDescent="0.25">
      <c r="D2862" t="s">
        <v>86</v>
      </c>
      <c r="E2862">
        <v>2013</v>
      </c>
      <c r="F2862" t="s">
        <v>30</v>
      </c>
      <c r="G2862">
        <v>11879</v>
      </c>
      <c r="H2862">
        <v>11690</v>
      </c>
      <c r="I2862">
        <v>9897</v>
      </c>
      <c r="J2862">
        <v>10645</v>
      </c>
      <c r="K2862">
        <v>10027</v>
      </c>
      <c r="L2862">
        <v>10184</v>
      </c>
      <c r="M2862">
        <v>9951</v>
      </c>
      <c r="N2862">
        <v>8513</v>
      </c>
      <c r="O2862">
        <v>14068</v>
      </c>
      <c r="P2862">
        <v>11252</v>
      </c>
      <c r="Q2862">
        <v>10681</v>
      </c>
      <c r="R2862">
        <v>10376</v>
      </c>
    </row>
    <row r="2863" spans="4:19" x14ac:dyDescent="0.25">
      <c r="D2863" t="s">
        <v>86</v>
      </c>
      <c r="E2863">
        <v>2014</v>
      </c>
      <c r="F2863" t="s">
        <v>30</v>
      </c>
      <c r="G2863">
        <v>13052</v>
      </c>
      <c r="H2863">
        <v>12169</v>
      </c>
      <c r="I2863">
        <v>10007</v>
      </c>
      <c r="J2863">
        <v>9979</v>
      </c>
      <c r="K2863">
        <v>8449</v>
      </c>
      <c r="L2863">
        <v>9041</v>
      </c>
      <c r="M2863">
        <v>9079</v>
      </c>
      <c r="N2863">
        <v>8598</v>
      </c>
      <c r="O2863">
        <v>13127</v>
      </c>
      <c r="P2863">
        <v>11363</v>
      </c>
      <c r="Q2863">
        <v>9542</v>
      </c>
      <c r="R2863">
        <v>8139</v>
      </c>
    </row>
    <row r="2864" spans="4:19" x14ac:dyDescent="0.25">
      <c r="D2864" t="s">
        <v>86</v>
      </c>
      <c r="E2864">
        <v>2015</v>
      </c>
      <c r="F2864" t="s">
        <v>30</v>
      </c>
      <c r="G2864">
        <v>6442</v>
      </c>
      <c r="H2864">
        <v>7592</v>
      </c>
      <c r="I2864">
        <v>8267</v>
      </c>
      <c r="J2864">
        <v>6662</v>
      </c>
      <c r="K2864">
        <v>5830</v>
      </c>
      <c r="L2864">
        <v>5045</v>
      </c>
      <c r="M2864">
        <v>3896</v>
      </c>
    </row>
    <row r="2865" spans="4:19" x14ac:dyDescent="0.25">
      <c r="D2865" t="s">
        <v>86</v>
      </c>
      <c r="E2865">
        <v>2013</v>
      </c>
      <c r="F2865" t="s">
        <v>31</v>
      </c>
      <c r="S2865">
        <v>0.89370691343012887</v>
      </c>
    </row>
    <row r="2866" spans="4:19" x14ac:dyDescent="0.25">
      <c r="D2866" t="s">
        <v>86</v>
      </c>
      <c r="E2866">
        <v>2014</v>
      </c>
      <c r="F2866" t="s">
        <v>31</v>
      </c>
      <c r="S2866">
        <v>0.93720144997910859</v>
      </c>
    </row>
    <row r="2867" spans="4:19" x14ac:dyDescent="0.25">
      <c r="D2867" t="s">
        <v>86</v>
      </c>
      <c r="E2867">
        <v>2015</v>
      </c>
      <c r="F2867" t="s">
        <v>31</v>
      </c>
      <c r="S2867">
        <v>0.89459855798606869</v>
      </c>
    </row>
    <row r="2868" spans="4:19" x14ac:dyDescent="0.25">
      <c r="D2868" t="s">
        <v>86</v>
      </c>
      <c r="E2868">
        <v>2013</v>
      </c>
      <c r="F2868" t="s">
        <v>32</v>
      </c>
      <c r="G2868">
        <v>0.81505102040816324</v>
      </c>
      <c r="H2868">
        <v>0.88398208314932814</v>
      </c>
      <c r="I2868">
        <v>0.89397251717676451</v>
      </c>
      <c r="J2868">
        <v>0.90731853629274151</v>
      </c>
      <c r="K2868">
        <v>0.92050342520312256</v>
      </c>
      <c r="L2868">
        <v>0.90118302018093255</v>
      </c>
      <c r="M2868">
        <v>0.96814746259447781</v>
      </c>
      <c r="N2868">
        <v>0.9866645870701084</v>
      </c>
      <c r="O2868">
        <v>0.96140497015132587</v>
      </c>
      <c r="P2868">
        <v>0.94019715224534506</v>
      </c>
      <c r="Q2868">
        <v>0.95209934949733888</v>
      </c>
      <c r="R2868">
        <v>0.95155082635272814</v>
      </c>
    </row>
    <row r="2869" spans="4:19" x14ac:dyDescent="0.25">
      <c r="D2869" t="s">
        <v>86</v>
      </c>
      <c r="E2869">
        <v>2014</v>
      </c>
      <c r="F2869" t="s">
        <v>32</v>
      </c>
      <c r="G2869">
        <v>0.9558666761424206</v>
      </c>
      <c r="H2869">
        <v>0.94599938214396051</v>
      </c>
      <c r="I2869">
        <v>0.97515789473684211</v>
      </c>
      <c r="J2869">
        <v>0.95091060367939351</v>
      </c>
      <c r="K2869">
        <v>0.94789422135161605</v>
      </c>
      <c r="L2869">
        <v>0.87985436893203883</v>
      </c>
      <c r="M2869">
        <v>0.90461072227433437</v>
      </c>
      <c r="N2869">
        <v>0.88442073587744496</v>
      </c>
      <c r="O2869">
        <v>0.90135991631284229</v>
      </c>
      <c r="P2869">
        <v>0.90178831055539399</v>
      </c>
      <c r="Q2869">
        <v>0.88803882856202698</v>
      </c>
      <c r="R2869">
        <v>0.92288557213930345</v>
      </c>
    </row>
    <row r="2870" spans="4:19" x14ac:dyDescent="0.25">
      <c r="D2870" t="s">
        <v>86</v>
      </c>
      <c r="E2870">
        <v>2015</v>
      </c>
      <c r="F2870" t="s">
        <v>32</v>
      </c>
      <c r="G2870">
        <v>0.88994939465761325</v>
      </c>
      <c r="H2870">
        <v>0.86469940002448875</v>
      </c>
      <c r="I2870">
        <v>0.87758400107736856</v>
      </c>
      <c r="J2870">
        <v>0.90761557948068394</v>
      </c>
      <c r="K2870">
        <v>0.91184647116850504</v>
      </c>
      <c r="L2870">
        <v>0.90905041205731685</v>
      </c>
      <c r="M2870">
        <v>0.91313259824710202</v>
      </c>
    </row>
    <row r="2871" spans="4:19" x14ac:dyDescent="0.25">
      <c r="D2871" t="s">
        <v>86</v>
      </c>
      <c r="E2871">
        <v>2013</v>
      </c>
      <c r="F2871" t="s">
        <v>33</v>
      </c>
      <c r="S2871">
        <v>0.9170725575841373</v>
      </c>
    </row>
    <row r="2872" spans="4:19" x14ac:dyDescent="0.25">
      <c r="D2872" t="s">
        <v>86</v>
      </c>
      <c r="E2872">
        <v>2014</v>
      </c>
      <c r="F2872" t="s">
        <v>33</v>
      </c>
      <c r="S2872">
        <v>0.93989230097511278</v>
      </c>
    </row>
    <row r="2873" spans="4:19" x14ac:dyDescent="0.25">
      <c r="D2873" t="s">
        <v>86</v>
      </c>
      <c r="E2873">
        <v>2015</v>
      </c>
      <c r="F2873" t="s">
        <v>33</v>
      </c>
      <c r="S2873">
        <v>0.93467624070661504</v>
      </c>
    </row>
    <row r="2874" spans="4:19" x14ac:dyDescent="0.25">
      <c r="D2874" t="s">
        <v>86</v>
      </c>
      <c r="E2874">
        <v>2013</v>
      </c>
      <c r="F2874" t="s">
        <v>34</v>
      </c>
      <c r="G2874">
        <v>0.78824320914977719</v>
      </c>
      <c r="H2874">
        <v>0.90466723468711541</v>
      </c>
      <c r="I2874">
        <v>0.92735342209764071</v>
      </c>
      <c r="J2874">
        <v>0.94875882486905028</v>
      </c>
      <c r="K2874">
        <v>0.9782124288190146</v>
      </c>
      <c r="L2874">
        <v>0.96521386031402279</v>
      </c>
      <c r="M2874">
        <v>0.97041278931042707</v>
      </c>
      <c r="O2874">
        <v>0.942113482561166</v>
      </c>
      <c r="P2874">
        <v>0.91065779426202687</v>
      </c>
      <c r="Q2874">
        <v>0.92759545396501086</v>
      </c>
      <c r="R2874">
        <v>0.92290140506785157</v>
      </c>
    </row>
    <row r="2875" spans="4:19" x14ac:dyDescent="0.25">
      <c r="D2875" t="s">
        <v>86</v>
      </c>
      <c r="E2875">
        <v>2014</v>
      </c>
      <c r="F2875" t="s">
        <v>34</v>
      </c>
      <c r="G2875">
        <v>0.93432046536224223</v>
      </c>
      <c r="H2875">
        <v>0.91857648593255081</v>
      </c>
      <c r="I2875">
        <v>0.96297690763052213</v>
      </c>
      <c r="J2875">
        <v>0.92813641900121802</v>
      </c>
      <c r="K2875">
        <v>0.92123186259994072</v>
      </c>
      <c r="L2875">
        <v>0.95603477097960543</v>
      </c>
      <c r="M2875">
        <v>0.97188154352378109</v>
      </c>
      <c r="N2875">
        <v>0.90563010501750296</v>
      </c>
      <c r="O2875">
        <v>0.89103371100853268</v>
      </c>
      <c r="P2875">
        <v>0.91401816118047674</v>
      </c>
      <c r="Q2875">
        <v>0.87493837304847988</v>
      </c>
      <c r="R2875">
        <v>0.92923348536118877</v>
      </c>
    </row>
    <row r="2876" spans="4:19" x14ac:dyDescent="0.25">
      <c r="D2876" t="s">
        <v>86</v>
      </c>
      <c r="E2876">
        <v>2015</v>
      </c>
      <c r="F2876" t="s">
        <v>34</v>
      </c>
      <c r="J2876">
        <v>0.93794207927398909</v>
      </c>
      <c r="L2876">
        <v>0.9317079087821446</v>
      </c>
    </row>
    <row r="2877" spans="4:19" x14ac:dyDescent="0.25">
      <c r="D2877" t="s">
        <v>87</v>
      </c>
      <c r="E2877">
        <v>2013</v>
      </c>
      <c r="F2877" t="s">
        <v>17</v>
      </c>
      <c r="S2877">
        <v>0.8275139907539365</v>
      </c>
    </row>
    <row r="2878" spans="4:19" x14ac:dyDescent="0.25">
      <c r="D2878" t="s">
        <v>87</v>
      </c>
      <c r="E2878">
        <v>2014</v>
      </c>
      <c r="F2878" t="s">
        <v>17</v>
      </c>
      <c r="S2878">
        <v>0.8836268895703856</v>
      </c>
    </row>
    <row r="2879" spans="4:19" x14ac:dyDescent="0.25">
      <c r="D2879" t="s">
        <v>87</v>
      </c>
      <c r="E2879">
        <v>2015</v>
      </c>
      <c r="F2879" t="s">
        <v>17</v>
      </c>
      <c r="S2879">
        <v>0.86938809833032782</v>
      </c>
    </row>
    <row r="2880" spans="4:19" x14ac:dyDescent="0.25">
      <c r="D2880" t="s">
        <v>87</v>
      </c>
      <c r="E2880">
        <v>2013</v>
      </c>
      <c r="F2880" t="s">
        <v>18</v>
      </c>
      <c r="G2880">
        <v>0.73115957676527743</v>
      </c>
      <c r="H2880">
        <v>0.78199972264595752</v>
      </c>
      <c r="I2880">
        <v>0.82999249032407141</v>
      </c>
      <c r="J2880">
        <v>0.87133794694348332</v>
      </c>
      <c r="K2880">
        <v>0.80887715327549348</v>
      </c>
      <c r="L2880">
        <v>0.85790633976885566</v>
      </c>
      <c r="M2880">
        <v>0.91664659118284753</v>
      </c>
      <c r="N2880">
        <v>0.94918948372156386</v>
      </c>
      <c r="O2880">
        <v>0.89245801884032527</v>
      </c>
      <c r="P2880">
        <v>0.90755112096575508</v>
      </c>
      <c r="Q2880">
        <v>0.87342667232357518</v>
      </c>
      <c r="R2880">
        <v>0.88798493408662904</v>
      </c>
    </row>
    <row r="2881" spans="4:19" x14ac:dyDescent="0.25">
      <c r="D2881" t="s">
        <v>87</v>
      </c>
      <c r="E2881">
        <v>2014</v>
      </c>
      <c r="F2881" t="s">
        <v>18</v>
      </c>
      <c r="G2881">
        <v>0.81774608370353052</v>
      </c>
      <c r="H2881">
        <v>0.88046865981761513</v>
      </c>
      <c r="I2881">
        <v>0.92114761118248001</v>
      </c>
      <c r="J2881">
        <v>0.8965140210959609</v>
      </c>
      <c r="K2881">
        <v>0.87758167480285387</v>
      </c>
      <c r="L2881">
        <v>0.89070080862533696</v>
      </c>
      <c r="M2881">
        <v>0.90502584542567099</v>
      </c>
      <c r="N2881">
        <v>0.8861050747794964</v>
      </c>
      <c r="O2881">
        <v>0.82004359507274294</v>
      </c>
      <c r="P2881">
        <v>0.84603525361015464</v>
      </c>
      <c r="Q2881">
        <v>0.82951026856240129</v>
      </c>
      <c r="R2881">
        <v>0.81511634620936546</v>
      </c>
    </row>
    <row r="2882" spans="4:19" x14ac:dyDescent="0.25">
      <c r="D2882" t="s">
        <v>87</v>
      </c>
      <c r="E2882">
        <v>2015</v>
      </c>
      <c r="F2882" t="s">
        <v>18</v>
      </c>
      <c r="G2882">
        <v>0.8506638402320652</v>
      </c>
      <c r="H2882">
        <v>0.81944363103953144</v>
      </c>
      <c r="I2882">
        <v>0.82535653855450808</v>
      </c>
      <c r="J2882">
        <v>0.8652646337188924</v>
      </c>
      <c r="K2882">
        <v>0.87387243553923521</v>
      </c>
      <c r="L2882">
        <v>0.92822900020843468</v>
      </c>
      <c r="M2882">
        <v>0.94444833135101103</v>
      </c>
    </row>
    <row r="2883" spans="4:19" x14ac:dyDescent="0.25">
      <c r="D2883" t="s">
        <v>87</v>
      </c>
      <c r="E2883">
        <v>2013</v>
      </c>
      <c r="F2883" t="s">
        <v>19</v>
      </c>
      <c r="S2883">
        <v>0.60796388812875513</v>
      </c>
    </row>
    <row r="2884" spans="4:19" x14ac:dyDescent="0.25">
      <c r="D2884" t="s">
        <v>87</v>
      </c>
      <c r="E2884">
        <v>2014</v>
      </c>
      <c r="F2884" t="s">
        <v>19</v>
      </c>
      <c r="S2884">
        <v>0.82547881425735015</v>
      </c>
    </row>
    <row r="2885" spans="4:19" x14ac:dyDescent="0.25">
      <c r="D2885" t="s">
        <v>87</v>
      </c>
      <c r="E2885">
        <v>2015</v>
      </c>
      <c r="F2885" t="s">
        <v>19</v>
      </c>
      <c r="S2885">
        <v>0.78749913844881403</v>
      </c>
    </row>
    <row r="2886" spans="4:19" x14ac:dyDescent="0.25">
      <c r="D2886" t="s">
        <v>87</v>
      </c>
      <c r="E2886">
        <v>2013</v>
      </c>
      <c r="F2886" t="s">
        <v>20</v>
      </c>
      <c r="G2886">
        <v>0.58875249937101926</v>
      </c>
      <c r="H2886">
        <v>0.70447670901391413</v>
      </c>
      <c r="I2886">
        <v>0.53626235734997374</v>
      </c>
      <c r="J2886">
        <v>0.60987192711019422</v>
      </c>
      <c r="K2886">
        <v>0.51066144473455177</v>
      </c>
      <c r="L2886">
        <v>0.4987504733055661</v>
      </c>
      <c r="M2886">
        <v>0.81592477337302127</v>
      </c>
      <c r="N2886">
        <v>0.61866876358758505</v>
      </c>
      <c r="O2886">
        <v>0.61790009720428862</v>
      </c>
      <c r="P2886">
        <v>0.88742403292710381</v>
      </c>
      <c r="Q2886">
        <v>0.87749620965995234</v>
      </c>
      <c r="R2886">
        <v>0.80050101107657023</v>
      </c>
    </row>
    <row r="2887" spans="4:19" x14ac:dyDescent="0.25">
      <c r="D2887" t="s">
        <v>87</v>
      </c>
      <c r="E2887">
        <v>2014</v>
      </c>
      <c r="F2887" t="s">
        <v>20</v>
      </c>
      <c r="G2887">
        <v>0.79233548942533161</v>
      </c>
      <c r="H2887">
        <v>0.99498380037514922</v>
      </c>
      <c r="I2887">
        <v>0.76309564567835908</v>
      </c>
      <c r="J2887">
        <v>0.84618963111011558</v>
      </c>
      <c r="K2887">
        <v>0.71330685816580586</v>
      </c>
      <c r="L2887">
        <v>0.69454811339436684</v>
      </c>
      <c r="M2887">
        <v>0.9441471673015297</v>
      </c>
      <c r="N2887">
        <v>0.72297563735491277</v>
      </c>
      <c r="O2887">
        <v>0.83622282501867362</v>
      </c>
      <c r="P2887">
        <v>0.9955894103233367</v>
      </c>
      <c r="Q2887">
        <v>0.99213287890830226</v>
      </c>
      <c r="R2887">
        <v>0.99075803894927539</v>
      </c>
    </row>
    <row r="2888" spans="4:19" x14ac:dyDescent="0.25">
      <c r="D2888" t="s">
        <v>87</v>
      </c>
      <c r="E2888">
        <v>2015</v>
      </c>
      <c r="F2888" t="s">
        <v>20</v>
      </c>
      <c r="G2888">
        <v>0.77433897408778429</v>
      </c>
      <c r="H2888">
        <v>0.76378962259980254</v>
      </c>
      <c r="I2888">
        <v>0.71627798507462681</v>
      </c>
      <c r="J2888">
        <v>0.92957552180330805</v>
      </c>
      <c r="K2888">
        <v>0.87210170335014814</v>
      </c>
      <c r="L2888">
        <v>0.68273674894286562</v>
      </c>
      <c r="M2888">
        <v>0.82720067579318746</v>
      </c>
    </row>
    <row r="2889" spans="4:19" x14ac:dyDescent="0.25">
      <c r="D2889" t="s">
        <v>87</v>
      </c>
      <c r="E2889">
        <v>2013</v>
      </c>
      <c r="F2889" t="s">
        <v>21</v>
      </c>
      <c r="S2889">
        <v>0.94102305636890193</v>
      </c>
    </row>
    <row r="2890" spans="4:19" x14ac:dyDescent="0.25">
      <c r="D2890" t="s">
        <v>87</v>
      </c>
      <c r="E2890">
        <v>2014</v>
      </c>
      <c r="F2890" t="s">
        <v>21</v>
      </c>
      <c r="S2890">
        <v>0.90882239806572152</v>
      </c>
    </row>
    <row r="2891" spans="4:19" x14ac:dyDescent="0.25">
      <c r="D2891" t="s">
        <v>87</v>
      </c>
      <c r="E2891">
        <v>2015</v>
      </c>
      <c r="F2891" t="s">
        <v>21</v>
      </c>
      <c r="S2891">
        <v>0.85228129942815423</v>
      </c>
    </row>
    <row r="2892" spans="4:19" x14ac:dyDescent="0.25">
      <c r="D2892" t="s">
        <v>87</v>
      </c>
      <c r="E2892">
        <v>2013</v>
      </c>
      <c r="F2892" t="s">
        <v>22</v>
      </c>
      <c r="G2892">
        <v>0.92837416481069046</v>
      </c>
      <c r="H2892">
        <v>0.81735043820652864</v>
      </c>
      <c r="I2892">
        <v>0.99098535119569298</v>
      </c>
      <c r="J2892">
        <v>0.99435150988485765</v>
      </c>
      <c r="K2892">
        <v>0.86145692099100213</v>
      </c>
      <c r="L2892">
        <v>0.97846567967698517</v>
      </c>
      <c r="M2892">
        <v>0.99798427736343476</v>
      </c>
      <c r="N2892">
        <v>0.85425646551724133</v>
      </c>
      <c r="O2892">
        <v>0.96324765793898626</v>
      </c>
      <c r="P2892">
        <v>0.99224519940915801</v>
      </c>
      <c r="Q2892">
        <v>0.73688767936665023</v>
      </c>
      <c r="R2892">
        <v>0.98805946544361856</v>
      </c>
    </row>
    <row r="2893" spans="4:19" x14ac:dyDescent="0.25">
      <c r="D2893" t="s">
        <v>87</v>
      </c>
      <c r="E2893">
        <v>2014</v>
      </c>
      <c r="F2893" t="s">
        <v>22</v>
      </c>
      <c r="G2893">
        <v>0.95017737485218767</v>
      </c>
      <c r="H2893">
        <v>0.99606064223469026</v>
      </c>
      <c r="I2893">
        <v>0.89857819905213265</v>
      </c>
      <c r="J2893">
        <v>0.88970363580812706</v>
      </c>
      <c r="K2893">
        <v>0.89028348842241944</v>
      </c>
      <c r="L2893">
        <v>0.88718112925605719</v>
      </c>
      <c r="M2893">
        <v>0.86290196078431369</v>
      </c>
      <c r="N2893">
        <v>0.97552047586364676</v>
      </c>
      <c r="O2893">
        <v>0.89539192399049883</v>
      </c>
      <c r="P2893">
        <v>0.99837354296557335</v>
      </c>
      <c r="Q2893">
        <v>0.99032293139067085</v>
      </c>
      <c r="R2893">
        <v>0.80953213817227809</v>
      </c>
    </row>
    <row r="2894" spans="4:19" x14ac:dyDescent="0.25">
      <c r="D2894" t="s">
        <v>87</v>
      </c>
      <c r="E2894">
        <v>2015</v>
      </c>
      <c r="F2894" t="s">
        <v>22</v>
      </c>
      <c r="G2894">
        <v>0.72524010756819057</v>
      </c>
      <c r="H2894">
        <v>0.73722421270978689</v>
      </c>
      <c r="I2894">
        <v>0.78551554177597582</v>
      </c>
      <c r="J2894">
        <v>0.91054313099041528</v>
      </c>
      <c r="K2894">
        <v>0.9430744160782184</v>
      </c>
      <c r="L2894">
        <v>0.90115702479338844</v>
      </c>
      <c r="M2894">
        <v>0.97685872879368307</v>
      </c>
    </row>
    <row r="2895" spans="4:19" x14ac:dyDescent="0.25">
      <c r="D2895" t="s">
        <v>87</v>
      </c>
      <c r="E2895">
        <v>2013</v>
      </c>
      <c r="F2895" t="s">
        <v>23</v>
      </c>
      <c r="S2895">
        <v>153018</v>
      </c>
    </row>
    <row r="2896" spans="4:19" x14ac:dyDescent="0.25">
      <c r="D2896" t="s">
        <v>87</v>
      </c>
      <c r="E2896">
        <v>2014</v>
      </c>
      <c r="F2896" t="s">
        <v>23</v>
      </c>
      <c r="S2896">
        <v>125178</v>
      </c>
    </row>
    <row r="2897" spans="4:19" x14ac:dyDescent="0.25">
      <c r="D2897" t="s">
        <v>87</v>
      </c>
      <c r="E2897">
        <v>2015</v>
      </c>
      <c r="F2897" t="s">
        <v>23</v>
      </c>
      <c r="S2897">
        <v>101606</v>
      </c>
    </row>
    <row r="2898" spans="4:19" x14ac:dyDescent="0.25">
      <c r="D2898" t="s">
        <v>87</v>
      </c>
      <c r="E2898">
        <v>2013</v>
      </c>
      <c r="F2898" t="s">
        <v>24</v>
      </c>
      <c r="G2898">
        <v>23282</v>
      </c>
      <c r="H2898">
        <v>25179</v>
      </c>
      <c r="I2898">
        <v>22967</v>
      </c>
      <c r="J2898">
        <v>19248</v>
      </c>
      <c r="K2898">
        <v>21670</v>
      </c>
      <c r="L2898">
        <v>19809</v>
      </c>
      <c r="M2898">
        <v>20863</v>
      </c>
      <c r="N2898">
        <v>17081</v>
      </c>
      <c r="O2898">
        <v>19910</v>
      </c>
      <c r="P2898">
        <v>18703</v>
      </c>
      <c r="Q2898">
        <v>17740</v>
      </c>
      <c r="R2898">
        <v>17116</v>
      </c>
    </row>
    <row r="2899" spans="4:19" x14ac:dyDescent="0.25">
      <c r="D2899" t="s">
        <v>87</v>
      </c>
      <c r="E2899">
        <v>2014</v>
      </c>
      <c r="F2899" t="s">
        <v>24</v>
      </c>
      <c r="G2899">
        <v>20672</v>
      </c>
      <c r="H2899">
        <v>20806</v>
      </c>
      <c r="I2899">
        <v>17074</v>
      </c>
      <c r="J2899">
        <v>15482</v>
      </c>
      <c r="K2899">
        <v>13850</v>
      </c>
      <c r="L2899">
        <v>19028</v>
      </c>
      <c r="M2899">
        <v>18266</v>
      </c>
      <c r="N2899">
        <v>19356</v>
      </c>
      <c r="O2899">
        <v>22039</v>
      </c>
      <c r="P2899">
        <v>19079</v>
      </c>
      <c r="Q2899">
        <v>17101</v>
      </c>
      <c r="R2899">
        <v>16757</v>
      </c>
    </row>
    <row r="2900" spans="4:19" x14ac:dyDescent="0.25">
      <c r="D2900" t="s">
        <v>87</v>
      </c>
      <c r="E2900">
        <v>2015</v>
      </c>
      <c r="F2900" t="s">
        <v>24</v>
      </c>
      <c r="G2900">
        <v>19401</v>
      </c>
      <c r="H2900">
        <v>18627</v>
      </c>
      <c r="I2900">
        <v>17084</v>
      </c>
      <c r="J2900">
        <v>15857</v>
      </c>
      <c r="K2900">
        <v>13194</v>
      </c>
      <c r="L2900">
        <v>17443</v>
      </c>
    </row>
    <row r="2901" spans="4:19" x14ac:dyDescent="0.25">
      <c r="D2901" t="s">
        <v>87</v>
      </c>
      <c r="E2901">
        <v>2013</v>
      </c>
      <c r="F2901" t="s">
        <v>25</v>
      </c>
      <c r="S2901">
        <v>421413</v>
      </c>
    </row>
    <row r="2902" spans="4:19" x14ac:dyDescent="0.25">
      <c r="D2902" t="s">
        <v>87</v>
      </c>
      <c r="E2902">
        <v>2014</v>
      </c>
      <c r="F2902" t="s">
        <v>25</v>
      </c>
      <c r="S2902">
        <v>419328</v>
      </c>
    </row>
    <row r="2903" spans="4:19" x14ac:dyDescent="0.25">
      <c r="D2903" t="s">
        <v>87</v>
      </c>
      <c r="E2903">
        <v>2015</v>
      </c>
      <c r="F2903" t="s">
        <v>25</v>
      </c>
      <c r="S2903">
        <v>455369</v>
      </c>
    </row>
    <row r="2904" spans="4:19" x14ac:dyDescent="0.25">
      <c r="D2904" t="s">
        <v>87</v>
      </c>
      <c r="E2904">
        <v>2013</v>
      </c>
      <c r="F2904" t="s">
        <v>26</v>
      </c>
      <c r="G2904">
        <v>73712</v>
      </c>
      <c r="H2904">
        <v>62223</v>
      </c>
      <c r="I2904">
        <v>59365</v>
      </c>
      <c r="J2904">
        <v>55193</v>
      </c>
      <c r="K2904">
        <v>48035</v>
      </c>
      <c r="L2904">
        <v>58448</v>
      </c>
      <c r="M2904">
        <v>64437</v>
      </c>
      <c r="N2904">
        <v>51298</v>
      </c>
      <c r="O2904">
        <v>73418</v>
      </c>
      <c r="P2904">
        <v>81111</v>
      </c>
      <c r="Q2904">
        <v>72183</v>
      </c>
      <c r="R2904">
        <v>72799</v>
      </c>
    </row>
    <row r="2905" spans="4:19" x14ac:dyDescent="0.25">
      <c r="D2905" t="s">
        <v>87</v>
      </c>
      <c r="E2905">
        <v>2014</v>
      </c>
      <c r="F2905" t="s">
        <v>26</v>
      </c>
      <c r="G2905">
        <v>73515</v>
      </c>
      <c r="H2905">
        <v>64500</v>
      </c>
      <c r="I2905">
        <v>60500</v>
      </c>
      <c r="J2905">
        <v>55223</v>
      </c>
      <c r="K2905">
        <v>45748</v>
      </c>
      <c r="L2905">
        <v>56987</v>
      </c>
      <c r="M2905">
        <v>62855</v>
      </c>
      <c r="N2905">
        <v>56429</v>
      </c>
      <c r="O2905">
        <v>79836</v>
      </c>
      <c r="P2905">
        <v>79589</v>
      </c>
      <c r="Q2905">
        <v>68356</v>
      </c>
      <c r="R2905">
        <v>78699</v>
      </c>
    </row>
    <row r="2906" spans="4:19" x14ac:dyDescent="0.25">
      <c r="D2906" t="s">
        <v>87</v>
      </c>
      <c r="E2906">
        <v>2015</v>
      </c>
      <c r="F2906" t="s">
        <v>26</v>
      </c>
      <c r="G2906">
        <v>70226</v>
      </c>
      <c r="H2906">
        <v>62225</v>
      </c>
      <c r="I2906">
        <v>67040</v>
      </c>
      <c r="J2906">
        <v>64923</v>
      </c>
      <c r="K2906">
        <v>47553</v>
      </c>
      <c r="L2906">
        <v>68361</v>
      </c>
      <c r="M2906">
        <v>75041</v>
      </c>
    </row>
    <row r="2907" spans="4:19" x14ac:dyDescent="0.25">
      <c r="D2907" t="s">
        <v>87</v>
      </c>
      <c r="E2907">
        <v>2013</v>
      </c>
      <c r="F2907" t="s">
        <v>27</v>
      </c>
      <c r="S2907">
        <v>667430</v>
      </c>
    </row>
    <row r="2908" spans="4:19" x14ac:dyDescent="0.25">
      <c r="D2908" t="s">
        <v>87</v>
      </c>
      <c r="E2908">
        <v>2014</v>
      </c>
      <c r="F2908" t="s">
        <v>27</v>
      </c>
      <c r="S2908">
        <v>648555</v>
      </c>
    </row>
    <row r="2909" spans="4:19" x14ac:dyDescent="0.25">
      <c r="D2909" t="s">
        <v>87</v>
      </c>
      <c r="E2909">
        <v>2015</v>
      </c>
      <c r="F2909" t="s">
        <v>27</v>
      </c>
      <c r="S2909">
        <v>698211</v>
      </c>
    </row>
    <row r="2910" spans="4:19" x14ac:dyDescent="0.25">
      <c r="D2910" t="s">
        <v>87</v>
      </c>
      <c r="E2910">
        <v>2013</v>
      </c>
      <c r="F2910" t="s">
        <v>28</v>
      </c>
      <c r="G2910">
        <v>114431</v>
      </c>
      <c r="H2910">
        <v>100303</v>
      </c>
      <c r="I2910">
        <v>94464</v>
      </c>
      <c r="J2910">
        <v>88132</v>
      </c>
      <c r="K2910">
        <v>75298</v>
      </c>
      <c r="L2910">
        <v>91307</v>
      </c>
      <c r="M2910">
        <v>103495</v>
      </c>
      <c r="N2910">
        <v>82253</v>
      </c>
      <c r="O2910">
        <v>115589</v>
      </c>
      <c r="P2910">
        <v>133827</v>
      </c>
      <c r="Q2910">
        <v>112411</v>
      </c>
      <c r="R2910">
        <v>114522</v>
      </c>
    </row>
    <row r="2911" spans="4:19" x14ac:dyDescent="0.25">
      <c r="D2911" t="s">
        <v>87</v>
      </c>
      <c r="E2911">
        <v>2014</v>
      </c>
      <c r="F2911" t="s">
        <v>28</v>
      </c>
      <c r="G2911">
        <v>113358</v>
      </c>
      <c r="H2911">
        <v>102895</v>
      </c>
      <c r="I2911">
        <v>94684</v>
      </c>
      <c r="J2911">
        <v>87096</v>
      </c>
      <c r="K2911">
        <v>68751</v>
      </c>
      <c r="L2911">
        <v>85165</v>
      </c>
      <c r="M2911">
        <v>96606</v>
      </c>
      <c r="N2911">
        <v>89949</v>
      </c>
      <c r="O2911">
        <v>127896</v>
      </c>
      <c r="P2911">
        <v>130911</v>
      </c>
      <c r="Q2911">
        <v>112612</v>
      </c>
      <c r="R2911">
        <v>122183</v>
      </c>
    </row>
    <row r="2912" spans="4:19" x14ac:dyDescent="0.25">
      <c r="D2912" t="s">
        <v>87</v>
      </c>
      <c r="E2912">
        <v>2015</v>
      </c>
      <c r="F2912" t="s">
        <v>28</v>
      </c>
      <c r="G2912">
        <v>104574</v>
      </c>
      <c r="H2912">
        <v>96825</v>
      </c>
      <c r="I2912">
        <v>105131</v>
      </c>
      <c r="J2912">
        <v>99839</v>
      </c>
      <c r="K2912">
        <v>74787</v>
      </c>
      <c r="L2912">
        <v>101906</v>
      </c>
      <c r="M2912">
        <v>115149</v>
      </c>
    </row>
    <row r="2913" spans="4:19" x14ac:dyDescent="0.25">
      <c r="D2913" t="s">
        <v>87</v>
      </c>
      <c r="E2913">
        <v>2013</v>
      </c>
      <c r="F2913" t="s">
        <v>29</v>
      </c>
      <c r="S2913">
        <v>115076</v>
      </c>
    </row>
    <row r="2914" spans="4:19" x14ac:dyDescent="0.25">
      <c r="D2914" t="s">
        <v>87</v>
      </c>
      <c r="E2914">
        <v>2014</v>
      </c>
      <c r="F2914" t="s">
        <v>29</v>
      </c>
      <c r="S2914">
        <v>110541</v>
      </c>
    </row>
    <row r="2915" spans="4:19" x14ac:dyDescent="0.25">
      <c r="D2915" t="s">
        <v>87</v>
      </c>
      <c r="E2915">
        <v>2015</v>
      </c>
      <c r="F2915" t="s">
        <v>29</v>
      </c>
      <c r="S2915">
        <v>107027</v>
      </c>
    </row>
    <row r="2916" spans="4:19" x14ac:dyDescent="0.25">
      <c r="D2916" t="s">
        <v>87</v>
      </c>
      <c r="E2916">
        <v>2013</v>
      </c>
      <c r="F2916" t="s">
        <v>30</v>
      </c>
      <c r="G2916">
        <v>18524</v>
      </c>
      <c r="H2916">
        <v>14422</v>
      </c>
      <c r="I2916">
        <v>17311</v>
      </c>
      <c r="J2916">
        <v>17340</v>
      </c>
      <c r="K2916">
        <v>15906</v>
      </c>
      <c r="L2916">
        <v>14969</v>
      </c>
      <c r="M2916">
        <v>16604</v>
      </c>
      <c r="N2916">
        <v>14682</v>
      </c>
      <c r="O2916">
        <v>17091</v>
      </c>
      <c r="P2916">
        <v>16236</v>
      </c>
      <c r="Q2916">
        <v>14142</v>
      </c>
      <c r="R2916">
        <v>13275</v>
      </c>
    </row>
    <row r="2917" spans="4:19" x14ac:dyDescent="0.25">
      <c r="D2917" t="s">
        <v>87</v>
      </c>
      <c r="E2917">
        <v>2014</v>
      </c>
      <c r="F2917" t="s">
        <v>30</v>
      </c>
      <c r="G2917">
        <v>17108</v>
      </c>
      <c r="H2917">
        <v>17326</v>
      </c>
      <c r="I2917">
        <v>16347</v>
      </c>
      <c r="J2917">
        <v>15548</v>
      </c>
      <c r="K2917">
        <v>13315</v>
      </c>
      <c r="L2917">
        <v>14840</v>
      </c>
      <c r="M2917">
        <v>16057</v>
      </c>
      <c r="N2917">
        <v>15646</v>
      </c>
      <c r="O2917">
        <v>19727</v>
      </c>
      <c r="P2917">
        <v>19459</v>
      </c>
      <c r="Q2917">
        <v>15825</v>
      </c>
      <c r="R2917">
        <v>17319</v>
      </c>
    </row>
    <row r="2918" spans="4:19" x14ac:dyDescent="0.25">
      <c r="D2918" t="s">
        <v>87</v>
      </c>
      <c r="E2918">
        <v>2015</v>
      </c>
      <c r="F2918" t="s">
        <v>30</v>
      </c>
      <c r="G2918">
        <v>17926</v>
      </c>
      <c r="H2918">
        <v>17075</v>
      </c>
      <c r="I2918">
        <v>16548</v>
      </c>
      <c r="J2918">
        <v>14265</v>
      </c>
      <c r="K2918">
        <v>12527</v>
      </c>
      <c r="L2918">
        <v>14393</v>
      </c>
      <c r="M2918">
        <v>14293</v>
      </c>
    </row>
    <row r="2919" spans="4:19" x14ac:dyDescent="0.25">
      <c r="D2919" t="s">
        <v>87</v>
      </c>
      <c r="E2919">
        <v>2013</v>
      </c>
      <c r="F2919" t="s">
        <v>31</v>
      </c>
      <c r="S2919">
        <v>0.79701734436471527</v>
      </c>
    </row>
    <row r="2920" spans="4:19" x14ac:dyDescent="0.25">
      <c r="D2920" t="s">
        <v>87</v>
      </c>
      <c r="E2920">
        <v>2014</v>
      </c>
      <c r="F2920" t="s">
        <v>31</v>
      </c>
      <c r="S2920">
        <v>0.91874770327054278</v>
      </c>
    </row>
    <row r="2921" spans="4:19" x14ac:dyDescent="0.25">
      <c r="D2921" t="s">
        <v>87</v>
      </c>
      <c r="E2921">
        <v>2015</v>
      </c>
      <c r="F2921" t="s">
        <v>31</v>
      </c>
      <c r="S2921">
        <v>0.89999585182727004</v>
      </c>
    </row>
    <row r="2922" spans="4:19" x14ac:dyDescent="0.25">
      <c r="D2922" t="s">
        <v>87</v>
      </c>
      <c r="E2922">
        <v>2013</v>
      </c>
      <c r="F2922" t="s">
        <v>32</v>
      </c>
      <c r="G2922">
        <v>0.80714715230650291</v>
      </c>
      <c r="H2922">
        <v>0.74105405298065852</v>
      </c>
      <c r="I2922">
        <v>0.78342839726564206</v>
      </c>
      <c r="J2922">
        <v>0.8026288445552785</v>
      </c>
      <c r="K2922">
        <v>0.76497461928934007</v>
      </c>
      <c r="L2922">
        <v>0.76051289817759604</v>
      </c>
      <c r="M2922">
        <v>0.93097828691942675</v>
      </c>
      <c r="N2922">
        <v>0.95451086001990515</v>
      </c>
      <c r="O2922">
        <v>0.89969864389753895</v>
      </c>
      <c r="P2922">
        <v>0.96000641608298132</v>
      </c>
      <c r="Q2922">
        <v>0.93765501691093578</v>
      </c>
      <c r="R2922">
        <v>0.93970553867726103</v>
      </c>
    </row>
    <row r="2923" spans="4:19" x14ac:dyDescent="0.25">
      <c r="D2923" t="s">
        <v>87</v>
      </c>
      <c r="E2923">
        <v>2014</v>
      </c>
      <c r="F2923" t="s">
        <v>32</v>
      </c>
      <c r="G2923">
        <v>0.92917956656346745</v>
      </c>
      <c r="H2923">
        <v>0.94280496010766124</v>
      </c>
      <c r="I2923">
        <v>0.94640974581234627</v>
      </c>
      <c r="J2923">
        <v>0.94315979847564912</v>
      </c>
      <c r="K2923">
        <v>0.93703971119133578</v>
      </c>
      <c r="L2923">
        <v>0.8509564851797351</v>
      </c>
      <c r="M2923">
        <v>0.88974050147815609</v>
      </c>
      <c r="N2923">
        <v>0.90989873940896882</v>
      </c>
      <c r="O2923">
        <v>0.91383456599664237</v>
      </c>
      <c r="P2923">
        <v>0.91975470412495419</v>
      </c>
      <c r="Q2923">
        <v>0.89924565814864632</v>
      </c>
      <c r="R2923">
        <v>0.93119293429611505</v>
      </c>
    </row>
    <row r="2924" spans="4:19" x14ac:dyDescent="0.25">
      <c r="D2924" t="s">
        <v>87</v>
      </c>
      <c r="E2924">
        <v>2015</v>
      </c>
      <c r="F2924" t="s">
        <v>32</v>
      </c>
      <c r="G2924">
        <v>0.92907582083397766</v>
      </c>
      <c r="H2924">
        <v>0.89268266494873039</v>
      </c>
      <c r="I2924">
        <v>0.89721376726761881</v>
      </c>
      <c r="J2924">
        <v>0.91171091631456136</v>
      </c>
      <c r="K2924">
        <v>0.91208124905259969</v>
      </c>
      <c r="L2924">
        <v>0.8978960041277303</v>
      </c>
      <c r="M2924">
        <v>0.86359554123302873</v>
      </c>
    </row>
    <row r="2925" spans="4:19" x14ac:dyDescent="0.25">
      <c r="D2925" t="s">
        <v>87</v>
      </c>
      <c r="E2925">
        <v>2013</v>
      </c>
      <c r="F2925" t="s">
        <v>33</v>
      </c>
      <c r="S2925">
        <v>0.91778435812576209</v>
      </c>
    </row>
    <row r="2926" spans="4:19" x14ac:dyDescent="0.25">
      <c r="D2926" t="s">
        <v>87</v>
      </c>
      <c r="E2926">
        <v>2014</v>
      </c>
      <c r="F2926" t="s">
        <v>33</v>
      </c>
      <c r="S2926">
        <v>0.91220559548590652</v>
      </c>
    </row>
    <row r="2927" spans="4:19" x14ac:dyDescent="0.25">
      <c r="D2927" t="s">
        <v>87</v>
      </c>
      <c r="E2927">
        <v>2015</v>
      </c>
      <c r="F2927" t="s">
        <v>33</v>
      </c>
      <c r="S2927">
        <v>0.91403732545649841</v>
      </c>
    </row>
    <row r="2928" spans="4:19" x14ac:dyDescent="0.25">
      <c r="D2928" t="s">
        <v>87</v>
      </c>
      <c r="E2928">
        <v>2013</v>
      </c>
      <c r="F2928" t="s">
        <v>34</v>
      </c>
      <c r="G2928">
        <v>0.92870905587668595</v>
      </c>
      <c r="H2928">
        <v>0.86305153739914231</v>
      </c>
      <c r="I2928">
        <v>0.90858925143953939</v>
      </c>
      <c r="J2928">
        <v>0.95079006772009034</v>
      </c>
      <c r="K2928">
        <v>0.90877106856488299</v>
      </c>
      <c r="L2928">
        <v>0.92397766168257967</v>
      </c>
      <c r="M2928">
        <v>0.95193148051040033</v>
      </c>
      <c r="N2928">
        <v>0.9257950530035336</v>
      </c>
      <c r="O2928">
        <v>0.84632550981146593</v>
      </c>
      <c r="P2928">
        <v>0.94002084836821431</v>
      </c>
      <c r="Q2928">
        <v>0.90202852334130568</v>
      </c>
      <c r="R2928">
        <v>0.90347923681257014</v>
      </c>
    </row>
    <row r="2929" spans="4:19" x14ac:dyDescent="0.25">
      <c r="D2929" t="s">
        <v>87</v>
      </c>
      <c r="E2929">
        <v>2014</v>
      </c>
      <c r="F2929" t="s">
        <v>34</v>
      </c>
      <c r="G2929">
        <v>0.89554794520547942</v>
      </c>
      <c r="H2929">
        <v>0.90973907766990292</v>
      </c>
      <c r="I2929">
        <v>0.91545000924043618</v>
      </c>
      <c r="J2929">
        <v>0.91916965187838706</v>
      </c>
      <c r="K2929">
        <v>0.91671133026047813</v>
      </c>
      <c r="L2929">
        <v>0.91155430305657925</v>
      </c>
      <c r="M2929">
        <v>0.92555219194977012</v>
      </c>
      <c r="N2929">
        <v>0.94327776575016242</v>
      </c>
      <c r="O2929">
        <v>0.90328351925910333</v>
      </c>
      <c r="P2929">
        <v>0.93406715588169886</v>
      </c>
      <c r="Q2929">
        <v>0.8762924218464907</v>
      </c>
      <c r="R2929">
        <v>0.95624928791158714</v>
      </c>
    </row>
    <row r="2930" spans="4:19" x14ac:dyDescent="0.25">
      <c r="D2930" t="s">
        <v>87</v>
      </c>
      <c r="E2930">
        <v>2015</v>
      </c>
      <c r="F2930" t="s">
        <v>34</v>
      </c>
      <c r="G2930">
        <v>0.94241939557201782</v>
      </c>
      <c r="H2930">
        <v>0.88713910761154857</v>
      </c>
      <c r="I2930">
        <v>0.91349214003279</v>
      </c>
      <c r="J2930">
        <v>0.92587704827889583</v>
      </c>
      <c r="K2930">
        <v>0.92363832950398705</v>
      </c>
      <c r="L2930">
        <v>0.89229198570699342</v>
      </c>
    </row>
    <row r="2931" spans="4:19" x14ac:dyDescent="0.25">
      <c r="D2931" t="s">
        <v>88</v>
      </c>
      <c r="E2931">
        <v>2013</v>
      </c>
      <c r="F2931" t="s">
        <v>17</v>
      </c>
      <c r="S2931">
        <v>0.97375538415306018</v>
      </c>
    </row>
    <row r="2932" spans="4:19" x14ac:dyDescent="0.25">
      <c r="D2932" t="s">
        <v>88</v>
      </c>
      <c r="E2932">
        <v>2014</v>
      </c>
      <c r="F2932" t="s">
        <v>17</v>
      </c>
      <c r="S2932">
        <v>0.97994392926461071</v>
      </c>
    </row>
    <row r="2933" spans="4:19" x14ac:dyDescent="0.25">
      <c r="D2933" t="s">
        <v>88</v>
      </c>
      <c r="E2933">
        <v>2015</v>
      </c>
      <c r="F2933" t="s">
        <v>17</v>
      </c>
      <c r="S2933">
        <v>0.98822261565699332</v>
      </c>
    </row>
    <row r="2934" spans="4:19" x14ac:dyDescent="0.25">
      <c r="D2934" t="s">
        <v>88</v>
      </c>
      <c r="E2934">
        <v>2013</v>
      </c>
      <c r="F2934" t="s">
        <v>18</v>
      </c>
      <c r="G2934">
        <v>0.95033401103688642</v>
      </c>
      <c r="H2934">
        <v>0.93959984899962246</v>
      </c>
      <c r="I2934">
        <v>0.98029891304347827</v>
      </c>
      <c r="J2934">
        <v>0.98530519969856822</v>
      </c>
      <c r="K2934">
        <v>0.98750867453157531</v>
      </c>
      <c r="L2934">
        <v>0.99397363465160071</v>
      </c>
      <c r="M2934">
        <v>0.98393574297188757</v>
      </c>
      <c r="N2934">
        <v>0.97356828193832601</v>
      </c>
      <c r="O2934">
        <v>0.99108204518430443</v>
      </c>
      <c r="P2934">
        <v>0.98606271777003485</v>
      </c>
      <c r="Q2934">
        <v>0.9808714133900106</v>
      </c>
      <c r="R2934">
        <v>0.96951702296120346</v>
      </c>
    </row>
    <row r="2935" spans="4:19" x14ac:dyDescent="0.25">
      <c r="D2935" t="s">
        <v>88</v>
      </c>
      <c r="E2935">
        <v>2014</v>
      </c>
      <c r="F2935" t="s">
        <v>18</v>
      </c>
      <c r="G2935">
        <v>0.9745164261590421</v>
      </c>
      <c r="H2935">
        <v>0.97912784196794633</v>
      </c>
      <c r="I2935">
        <v>0.98388909704008987</v>
      </c>
      <c r="J2935">
        <v>0.9869230769230769</v>
      </c>
      <c r="K2935">
        <v>0.9834065397755003</v>
      </c>
      <c r="L2935">
        <v>0.9650548557496953</v>
      </c>
      <c r="M2935">
        <v>0.98727465535524916</v>
      </c>
      <c r="N2935">
        <v>0.97927461139896377</v>
      </c>
      <c r="O2935">
        <v>0.98634117988956693</v>
      </c>
      <c r="P2935">
        <v>0.99723661485319515</v>
      </c>
      <c r="Q2935">
        <v>0.97338746053225078</v>
      </c>
      <c r="R2935">
        <v>0.97641921397379916</v>
      </c>
    </row>
    <row r="2936" spans="4:19" x14ac:dyDescent="0.25">
      <c r="D2936" t="s">
        <v>88</v>
      </c>
      <c r="E2936">
        <v>2015</v>
      </c>
      <c r="F2936" t="s">
        <v>18</v>
      </c>
      <c r="G2936">
        <v>0.98240635641316687</v>
      </c>
      <c r="H2936">
        <v>0.97419804741980476</v>
      </c>
      <c r="I2936">
        <v>0.98882384246939858</v>
      </c>
      <c r="J2936">
        <v>0.99430936368339373</v>
      </c>
      <c r="K2936">
        <v>0.99461400359066432</v>
      </c>
      <c r="L2936">
        <v>0.9952749140893471</v>
      </c>
      <c r="M2936">
        <v>0.983366935483871</v>
      </c>
    </row>
    <row r="2937" spans="4:19" x14ac:dyDescent="0.25">
      <c r="D2937" t="s">
        <v>88</v>
      </c>
      <c r="E2937">
        <v>2013</v>
      </c>
      <c r="F2937" t="s">
        <v>19</v>
      </c>
      <c r="S2937">
        <v>0.99524178013402043</v>
      </c>
    </row>
    <row r="2938" spans="4:19" x14ac:dyDescent="0.25">
      <c r="D2938" t="s">
        <v>88</v>
      </c>
      <c r="E2938">
        <v>2014</v>
      </c>
      <c r="F2938" t="s">
        <v>19</v>
      </c>
      <c r="S2938">
        <v>0.99827485231207991</v>
      </c>
    </row>
    <row r="2939" spans="4:19" x14ac:dyDescent="0.25">
      <c r="D2939" t="s">
        <v>88</v>
      </c>
      <c r="E2939">
        <v>2015</v>
      </c>
      <c r="F2939" t="s">
        <v>19</v>
      </c>
      <c r="S2939">
        <v>0.99981072414714522</v>
      </c>
    </row>
    <row r="2940" spans="4:19" x14ac:dyDescent="0.25">
      <c r="D2940" t="s">
        <v>88</v>
      </c>
      <c r="E2940">
        <v>2013</v>
      </c>
      <c r="F2940" t="s">
        <v>20</v>
      </c>
      <c r="G2940">
        <v>0.97916571061447388</v>
      </c>
      <c r="H2940">
        <v>0.9998916047910682</v>
      </c>
      <c r="I2940">
        <v>0.99955352159839272</v>
      </c>
      <c r="J2940">
        <v>0.99752019271645176</v>
      </c>
      <c r="K2940">
        <v>0.99631082742870525</v>
      </c>
      <c r="L2940">
        <v>0.99993216659883322</v>
      </c>
      <c r="M2940">
        <v>0.99913698866578449</v>
      </c>
      <c r="N2940">
        <v>0.99964397607519229</v>
      </c>
      <c r="O2940">
        <v>0.99968312887601285</v>
      </c>
      <c r="P2940">
        <v>0.99875795683900015</v>
      </c>
      <c r="Q2940">
        <v>0.99889672374922056</v>
      </c>
      <c r="R2940">
        <v>0.99798486593189673</v>
      </c>
    </row>
    <row r="2941" spans="4:19" x14ac:dyDescent="0.25">
      <c r="D2941" t="s">
        <v>88</v>
      </c>
      <c r="E2941">
        <v>2014</v>
      </c>
      <c r="F2941" t="s">
        <v>20</v>
      </c>
      <c r="G2941">
        <v>0.99992478658192618</v>
      </c>
      <c r="H2941">
        <v>0.99995978120978124</v>
      </c>
      <c r="I2941">
        <v>0.99330053876786129</v>
      </c>
      <c r="J2941">
        <v>0.99868374868374865</v>
      </c>
      <c r="K2941">
        <v>0.99905425584868091</v>
      </c>
      <c r="L2941">
        <v>0.99764450935129789</v>
      </c>
      <c r="M2941">
        <v>0.99871153179047523</v>
      </c>
      <c r="N2941">
        <v>0.99771297884505428</v>
      </c>
      <c r="O2941">
        <v>0.99965848452507999</v>
      </c>
      <c r="P2941">
        <v>0.99985787884171251</v>
      </c>
      <c r="Q2941">
        <v>0.99968209273808983</v>
      </c>
      <c r="R2941">
        <v>1</v>
      </c>
    </row>
    <row r="2942" spans="4:19" x14ac:dyDescent="0.25">
      <c r="D2942" t="s">
        <v>88</v>
      </c>
      <c r="E2942">
        <v>2015</v>
      </c>
      <c r="F2942" t="s">
        <v>20</v>
      </c>
      <c r="G2942">
        <v>0.99985772719189048</v>
      </c>
      <c r="H2942">
        <v>0.9994918301931045</v>
      </c>
      <c r="I2942">
        <v>0.99965551557835108</v>
      </c>
      <c r="J2942">
        <v>0.99988323213451658</v>
      </c>
      <c r="K2942">
        <v>0.99990242474508462</v>
      </c>
      <c r="L2942">
        <v>0.99992552319952333</v>
      </c>
      <c r="M2942">
        <v>0.99996263916909511</v>
      </c>
    </row>
    <row r="2943" spans="4:19" x14ac:dyDescent="0.25">
      <c r="D2943" t="s">
        <v>88</v>
      </c>
      <c r="E2943">
        <v>2013</v>
      </c>
      <c r="F2943" t="s">
        <v>21</v>
      </c>
      <c r="S2943">
        <v>0.99982088482894504</v>
      </c>
    </row>
    <row r="2944" spans="4:19" x14ac:dyDescent="0.25">
      <c r="D2944" t="s">
        <v>88</v>
      </c>
      <c r="E2944">
        <v>2014</v>
      </c>
      <c r="F2944" t="s">
        <v>21</v>
      </c>
      <c r="S2944">
        <v>0.99995382128838606</v>
      </c>
    </row>
    <row r="2945" spans="4:19" x14ac:dyDescent="0.25">
      <c r="D2945" t="s">
        <v>88</v>
      </c>
      <c r="E2945">
        <v>2015</v>
      </c>
      <c r="F2945" t="s">
        <v>21</v>
      </c>
      <c r="S2945">
        <v>0.997697248818325</v>
      </c>
    </row>
    <row r="2946" spans="4:19" x14ac:dyDescent="0.25">
      <c r="D2946" t="s">
        <v>88</v>
      </c>
      <c r="E2946">
        <v>2013</v>
      </c>
      <c r="F2946" t="s">
        <v>22</v>
      </c>
      <c r="G2946">
        <v>1</v>
      </c>
      <c r="H2946">
        <v>1</v>
      </c>
      <c r="I2946">
        <v>1</v>
      </c>
      <c r="J2946">
        <v>1</v>
      </c>
      <c r="K2946">
        <v>0.99831223628691979</v>
      </c>
      <c r="L2946">
        <v>1</v>
      </c>
      <c r="M2946">
        <v>1</v>
      </c>
      <c r="N2946">
        <v>0.99891245241979332</v>
      </c>
      <c r="O2946">
        <v>1</v>
      </c>
      <c r="P2946">
        <v>1</v>
      </c>
      <c r="Q2946">
        <v>1</v>
      </c>
      <c r="R2946">
        <v>1</v>
      </c>
    </row>
    <row r="2947" spans="4:19" x14ac:dyDescent="0.25">
      <c r="D2947" t="s">
        <v>88</v>
      </c>
      <c r="E2947">
        <v>2014</v>
      </c>
      <c r="F2947" t="s">
        <v>22</v>
      </c>
      <c r="G2947">
        <v>1</v>
      </c>
      <c r="H2947">
        <v>1</v>
      </c>
      <c r="I2947">
        <v>1</v>
      </c>
      <c r="J2947">
        <v>1</v>
      </c>
      <c r="K2947">
        <v>0.99962462462462465</v>
      </c>
      <c r="L2947">
        <v>1</v>
      </c>
      <c r="M2947">
        <v>1</v>
      </c>
      <c r="N2947">
        <v>1</v>
      </c>
      <c r="O2947">
        <v>0.99970387918270653</v>
      </c>
      <c r="P2947">
        <v>1</v>
      </c>
      <c r="Q2947">
        <v>1</v>
      </c>
      <c r="R2947">
        <v>0.99978132516947305</v>
      </c>
    </row>
    <row r="2948" spans="4:19" x14ac:dyDescent="0.25">
      <c r="D2948" t="s">
        <v>88</v>
      </c>
      <c r="E2948">
        <v>2015</v>
      </c>
      <c r="F2948" t="s">
        <v>22</v>
      </c>
      <c r="G2948">
        <v>1</v>
      </c>
      <c r="H2948">
        <v>1</v>
      </c>
      <c r="I2948">
        <v>0.98624224440248176</v>
      </c>
      <c r="J2948">
        <v>1</v>
      </c>
      <c r="K2948">
        <v>0.9996702934388394</v>
      </c>
      <c r="L2948">
        <v>0.99922938607757517</v>
      </c>
      <c r="M2948">
        <v>0.99943883277216605</v>
      </c>
    </row>
    <row r="2949" spans="4:19" x14ac:dyDescent="0.25">
      <c r="D2949" t="s">
        <v>88</v>
      </c>
      <c r="E2949">
        <v>2013</v>
      </c>
      <c r="F2949" t="s">
        <v>23</v>
      </c>
      <c r="S2949">
        <v>46194</v>
      </c>
    </row>
    <row r="2950" spans="4:19" x14ac:dyDescent="0.25">
      <c r="D2950" t="s">
        <v>88</v>
      </c>
      <c r="E2950">
        <v>2014</v>
      </c>
      <c r="F2950" t="s">
        <v>23</v>
      </c>
      <c r="S2950">
        <v>42898</v>
      </c>
    </row>
    <row r="2951" spans="4:19" x14ac:dyDescent="0.25">
      <c r="D2951" t="s">
        <v>88</v>
      </c>
      <c r="E2951">
        <v>2015</v>
      </c>
      <c r="F2951" t="s">
        <v>23</v>
      </c>
      <c r="S2951">
        <v>43304</v>
      </c>
    </row>
    <row r="2952" spans="4:19" x14ac:dyDescent="0.25">
      <c r="D2952" t="s">
        <v>88</v>
      </c>
      <c r="E2952">
        <v>2013</v>
      </c>
      <c r="F2952" t="s">
        <v>24</v>
      </c>
      <c r="G2952">
        <v>8367</v>
      </c>
      <c r="H2952">
        <v>8904</v>
      </c>
      <c r="I2952">
        <v>6002</v>
      </c>
      <c r="J2952">
        <v>5588</v>
      </c>
      <c r="K2952">
        <v>6482</v>
      </c>
      <c r="L2952">
        <v>4891</v>
      </c>
      <c r="M2952">
        <v>5960</v>
      </c>
      <c r="N2952">
        <v>5617</v>
      </c>
      <c r="O2952">
        <v>7078</v>
      </c>
      <c r="P2952">
        <v>6053</v>
      </c>
      <c r="Q2952">
        <v>5952</v>
      </c>
      <c r="R2952">
        <v>5987</v>
      </c>
    </row>
    <row r="2953" spans="4:19" x14ac:dyDescent="0.25">
      <c r="D2953" t="s">
        <v>88</v>
      </c>
      <c r="E2953">
        <v>2014</v>
      </c>
      <c r="F2953" t="s">
        <v>24</v>
      </c>
      <c r="G2953">
        <v>7491</v>
      </c>
      <c r="H2953">
        <v>6642</v>
      </c>
      <c r="I2953">
        <v>5789</v>
      </c>
      <c r="J2953">
        <v>5202</v>
      </c>
      <c r="K2953">
        <v>5152</v>
      </c>
      <c r="L2953">
        <v>6125</v>
      </c>
      <c r="M2953">
        <v>6497</v>
      </c>
      <c r="N2953">
        <v>6612</v>
      </c>
      <c r="O2953">
        <v>8502</v>
      </c>
      <c r="P2953">
        <v>6962</v>
      </c>
      <c r="Q2953">
        <v>6066</v>
      </c>
      <c r="R2953">
        <v>6677</v>
      </c>
    </row>
    <row r="2954" spans="4:19" x14ac:dyDescent="0.25">
      <c r="D2954" t="s">
        <v>88</v>
      </c>
      <c r="E2954">
        <v>2015</v>
      </c>
      <c r="F2954" t="s">
        <v>24</v>
      </c>
      <c r="G2954">
        <v>6503</v>
      </c>
      <c r="H2954">
        <v>7003</v>
      </c>
      <c r="I2954">
        <v>6432</v>
      </c>
      <c r="J2954">
        <v>6263</v>
      </c>
      <c r="K2954">
        <v>5025</v>
      </c>
      <c r="L2954">
        <v>5743</v>
      </c>
      <c r="M2954">
        <v>6335</v>
      </c>
    </row>
    <row r="2955" spans="4:19" x14ac:dyDescent="0.25">
      <c r="D2955" t="s">
        <v>88</v>
      </c>
      <c r="E2955">
        <v>2013</v>
      </c>
      <c r="F2955" t="s">
        <v>25</v>
      </c>
      <c r="S2955">
        <v>123753</v>
      </c>
    </row>
    <row r="2956" spans="4:19" x14ac:dyDescent="0.25">
      <c r="D2956" t="s">
        <v>88</v>
      </c>
      <c r="E2956">
        <v>2014</v>
      </c>
      <c r="F2956" t="s">
        <v>25</v>
      </c>
      <c r="S2956">
        <v>119606</v>
      </c>
    </row>
    <row r="2957" spans="4:19" x14ac:dyDescent="0.25">
      <c r="D2957" t="s">
        <v>88</v>
      </c>
      <c r="E2957">
        <v>2015</v>
      </c>
      <c r="F2957" t="s">
        <v>25</v>
      </c>
      <c r="S2957">
        <v>128936</v>
      </c>
    </row>
    <row r="2958" spans="4:19" x14ac:dyDescent="0.25">
      <c r="D2958" t="s">
        <v>88</v>
      </c>
      <c r="E2958">
        <v>2013</v>
      </c>
      <c r="F2958" t="s">
        <v>26</v>
      </c>
      <c r="G2958">
        <v>22605</v>
      </c>
      <c r="H2958">
        <v>17728</v>
      </c>
      <c r="I2958">
        <v>17512</v>
      </c>
      <c r="J2958">
        <v>16156</v>
      </c>
      <c r="K2958">
        <v>15998</v>
      </c>
      <c r="L2958">
        <v>16083</v>
      </c>
      <c r="M2958">
        <v>17671</v>
      </c>
      <c r="N2958">
        <v>15080</v>
      </c>
      <c r="O2958">
        <v>22549</v>
      </c>
      <c r="P2958">
        <v>21494</v>
      </c>
      <c r="Q2958">
        <v>18294</v>
      </c>
      <c r="R2958">
        <v>21225</v>
      </c>
    </row>
    <row r="2959" spans="4:19" x14ac:dyDescent="0.25">
      <c r="D2959" t="s">
        <v>88</v>
      </c>
      <c r="E2959">
        <v>2014</v>
      </c>
      <c r="F2959" t="s">
        <v>26</v>
      </c>
      <c r="G2959">
        <v>20599</v>
      </c>
      <c r="H2959">
        <v>17734</v>
      </c>
      <c r="I2959">
        <v>16506</v>
      </c>
      <c r="J2959">
        <v>17282</v>
      </c>
      <c r="K2959">
        <v>14602</v>
      </c>
      <c r="L2959">
        <v>15882</v>
      </c>
      <c r="M2959">
        <v>17001</v>
      </c>
      <c r="N2959">
        <v>17048</v>
      </c>
      <c r="O2959">
        <v>21569</v>
      </c>
      <c r="P2959">
        <v>21305</v>
      </c>
      <c r="Q2959">
        <v>18744</v>
      </c>
      <c r="R2959">
        <v>22995</v>
      </c>
    </row>
    <row r="2960" spans="4:19" x14ac:dyDescent="0.25">
      <c r="D2960" t="s">
        <v>88</v>
      </c>
      <c r="E2960">
        <v>2015</v>
      </c>
      <c r="F2960" t="s">
        <v>26</v>
      </c>
      <c r="G2960">
        <v>21241</v>
      </c>
      <c r="H2960">
        <v>17563</v>
      </c>
      <c r="I2960">
        <v>18020</v>
      </c>
      <c r="J2960">
        <v>17057</v>
      </c>
      <c r="K2960">
        <v>15204</v>
      </c>
      <c r="L2960">
        <v>20052</v>
      </c>
      <c r="M2960">
        <v>19799</v>
      </c>
    </row>
    <row r="2961" spans="4:19" x14ac:dyDescent="0.25">
      <c r="D2961" t="s">
        <v>88</v>
      </c>
      <c r="E2961">
        <v>2013</v>
      </c>
      <c r="F2961" t="s">
        <v>27</v>
      </c>
      <c r="S2961">
        <v>213446</v>
      </c>
    </row>
    <row r="2962" spans="4:19" x14ac:dyDescent="0.25">
      <c r="D2962" t="s">
        <v>88</v>
      </c>
      <c r="E2962">
        <v>2014</v>
      </c>
      <c r="F2962" t="s">
        <v>27</v>
      </c>
      <c r="S2962">
        <v>207307</v>
      </c>
    </row>
    <row r="2963" spans="4:19" x14ac:dyDescent="0.25">
      <c r="D2963" t="s">
        <v>88</v>
      </c>
      <c r="E2963">
        <v>2015</v>
      </c>
      <c r="F2963" t="s">
        <v>27</v>
      </c>
      <c r="S2963">
        <v>227807</v>
      </c>
    </row>
    <row r="2964" spans="4:19" x14ac:dyDescent="0.25">
      <c r="D2964" t="s">
        <v>88</v>
      </c>
      <c r="E2964">
        <v>2013</v>
      </c>
      <c r="F2964" t="s">
        <v>28</v>
      </c>
      <c r="G2964">
        <v>37764</v>
      </c>
      <c r="H2964">
        <v>32023</v>
      </c>
      <c r="I2964">
        <v>30919</v>
      </c>
      <c r="J2964">
        <v>27849</v>
      </c>
      <c r="K2964">
        <v>27129</v>
      </c>
      <c r="L2964">
        <v>27460</v>
      </c>
      <c r="M2964">
        <v>30302</v>
      </c>
      <c r="N2964">
        <v>25376</v>
      </c>
      <c r="O2964">
        <v>37089</v>
      </c>
      <c r="P2964">
        <v>35811</v>
      </c>
      <c r="Q2964">
        <v>32199</v>
      </c>
      <c r="R2964">
        <v>35927</v>
      </c>
    </row>
    <row r="2965" spans="4:19" x14ac:dyDescent="0.25">
      <c r="D2965" t="s">
        <v>88</v>
      </c>
      <c r="E2965">
        <v>2014</v>
      </c>
      <c r="F2965" t="s">
        <v>28</v>
      </c>
      <c r="G2965">
        <v>35945</v>
      </c>
      <c r="H2965">
        <v>31856</v>
      </c>
      <c r="I2965">
        <v>29141</v>
      </c>
      <c r="J2965">
        <v>28917</v>
      </c>
      <c r="K2965">
        <v>25141</v>
      </c>
      <c r="L2965">
        <v>27418</v>
      </c>
      <c r="M2965">
        <v>28889</v>
      </c>
      <c r="N2965">
        <v>27345</v>
      </c>
      <c r="O2965">
        <v>35344</v>
      </c>
      <c r="P2965">
        <v>34901</v>
      </c>
      <c r="Q2965">
        <v>30979</v>
      </c>
      <c r="R2965">
        <v>39420</v>
      </c>
    </row>
    <row r="2966" spans="4:19" x14ac:dyDescent="0.25">
      <c r="D2966" t="s">
        <v>88</v>
      </c>
      <c r="E2966">
        <v>2015</v>
      </c>
      <c r="F2966" t="s">
        <v>28</v>
      </c>
      <c r="G2966">
        <v>37141</v>
      </c>
      <c r="H2966">
        <v>31118</v>
      </c>
      <c r="I2966">
        <v>32543</v>
      </c>
      <c r="J2966">
        <v>30530</v>
      </c>
      <c r="K2966">
        <v>26302</v>
      </c>
      <c r="L2966">
        <v>35270</v>
      </c>
      <c r="M2966">
        <v>34903</v>
      </c>
    </row>
    <row r="2967" spans="4:19" x14ac:dyDescent="0.25">
      <c r="D2967" t="s">
        <v>88</v>
      </c>
      <c r="E2967">
        <v>2013</v>
      </c>
      <c r="F2967" t="s">
        <v>29</v>
      </c>
      <c r="S2967">
        <v>19966</v>
      </c>
    </row>
    <row r="2968" spans="4:19" x14ac:dyDescent="0.25">
      <c r="D2968" t="s">
        <v>88</v>
      </c>
      <c r="E2968">
        <v>2014</v>
      </c>
      <c r="F2968" t="s">
        <v>29</v>
      </c>
      <c r="S2968">
        <v>18548</v>
      </c>
    </row>
    <row r="2969" spans="4:19" x14ac:dyDescent="0.25">
      <c r="D2969" t="s">
        <v>88</v>
      </c>
      <c r="E2969">
        <v>2015</v>
      </c>
      <c r="F2969" t="s">
        <v>29</v>
      </c>
      <c r="S2969">
        <v>12991</v>
      </c>
    </row>
    <row r="2970" spans="4:19" x14ac:dyDescent="0.25">
      <c r="D2970" t="s">
        <v>88</v>
      </c>
      <c r="E2970">
        <v>2013</v>
      </c>
      <c r="F2970" t="s">
        <v>30</v>
      </c>
      <c r="G2970">
        <v>3443</v>
      </c>
      <c r="H2970">
        <v>2649</v>
      </c>
      <c r="I2970">
        <v>2944</v>
      </c>
      <c r="J2970">
        <v>2654</v>
      </c>
      <c r="K2970">
        <v>2882</v>
      </c>
      <c r="L2970">
        <v>2655</v>
      </c>
      <c r="M2970">
        <v>2739</v>
      </c>
      <c r="N2970">
        <v>2270</v>
      </c>
      <c r="O2970">
        <v>3364</v>
      </c>
      <c r="P2970">
        <v>3157</v>
      </c>
      <c r="Q2970">
        <v>2823</v>
      </c>
      <c r="R2970">
        <v>2526</v>
      </c>
    </row>
    <row r="2971" spans="4:19" x14ac:dyDescent="0.25">
      <c r="D2971" t="s">
        <v>88</v>
      </c>
      <c r="E2971">
        <v>2014</v>
      </c>
      <c r="F2971" t="s">
        <v>30</v>
      </c>
      <c r="G2971">
        <v>3257</v>
      </c>
      <c r="H2971">
        <v>2683</v>
      </c>
      <c r="I2971">
        <v>2669</v>
      </c>
      <c r="J2971">
        <v>2600</v>
      </c>
      <c r="K2971">
        <v>2049</v>
      </c>
      <c r="L2971">
        <v>2461</v>
      </c>
      <c r="M2971">
        <v>2829</v>
      </c>
      <c r="N2971">
        <v>2123</v>
      </c>
      <c r="O2971">
        <v>3441</v>
      </c>
      <c r="P2971">
        <v>2895</v>
      </c>
      <c r="Q2971">
        <v>2217</v>
      </c>
      <c r="R2971">
        <v>2290</v>
      </c>
    </row>
    <row r="2972" spans="4:19" x14ac:dyDescent="0.25">
      <c r="D2972" t="s">
        <v>88</v>
      </c>
      <c r="E2972">
        <v>2015</v>
      </c>
      <c r="F2972" t="s">
        <v>30</v>
      </c>
      <c r="G2972">
        <v>1762</v>
      </c>
      <c r="H2972">
        <v>1434</v>
      </c>
      <c r="I2972">
        <v>1879</v>
      </c>
      <c r="J2972">
        <v>1933</v>
      </c>
      <c r="K2972">
        <v>1671</v>
      </c>
      <c r="L2972">
        <v>2328</v>
      </c>
      <c r="M2972">
        <v>1984</v>
      </c>
    </row>
    <row r="2973" spans="4:19" x14ac:dyDescent="0.25">
      <c r="D2973" t="s">
        <v>88</v>
      </c>
      <c r="E2973">
        <v>2013</v>
      </c>
      <c r="F2973" t="s">
        <v>31</v>
      </c>
      <c r="S2973">
        <v>0.84900636446291722</v>
      </c>
    </row>
    <row r="2974" spans="4:19" x14ac:dyDescent="0.25">
      <c r="D2974" t="s">
        <v>88</v>
      </c>
      <c r="E2974">
        <v>2014</v>
      </c>
      <c r="F2974" t="s">
        <v>31</v>
      </c>
      <c r="S2974">
        <v>0.93354002517599888</v>
      </c>
    </row>
    <row r="2975" spans="4:19" x14ac:dyDescent="0.25">
      <c r="D2975" t="s">
        <v>88</v>
      </c>
      <c r="E2975">
        <v>2015</v>
      </c>
      <c r="F2975" t="s">
        <v>31</v>
      </c>
      <c r="S2975">
        <v>0.88802420099759838</v>
      </c>
    </row>
    <row r="2976" spans="4:19" x14ac:dyDescent="0.25">
      <c r="D2976" t="s">
        <v>88</v>
      </c>
      <c r="E2976">
        <v>2013</v>
      </c>
      <c r="F2976" t="s">
        <v>32</v>
      </c>
      <c r="G2976">
        <v>0.84163977530775669</v>
      </c>
      <c r="H2976">
        <v>0.72663971248876913</v>
      </c>
      <c r="I2976">
        <v>0.92119293568810401</v>
      </c>
      <c r="J2976">
        <v>0.91034359341445958</v>
      </c>
      <c r="K2976">
        <v>0.7763036099969145</v>
      </c>
      <c r="L2976">
        <v>0.90226947454508277</v>
      </c>
      <c r="M2976">
        <v>0.94731543624161074</v>
      </c>
      <c r="N2976">
        <v>0.95620437956204385</v>
      </c>
      <c r="O2976">
        <v>0.93967222379203164</v>
      </c>
      <c r="P2976">
        <v>0.94911614075664963</v>
      </c>
      <c r="Q2976">
        <v>0.93061155913978499</v>
      </c>
      <c r="R2976">
        <v>0.94404543176883249</v>
      </c>
    </row>
    <row r="2977" spans="4:19" x14ac:dyDescent="0.25">
      <c r="D2977" t="s">
        <v>88</v>
      </c>
      <c r="E2977">
        <v>2014</v>
      </c>
      <c r="F2977" t="s">
        <v>32</v>
      </c>
      <c r="G2977">
        <v>0.95207582432252036</v>
      </c>
      <c r="H2977">
        <v>0.94835892803372479</v>
      </c>
      <c r="I2977">
        <v>0.95854206253238905</v>
      </c>
      <c r="J2977">
        <v>0.9454056132256824</v>
      </c>
      <c r="K2977">
        <v>0.95943322981366463</v>
      </c>
      <c r="L2977">
        <v>0.88897959183673469</v>
      </c>
      <c r="M2977">
        <v>0.88671694628289977</v>
      </c>
      <c r="N2977">
        <v>0.89322444041137328</v>
      </c>
      <c r="O2977">
        <v>0.93025170548106328</v>
      </c>
      <c r="P2977">
        <v>0.90993967250789998</v>
      </c>
      <c r="Q2977">
        <v>0.92977250247279919</v>
      </c>
      <c r="R2977">
        <v>0.91687883780140778</v>
      </c>
    </row>
    <row r="2978" spans="4:19" x14ac:dyDescent="0.25">
      <c r="D2978" t="s">
        <v>88</v>
      </c>
      <c r="E2978">
        <v>2015</v>
      </c>
      <c r="F2978" t="s">
        <v>32</v>
      </c>
      <c r="G2978">
        <v>0.90942641857604178</v>
      </c>
      <c r="H2978">
        <v>0.90604026845637586</v>
      </c>
      <c r="I2978">
        <v>0.86442786069651745</v>
      </c>
      <c r="J2978">
        <v>0.85534089094683063</v>
      </c>
      <c r="K2978">
        <v>0.88338308457711445</v>
      </c>
      <c r="L2978">
        <v>0.91589761448720186</v>
      </c>
      <c r="M2978">
        <v>0.88082083662194155</v>
      </c>
    </row>
    <row r="2979" spans="4:19" x14ac:dyDescent="0.25">
      <c r="D2979" t="s">
        <v>88</v>
      </c>
      <c r="E2979">
        <v>2013</v>
      </c>
      <c r="F2979" t="s">
        <v>33</v>
      </c>
      <c r="S2979">
        <v>0.91711121739450352</v>
      </c>
    </row>
    <row r="2980" spans="4:19" x14ac:dyDescent="0.25">
      <c r="D2980" t="s">
        <v>88</v>
      </c>
      <c r="E2980">
        <v>2014</v>
      </c>
      <c r="F2980" t="s">
        <v>33</v>
      </c>
      <c r="S2980">
        <v>0.93182833245361163</v>
      </c>
    </row>
    <row r="2981" spans="4:19" x14ac:dyDescent="0.25">
      <c r="D2981" t="s">
        <v>88</v>
      </c>
      <c r="E2981">
        <v>2015</v>
      </c>
      <c r="F2981" t="s">
        <v>33</v>
      </c>
      <c r="S2981">
        <v>0.90095223228223542</v>
      </c>
    </row>
    <row r="2982" spans="4:19" x14ac:dyDescent="0.25">
      <c r="D2982" t="s">
        <v>88</v>
      </c>
      <c r="E2982">
        <v>2013</v>
      </c>
      <c r="F2982" t="s">
        <v>34</v>
      </c>
      <c r="G2982">
        <v>0.82382456792417769</v>
      </c>
      <c r="H2982">
        <v>0.90805156896132333</v>
      </c>
      <c r="I2982">
        <v>0.95415617128463481</v>
      </c>
      <c r="J2982">
        <v>0.94536882972823078</v>
      </c>
      <c r="K2982">
        <v>0.94632683658170913</v>
      </c>
      <c r="L2982">
        <v>0.95508501764517162</v>
      </c>
      <c r="M2982">
        <v>0.93744878448511337</v>
      </c>
      <c r="N2982">
        <v>0.9302523390983839</v>
      </c>
      <c r="O2982">
        <v>0.90361173814898421</v>
      </c>
      <c r="P2982">
        <v>0.92216325499115492</v>
      </c>
      <c r="Q2982">
        <v>0.88852901484480429</v>
      </c>
      <c r="R2982">
        <v>0.9083948591741865</v>
      </c>
    </row>
    <row r="2983" spans="4:19" x14ac:dyDescent="0.25">
      <c r="D2983" t="s">
        <v>88</v>
      </c>
      <c r="E2983">
        <v>2014</v>
      </c>
      <c r="F2983" t="s">
        <v>34</v>
      </c>
      <c r="G2983">
        <v>0.91639496972519796</v>
      </c>
      <c r="H2983">
        <v>0.92149233234149686</v>
      </c>
      <c r="I2983">
        <v>0.93756503642039546</v>
      </c>
      <c r="J2983">
        <v>0.91590168788865856</v>
      </c>
      <c r="K2983">
        <v>0.93014705882352944</v>
      </c>
      <c r="L2983">
        <v>0.96573426573426568</v>
      </c>
      <c r="M2983">
        <v>0.94953335637746283</v>
      </c>
      <c r="N2983">
        <v>0.92596348884381341</v>
      </c>
      <c r="O2983">
        <v>0.95018564356435642</v>
      </c>
      <c r="P2983">
        <v>0.94207138677589231</v>
      </c>
      <c r="Q2983">
        <v>0.96442409299048959</v>
      </c>
      <c r="R2983">
        <v>0.9366685945633314</v>
      </c>
    </row>
    <row r="2984" spans="4:19" x14ac:dyDescent="0.25">
      <c r="D2984" t="s">
        <v>88</v>
      </c>
      <c r="E2984">
        <v>2015</v>
      </c>
      <c r="F2984" t="s">
        <v>34</v>
      </c>
      <c r="G2984">
        <v>0.92767467248908297</v>
      </c>
      <c r="H2984">
        <v>0.91801358631998131</v>
      </c>
      <c r="I2984">
        <v>0.87765957446808507</v>
      </c>
      <c r="J2984">
        <v>0.83840139009556902</v>
      </c>
      <c r="K2984">
        <v>0.89450127877237851</v>
      </c>
      <c r="L2984">
        <v>0.95767659077641565</v>
      </c>
      <c r="M2984">
        <v>0.89105995717344755</v>
      </c>
    </row>
    <row r="2985" spans="4:19" x14ac:dyDescent="0.25">
      <c r="D2985" t="s">
        <v>89</v>
      </c>
      <c r="E2985">
        <v>2013</v>
      </c>
      <c r="F2985" t="s">
        <v>17</v>
      </c>
      <c r="S2985">
        <v>0.91581845744516288</v>
      </c>
    </row>
    <row r="2986" spans="4:19" x14ac:dyDescent="0.25">
      <c r="D2986" t="s">
        <v>89</v>
      </c>
      <c r="E2986">
        <v>2014</v>
      </c>
      <c r="F2986" t="s">
        <v>17</v>
      </c>
      <c r="S2986">
        <v>0.9682857511949361</v>
      </c>
    </row>
    <row r="2987" spans="4:19" x14ac:dyDescent="0.25">
      <c r="D2987" t="s">
        <v>89</v>
      </c>
      <c r="E2987">
        <v>2015</v>
      </c>
      <c r="F2987" t="s">
        <v>17</v>
      </c>
      <c r="S2987">
        <v>0.93163508876622403</v>
      </c>
    </row>
    <row r="2988" spans="4:19" x14ac:dyDescent="0.25">
      <c r="D2988" t="s">
        <v>89</v>
      </c>
      <c r="E2988">
        <v>2013</v>
      </c>
      <c r="F2988" t="s">
        <v>18</v>
      </c>
      <c r="G2988">
        <v>0.90270581462291311</v>
      </c>
      <c r="H2988">
        <v>0.8567029357421474</v>
      </c>
      <c r="I2988">
        <v>0.918648310387985</v>
      </c>
      <c r="J2988">
        <v>0.93230174081237915</v>
      </c>
      <c r="K2988">
        <v>0.90250914793518033</v>
      </c>
      <c r="L2988">
        <v>0.95135582695094179</v>
      </c>
      <c r="M2988">
        <v>0.94886119467125052</v>
      </c>
      <c r="N2988">
        <v>0.99876390605686027</v>
      </c>
      <c r="O2988">
        <v>0.99854439592430855</v>
      </c>
      <c r="P2988">
        <v>0.99882884390162285</v>
      </c>
      <c r="Q2988">
        <v>0.99822309970384993</v>
      </c>
      <c r="R2988">
        <v>0.99822695035460995</v>
      </c>
    </row>
    <row r="2989" spans="4:19" x14ac:dyDescent="0.25">
      <c r="D2989" t="s">
        <v>89</v>
      </c>
      <c r="E2989">
        <v>2014</v>
      </c>
      <c r="F2989" t="s">
        <v>18</v>
      </c>
      <c r="G2989">
        <v>0.99749303621169916</v>
      </c>
      <c r="H2989">
        <v>0.95115257958287591</v>
      </c>
      <c r="I2989">
        <v>0.96258932324506097</v>
      </c>
      <c r="J2989">
        <v>0.97601744186046513</v>
      </c>
      <c r="K2989">
        <v>0.96158521760272309</v>
      </c>
      <c r="L2989">
        <v>0.97703737055380457</v>
      </c>
      <c r="M2989">
        <v>0.96216700246250275</v>
      </c>
      <c r="N2989">
        <v>0.97092045181446762</v>
      </c>
      <c r="O2989">
        <v>0.95047291487532248</v>
      </c>
      <c r="P2989">
        <v>0.94668850072780208</v>
      </c>
      <c r="Q2989">
        <v>0.92078262944404676</v>
      </c>
      <c r="R2989">
        <v>0.95672333848531688</v>
      </c>
    </row>
    <row r="2990" spans="4:19" x14ac:dyDescent="0.25">
      <c r="D2990" t="s">
        <v>89</v>
      </c>
      <c r="E2990">
        <v>2015</v>
      </c>
      <c r="F2990" t="s">
        <v>18</v>
      </c>
      <c r="G2990">
        <v>0.91446114757569341</v>
      </c>
      <c r="H2990">
        <v>0.90196078431372551</v>
      </c>
      <c r="I2990">
        <v>0.8876905041031653</v>
      </c>
      <c r="J2990">
        <v>0.95096582466567603</v>
      </c>
      <c r="K2990">
        <v>0.94851363775666564</v>
      </c>
      <c r="L2990">
        <v>0.97058823529411764</v>
      </c>
      <c r="M2990">
        <v>0.96225319396051101</v>
      </c>
    </row>
    <row r="2991" spans="4:19" x14ac:dyDescent="0.25">
      <c r="D2991" t="s">
        <v>89</v>
      </c>
      <c r="E2991">
        <v>2013</v>
      </c>
      <c r="F2991" t="s">
        <v>19</v>
      </c>
      <c r="S2991">
        <v>0.77775387379053296</v>
      </c>
    </row>
    <row r="2992" spans="4:19" x14ac:dyDescent="0.25">
      <c r="D2992" t="s">
        <v>89</v>
      </c>
      <c r="E2992">
        <v>2014</v>
      </c>
      <c r="F2992" t="s">
        <v>19</v>
      </c>
      <c r="S2992">
        <v>0.9966076120873707</v>
      </c>
    </row>
    <row r="2993" spans="4:19" x14ac:dyDescent="0.25">
      <c r="D2993" t="s">
        <v>89</v>
      </c>
      <c r="E2993">
        <v>2015</v>
      </c>
      <c r="F2993" t="s">
        <v>19</v>
      </c>
      <c r="S2993">
        <v>0.97756119673617403</v>
      </c>
    </row>
    <row r="2994" spans="4:19" x14ac:dyDescent="0.25">
      <c r="D2994" t="s">
        <v>89</v>
      </c>
      <c r="E2994">
        <v>2013</v>
      </c>
      <c r="F2994" t="s">
        <v>20</v>
      </c>
      <c r="G2994">
        <v>0.68941176470588239</v>
      </c>
      <c r="H2994">
        <v>0.62779552715654952</v>
      </c>
      <c r="I2994">
        <v>0.63509130492735588</v>
      </c>
      <c r="J2994">
        <v>0.69589288945178218</v>
      </c>
      <c r="K2994">
        <v>0.80908180300500832</v>
      </c>
      <c r="L2994">
        <v>0.99856315940720064</v>
      </c>
      <c r="M2994">
        <v>0.99389916353311336</v>
      </c>
      <c r="N2994">
        <v>0.9980131573137887</v>
      </c>
      <c r="O2994">
        <v>0.99675240322161596</v>
      </c>
      <c r="P2994">
        <v>0.99515984117323131</v>
      </c>
      <c r="Q2994">
        <v>0.99499743963445864</v>
      </c>
      <c r="R2994">
        <v>0.99655449638222116</v>
      </c>
    </row>
    <row r="2995" spans="4:19" x14ac:dyDescent="0.25">
      <c r="D2995" t="s">
        <v>89</v>
      </c>
      <c r="E2995">
        <v>2014</v>
      </c>
      <c r="F2995" t="s">
        <v>20</v>
      </c>
      <c r="G2995">
        <v>0.99997258020290647</v>
      </c>
      <c r="H2995">
        <v>0.99948028806889899</v>
      </c>
      <c r="I2995">
        <v>0.99798937784522002</v>
      </c>
      <c r="J2995">
        <v>0.98957974179213115</v>
      </c>
      <c r="K2995">
        <v>0.99144994656216601</v>
      </c>
      <c r="L2995">
        <v>0.99813652785700702</v>
      </c>
      <c r="M2995">
        <v>0.99795762062803162</v>
      </c>
      <c r="N2995">
        <v>0.9984523195364895</v>
      </c>
      <c r="O2995">
        <v>0.9932953294033815</v>
      </c>
      <c r="P2995">
        <v>0.99761379768628988</v>
      </c>
      <c r="Q2995">
        <v>0.98097678951738077</v>
      </c>
      <c r="R2995">
        <v>0.99501875468867218</v>
      </c>
    </row>
    <row r="2996" spans="4:19" x14ac:dyDescent="0.25">
      <c r="D2996" t="s">
        <v>89</v>
      </c>
      <c r="E2996">
        <v>2015</v>
      </c>
      <c r="F2996" t="s">
        <v>20</v>
      </c>
      <c r="G2996">
        <v>0.99173750065994404</v>
      </c>
      <c r="H2996">
        <v>0.98579124977798827</v>
      </c>
      <c r="I2996">
        <v>0.94385525474312515</v>
      </c>
      <c r="J2996">
        <v>0.9696479703553984</v>
      </c>
      <c r="K2996">
        <v>0.97479920658147168</v>
      </c>
      <c r="L2996">
        <v>0.99645089956045751</v>
      </c>
      <c r="M2996">
        <v>0.9799931226359061</v>
      </c>
    </row>
    <row r="2997" spans="4:19" x14ac:dyDescent="0.25">
      <c r="D2997" t="s">
        <v>89</v>
      </c>
      <c r="E2997">
        <v>2013</v>
      </c>
      <c r="F2997" t="s">
        <v>21</v>
      </c>
      <c r="S2997">
        <v>0.91887038117900599</v>
      </c>
    </row>
    <row r="2998" spans="4:19" x14ac:dyDescent="0.25">
      <c r="D2998" t="s">
        <v>89</v>
      </c>
      <c r="E2998">
        <v>2014</v>
      </c>
      <c r="F2998" t="s">
        <v>21</v>
      </c>
      <c r="S2998">
        <v>0.99684488786560932</v>
      </c>
    </row>
    <row r="2999" spans="4:19" x14ac:dyDescent="0.25">
      <c r="D2999" t="s">
        <v>89</v>
      </c>
      <c r="E2999">
        <v>2015</v>
      </c>
      <c r="F2999" t="s">
        <v>21</v>
      </c>
      <c r="S2999">
        <v>0.98789594616773346</v>
      </c>
    </row>
    <row r="3000" spans="4:19" x14ac:dyDescent="0.25">
      <c r="D3000" t="s">
        <v>89</v>
      </c>
      <c r="E3000">
        <v>2013</v>
      </c>
      <c r="F3000" t="s">
        <v>22</v>
      </c>
      <c r="G3000">
        <v>0.89560204953031597</v>
      </c>
      <c r="H3000">
        <v>0.82808447573175248</v>
      </c>
      <c r="I3000">
        <v>0.82963446475195823</v>
      </c>
      <c r="J3000">
        <v>0.94400486914181381</v>
      </c>
      <c r="K3000">
        <v>0.95732689210950084</v>
      </c>
      <c r="L3000">
        <v>0.9979324603721571</v>
      </c>
      <c r="M3000">
        <v>0.98858592263792011</v>
      </c>
      <c r="N3000">
        <v>0.9986175115207373</v>
      </c>
      <c r="O3000">
        <v>0.99824005631819779</v>
      </c>
      <c r="P3000">
        <v>0.99858035207268603</v>
      </c>
      <c r="Q3000">
        <v>0.99660633484162897</v>
      </c>
      <c r="R3000">
        <v>0.99948875255623726</v>
      </c>
    </row>
    <row r="3001" spans="4:19" x14ac:dyDescent="0.25">
      <c r="D3001" t="s">
        <v>89</v>
      </c>
      <c r="E3001">
        <v>2014</v>
      </c>
      <c r="F3001" t="s">
        <v>22</v>
      </c>
      <c r="G3001">
        <v>0.99952437574316289</v>
      </c>
      <c r="H3001">
        <v>0.99965229485396379</v>
      </c>
      <c r="I3001">
        <v>0.9963406520292748</v>
      </c>
      <c r="J3001">
        <v>0.99460380573700657</v>
      </c>
      <c r="K3001">
        <v>0.98809523809523814</v>
      </c>
      <c r="L3001">
        <v>0.99881199881199878</v>
      </c>
      <c r="M3001">
        <v>0.99943486860695108</v>
      </c>
      <c r="N3001">
        <v>0.99698275862068964</v>
      </c>
      <c r="O3001">
        <v>0.99669312169312174</v>
      </c>
      <c r="P3001">
        <v>0.99757575757575756</v>
      </c>
      <c r="Q3001">
        <v>0.99225159525979945</v>
      </c>
      <c r="R3001">
        <v>0.99582206930449746</v>
      </c>
    </row>
    <row r="3002" spans="4:19" x14ac:dyDescent="0.25">
      <c r="D3002" t="s">
        <v>89</v>
      </c>
      <c r="E3002">
        <v>2015</v>
      </c>
      <c r="F3002" t="s">
        <v>22</v>
      </c>
      <c r="G3002">
        <v>0.9713253012048193</v>
      </c>
      <c r="H3002">
        <v>0.98959687906371907</v>
      </c>
      <c r="I3002">
        <v>0.98855469789725847</v>
      </c>
      <c r="J3002">
        <v>0.99263406010606958</v>
      </c>
      <c r="K3002">
        <v>0.9880668257756563</v>
      </c>
      <c r="L3002">
        <v>0.99544937428896474</v>
      </c>
      <c r="M3002">
        <v>0.99294980259447263</v>
      </c>
    </row>
    <row r="3003" spans="4:19" x14ac:dyDescent="0.25">
      <c r="D3003" t="s">
        <v>89</v>
      </c>
      <c r="E3003">
        <v>2013</v>
      </c>
      <c r="F3003" t="s">
        <v>23</v>
      </c>
      <c r="S3003">
        <v>63017</v>
      </c>
    </row>
    <row r="3004" spans="4:19" x14ac:dyDescent="0.25">
      <c r="D3004" t="s">
        <v>89</v>
      </c>
      <c r="E3004">
        <v>2014</v>
      </c>
      <c r="F3004" t="s">
        <v>23</v>
      </c>
      <c r="S3004">
        <v>58633</v>
      </c>
    </row>
    <row r="3005" spans="4:19" x14ac:dyDescent="0.25">
      <c r="D3005" t="s">
        <v>89</v>
      </c>
      <c r="E3005">
        <v>2015</v>
      </c>
      <c r="F3005" t="s">
        <v>23</v>
      </c>
      <c r="S3005">
        <v>54959</v>
      </c>
    </row>
    <row r="3006" spans="4:19" x14ac:dyDescent="0.25">
      <c r="D3006" t="s">
        <v>89</v>
      </c>
      <c r="E3006">
        <v>2013</v>
      </c>
      <c r="F3006" t="s">
        <v>24</v>
      </c>
      <c r="G3006">
        <v>10321</v>
      </c>
      <c r="H3006">
        <v>9796</v>
      </c>
      <c r="I3006">
        <v>8849</v>
      </c>
      <c r="J3006">
        <v>8720</v>
      </c>
      <c r="K3006">
        <v>8242</v>
      </c>
      <c r="L3006">
        <v>7762</v>
      </c>
      <c r="M3006">
        <v>9327</v>
      </c>
      <c r="N3006">
        <v>9055</v>
      </c>
      <c r="O3006">
        <v>9170</v>
      </c>
      <c r="P3006">
        <v>9125</v>
      </c>
      <c r="Q3006">
        <v>7796</v>
      </c>
      <c r="R3006">
        <v>8052</v>
      </c>
    </row>
    <row r="3007" spans="4:19" x14ac:dyDescent="0.25">
      <c r="D3007" t="s">
        <v>89</v>
      </c>
      <c r="E3007">
        <v>2014</v>
      </c>
      <c r="F3007" t="s">
        <v>24</v>
      </c>
      <c r="G3007">
        <v>10012</v>
      </c>
      <c r="H3007">
        <v>10157</v>
      </c>
      <c r="I3007">
        <v>8183</v>
      </c>
      <c r="J3007">
        <v>7123</v>
      </c>
      <c r="K3007">
        <v>6686</v>
      </c>
      <c r="L3007">
        <v>7709</v>
      </c>
      <c r="M3007">
        <v>8763</v>
      </c>
      <c r="N3007">
        <v>8735</v>
      </c>
      <c r="O3007">
        <v>10781</v>
      </c>
      <c r="P3007">
        <v>9015</v>
      </c>
      <c r="Q3007">
        <v>8281</v>
      </c>
      <c r="R3007">
        <v>8188</v>
      </c>
    </row>
    <row r="3008" spans="4:19" x14ac:dyDescent="0.25">
      <c r="D3008" t="s">
        <v>89</v>
      </c>
      <c r="E3008">
        <v>2015</v>
      </c>
      <c r="F3008" t="s">
        <v>24</v>
      </c>
      <c r="G3008">
        <v>8960</v>
      </c>
      <c r="H3008">
        <v>8451</v>
      </c>
      <c r="I3008">
        <v>8087</v>
      </c>
      <c r="J3008">
        <v>7211</v>
      </c>
      <c r="K3008">
        <v>6209</v>
      </c>
      <c r="L3008">
        <v>7480</v>
      </c>
      <c r="M3008">
        <v>8561</v>
      </c>
    </row>
    <row r="3009" spans="4:19" x14ac:dyDescent="0.25">
      <c r="D3009" t="s">
        <v>89</v>
      </c>
      <c r="E3009">
        <v>2013</v>
      </c>
      <c r="F3009" t="s">
        <v>25</v>
      </c>
      <c r="S3009">
        <v>170463</v>
      </c>
    </row>
    <row r="3010" spans="4:19" x14ac:dyDescent="0.25">
      <c r="D3010" t="s">
        <v>89</v>
      </c>
      <c r="E3010">
        <v>2014</v>
      </c>
      <c r="F3010" t="s">
        <v>25</v>
      </c>
      <c r="S3010">
        <v>170974</v>
      </c>
    </row>
    <row r="3011" spans="4:19" x14ac:dyDescent="0.25">
      <c r="D3011" t="s">
        <v>89</v>
      </c>
      <c r="E3011">
        <v>2015</v>
      </c>
      <c r="F3011" t="s">
        <v>25</v>
      </c>
      <c r="S3011">
        <v>193047</v>
      </c>
    </row>
    <row r="3012" spans="4:19" x14ac:dyDescent="0.25">
      <c r="D3012" t="s">
        <v>89</v>
      </c>
      <c r="E3012">
        <v>2013</v>
      </c>
      <c r="F3012" t="s">
        <v>26</v>
      </c>
      <c r="G3012">
        <v>28228</v>
      </c>
      <c r="H3012">
        <v>24386</v>
      </c>
      <c r="I3012">
        <v>22288</v>
      </c>
      <c r="J3012">
        <v>22482</v>
      </c>
      <c r="K3012">
        <v>23221</v>
      </c>
      <c r="L3012">
        <v>23660</v>
      </c>
      <c r="M3012">
        <v>26198</v>
      </c>
      <c r="N3012">
        <v>24718</v>
      </c>
      <c r="O3012">
        <v>30841</v>
      </c>
      <c r="P3012">
        <v>31776</v>
      </c>
      <c r="Q3012">
        <v>25256</v>
      </c>
      <c r="R3012">
        <v>28095</v>
      </c>
    </row>
    <row r="3013" spans="4:19" x14ac:dyDescent="0.25">
      <c r="D3013" t="s">
        <v>89</v>
      </c>
      <c r="E3013">
        <v>2014</v>
      </c>
      <c r="F3013" t="s">
        <v>26</v>
      </c>
      <c r="G3013">
        <v>30726</v>
      </c>
      <c r="H3013">
        <v>24341</v>
      </c>
      <c r="I3013">
        <v>23206</v>
      </c>
      <c r="J3013">
        <v>23342</v>
      </c>
      <c r="K3013">
        <v>20597</v>
      </c>
      <c r="L3013">
        <v>22697</v>
      </c>
      <c r="M3013">
        <v>26065</v>
      </c>
      <c r="N3013">
        <v>24985</v>
      </c>
      <c r="O3013">
        <v>30967</v>
      </c>
      <c r="P3013">
        <v>29348</v>
      </c>
      <c r="Q3013">
        <v>26621</v>
      </c>
      <c r="R3013">
        <v>32732</v>
      </c>
    </row>
    <row r="3014" spans="4:19" x14ac:dyDescent="0.25">
      <c r="D3014" t="s">
        <v>89</v>
      </c>
      <c r="E3014">
        <v>2015</v>
      </c>
      <c r="F3014" t="s">
        <v>26</v>
      </c>
      <c r="G3014">
        <v>29943</v>
      </c>
      <c r="H3014">
        <v>25857</v>
      </c>
      <c r="I3014">
        <v>27930</v>
      </c>
      <c r="J3014">
        <v>26069</v>
      </c>
      <c r="K3014">
        <v>23138</v>
      </c>
      <c r="L3014">
        <v>28108</v>
      </c>
      <c r="M3014">
        <v>32002</v>
      </c>
    </row>
    <row r="3015" spans="4:19" x14ac:dyDescent="0.25">
      <c r="D3015" t="s">
        <v>89</v>
      </c>
      <c r="E3015">
        <v>2013</v>
      </c>
      <c r="F3015" t="s">
        <v>27</v>
      </c>
      <c r="S3015">
        <v>277517</v>
      </c>
    </row>
    <row r="3016" spans="4:19" x14ac:dyDescent="0.25">
      <c r="D3016" t="s">
        <v>89</v>
      </c>
      <c r="E3016">
        <v>2014</v>
      </c>
      <c r="F3016" t="s">
        <v>27</v>
      </c>
      <c r="S3016">
        <v>279771</v>
      </c>
    </row>
    <row r="3017" spans="4:19" x14ac:dyDescent="0.25">
      <c r="D3017" t="s">
        <v>89</v>
      </c>
      <c r="E3017">
        <v>2015</v>
      </c>
      <c r="F3017" t="s">
        <v>27</v>
      </c>
      <c r="S3017">
        <v>328362</v>
      </c>
    </row>
    <row r="3018" spans="4:19" x14ac:dyDescent="0.25">
      <c r="D3018" t="s">
        <v>89</v>
      </c>
      <c r="E3018">
        <v>2013</v>
      </c>
      <c r="F3018" t="s">
        <v>28</v>
      </c>
      <c r="G3018">
        <v>44716</v>
      </c>
      <c r="H3018">
        <v>40155</v>
      </c>
      <c r="I3018">
        <v>36538</v>
      </c>
      <c r="J3018">
        <v>37326</v>
      </c>
      <c r="K3018">
        <v>38301</v>
      </c>
      <c r="L3018">
        <v>38141</v>
      </c>
      <c r="M3018">
        <v>42340</v>
      </c>
      <c r="N3018">
        <v>39357</v>
      </c>
      <c r="O3018">
        <v>49906</v>
      </c>
      <c r="P3018">
        <v>51281</v>
      </c>
      <c r="Q3018">
        <v>39744</v>
      </c>
      <c r="R3018">
        <v>43990</v>
      </c>
    </row>
    <row r="3019" spans="4:19" x14ac:dyDescent="0.25">
      <c r="D3019" t="s">
        <v>89</v>
      </c>
      <c r="E3019">
        <v>2014</v>
      </c>
      <c r="F3019" t="s">
        <v>28</v>
      </c>
      <c r="G3019">
        <v>49694</v>
      </c>
      <c r="H3019">
        <v>41173</v>
      </c>
      <c r="I3019">
        <v>39086</v>
      </c>
      <c r="J3019">
        <v>37520</v>
      </c>
      <c r="K3019">
        <v>33209</v>
      </c>
      <c r="L3019">
        <v>37098</v>
      </c>
      <c r="M3019">
        <v>41991</v>
      </c>
      <c r="N3019">
        <v>39235</v>
      </c>
      <c r="O3019">
        <v>51499</v>
      </c>
      <c r="P3019">
        <v>49372</v>
      </c>
      <c r="Q3019">
        <v>44487</v>
      </c>
      <c r="R3019">
        <v>55201</v>
      </c>
    </row>
    <row r="3020" spans="4:19" x14ac:dyDescent="0.25">
      <c r="D3020" t="s">
        <v>89</v>
      </c>
      <c r="E3020">
        <v>2015</v>
      </c>
      <c r="F3020" t="s">
        <v>28</v>
      </c>
      <c r="G3020">
        <v>51395</v>
      </c>
      <c r="H3020">
        <v>45092</v>
      </c>
      <c r="I3020">
        <v>48336</v>
      </c>
      <c r="J3020">
        <v>44310</v>
      </c>
      <c r="K3020">
        <v>39361</v>
      </c>
      <c r="L3020">
        <v>47739</v>
      </c>
      <c r="M3020">
        <v>52129</v>
      </c>
    </row>
    <row r="3021" spans="4:19" x14ac:dyDescent="0.25">
      <c r="D3021" t="s">
        <v>89</v>
      </c>
      <c r="E3021">
        <v>2013</v>
      </c>
      <c r="F3021" t="s">
        <v>29</v>
      </c>
      <c r="S3021">
        <v>32323</v>
      </c>
    </row>
    <row r="3022" spans="4:19" x14ac:dyDescent="0.25">
      <c r="D3022" t="s">
        <v>89</v>
      </c>
      <c r="E3022">
        <v>2014</v>
      </c>
      <c r="F3022" t="s">
        <v>29</v>
      </c>
      <c r="S3022">
        <v>30964</v>
      </c>
    </row>
    <row r="3023" spans="4:19" x14ac:dyDescent="0.25">
      <c r="D3023" t="s">
        <v>89</v>
      </c>
      <c r="E3023">
        <v>2015</v>
      </c>
      <c r="F3023" t="s">
        <v>29</v>
      </c>
      <c r="S3023">
        <v>26812</v>
      </c>
    </row>
    <row r="3024" spans="4:19" x14ac:dyDescent="0.25">
      <c r="D3024" t="s">
        <v>89</v>
      </c>
      <c r="E3024">
        <v>2013</v>
      </c>
      <c r="F3024" t="s">
        <v>30</v>
      </c>
      <c r="G3024">
        <v>5211</v>
      </c>
      <c r="H3024">
        <v>4871</v>
      </c>
      <c r="I3024">
        <v>4794</v>
      </c>
      <c r="J3024">
        <v>4136</v>
      </c>
      <c r="K3024">
        <v>3826</v>
      </c>
      <c r="L3024">
        <v>4831</v>
      </c>
      <c r="M3024">
        <v>4654</v>
      </c>
      <c r="N3024">
        <v>4854</v>
      </c>
      <c r="O3024">
        <v>6183</v>
      </c>
      <c r="P3024">
        <v>5977</v>
      </c>
      <c r="Q3024">
        <v>5065</v>
      </c>
      <c r="R3024">
        <v>5076</v>
      </c>
    </row>
    <row r="3025" spans="4:19" x14ac:dyDescent="0.25">
      <c r="D3025" t="s">
        <v>89</v>
      </c>
      <c r="E3025">
        <v>2014</v>
      </c>
      <c r="F3025" t="s">
        <v>30</v>
      </c>
      <c r="G3025">
        <v>3590</v>
      </c>
      <c r="H3025">
        <v>5466</v>
      </c>
      <c r="I3025">
        <v>4758</v>
      </c>
      <c r="J3025">
        <v>4128</v>
      </c>
      <c r="K3025">
        <v>4113</v>
      </c>
      <c r="L3025">
        <v>4442</v>
      </c>
      <c r="M3025">
        <v>4467</v>
      </c>
      <c r="N3025">
        <v>4161</v>
      </c>
      <c r="O3025">
        <v>5815</v>
      </c>
      <c r="P3025">
        <v>5496</v>
      </c>
      <c r="Q3025">
        <v>4191</v>
      </c>
      <c r="R3025">
        <v>5176</v>
      </c>
    </row>
    <row r="3026" spans="4:19" x14ac:dyDescent="0.25">
      <c r="D3026" t="s">
        <v>89</v>
      </c>
      <c r="E3026">
        <v>2015</v>
      </c>
      <c r="F3026" t="s">
        <v>30</v>
      </c>
      <c r="G3026">
        <v>4723</v>
      </c>
      <c r="H3026">
        <v>3774</v>
      </c>
      <c r="I3026">
        <v>4265</v>
      </c>
      <c r="J3026">
        <v>3365</v>
      </c>
      <c r="K3026">
        <v>3263</v>
      </c>
      <c r="L3026">
        <v>3978</v>
      </c>
      <c r="M3026">
        <v>3444</v>
      </c>
    </row>
    <row r="3027" spans="4:19" x14ac:dyDescent="0.25">
      <c r="D3027" t="s">
        <v>89</v>
      </c>
      <c r="E3027">
        <v>2013</v>
      </c>
      <c r="F3027" t="s">
        <v>31</v>
      </c>
      <c r="S3027">
        <v>0.87217734896932575</v>
      </c>
    </row>
    <row r="3028" spans="4:19" x14ac:dyDescent="0.25">
      <c r="D3028" t="s">
        <v>89</v>
      </c>
      <c r="E3028">
        <v>2014</v>
      </c>
      <c r="F3028" t="s">
        <v>31</v>
      </c>
      <c r="S3028">
        <v>0.91610526495318334</v>
      </c>
    </row>
    <row r="3029" spans="4:19" x14ac:dyDescent="0.25">
      <c r="D3029" t="s">
        <v>89</v>
      </c>
      <c r="E3029">
        <v>2015</v>
      </c>
      <c r="F3029" t="s">
        <v>31</v>
      </c>
      <c r="S3029">
        <v>0.88662457468294542</v>
      </c>
    </row>
    <row r="3030" spans="4:19" x14ac:dyDescent="0.25">
      <c r="D3030" t="s">
        <v>89</v>
      </c>
      <c r="E3030">
        <v>2013</v>
      </c>
      <c r="F3030" t="s">
        <v>32</v>
      </c>
      <c r="G3030">
        <v>0.84042243968607688</v>
      </c>
      <c r="H3030">
        <v>0.83278889342588813</v>
      </c>
      <c r="I3030">
        <v>0.87885636795118094</v>
      </c>
      <c r="J3030">
        <v>0.86399082568807339</v>
      </c>
      <c r="K3030">
        <v>0.86411065275418586</v>
      </c>
      <c r="L3030">
        <v>0.88727132182427204</v>
      </c>
      <c r="M3030">
        <v>0.94456952932346949</v>
      </c>
      <c r="N3030">
        <v>0.91573716178906683</v>
      </c>
      <c r="O3030">
        <v>0.94820065430752454</v>
      </c>
      <c r="P3030">
        <v>0.97347945205479447</v>
      </c>
      <c r="Q3030">
        <v>0.96523858388917394</v>
      </c>
      <c r="R3030">
        <v>0.96659215101838047</v>
      </c>
    </row>
    <row r="3031" spans="4:19" x14ac:dyDescent="0.25">
      <c r="D3031" t="s">
        <v>89</v>
      </c>
      <c r="E3031">
        <v>2014</v>
      </c>
      <c r="F3031" t="s">
        <v>32</v>
      </c>
      <c r="G3031">
        <v>0.9360767079504595</v>
      </c>
      <c r="H3031">
        <v>0.89839519543172197</v>
      </c>
      <c r="I3031">
        <v>0.92838812171575213</v>
      </c>
      <c r="J3031">
        <v>0.94805559455285693</v>
      </c>
      <c r="K3031">
        <v>0.93030212384086153</v>
      </c>
      <c r="L3031">
        <v>0.89012842132572323</v>
      </c>
      <c r="M3031">
        <v>0.88839438548442318</v>
      </c>
      <c r="N3031">
        <v>0.90463651974813963</v>
      </c>
      <c r="O3031">
        <v>0.900936833317874</v>
      </c>
      <c r="P3031">
        <v>0.92301719356627843</v>
      </c>
      <c r="Q3031">
        <v>0.91969568892645814</v>
      </c>
      <c r="R3031">
        <v>0.92928676111382513</v>
      </c>
    </row>
    <row r="3032" spans="4:19" x14ac:dyDescent="0.25">
      <c r="D3032" t="s">
        <v>89</v>
      </c>
      <c r="E3032">
        <v>2015</v>
      </c>
      <c r="F3032" t="s">
        <v>32</v>
      </c>
      <c r="G3032">
        <v>0.89921874999999996</v>
      </c>
      <c r="H3032">
        <v>0.88782392616258432</v>
      </c>
      <c r="I3032">
        <v>0.89711883269444792</v>
      </c>
      <c r="J3032">
        <v>0.89654694217168218</v>
      </c>
      <c r="K3032">
        <v>0.89998389434691572</v>
      </c>
      <c r="L3032">
        <v>0.90775401069518713</v>
      </c>
      <c r="M3032">
        <v>0.82583810302534755</v>
      </c>
    </row>
    <row r="3033" spans="4:19" x14ac:dyDescent="0.25">
      <c r="D3033" t="s">
        <v>89</v>
      </c>
      <c r="E3033">
        <v>2013</v>
      </c>
      <c r="F3033" t="s">
        <v>33</v>
      </c>
      <c r="S3033">
        <v>0.90645201547485332</v>
      </c>
    </row>
    <row r="3034" spans="4:19" x14ac:dyDescent="0.25">
      <c r="D3034" t="s">
        <v>89</v>
      </c>
      <c r="E3034">
        <v>2014</v>
      </c>
      <c r="F3034" t="s">
        <v>33</v>
      </c>
      <c r="S3034">
        <v>0.89800443458980039</v>
      </c>
    </row>
    <row r="3035" spans="4:19" x14ac:dyDescent="0.25">
      <c r="D3035" t="s">
        <v>89</v>
      </c>
      <c r="E3035">
        <v>2015</v>
      </c>
      <c r="F3035" t="s">
        <v>33</v>
      </c>
      <c r="S3035">
        <v>0.89823500898177977</v>
      </c>
    </row>
    <row r="3036" spans="4:19" x14ac:dyDescent="0.25">
      <c r="D3036" t="s">
        <v>89</v>
      </c>
      <c r="E3036">
        <v>2013</v>
      </c>
      <c r="F3036" t="s">
        <v>34</v>
      </c>
      <c r="G3036">
        <v>0.87982967986122063</v>
      </c>
      <c r="H3036">
        <v>0.84760383386581473</v>
      </c>
      <c r="I3036">
        <v>0.91340388007054674</v>
      </c>
      <c r="J3036">
        <v>0.90649902603152122</v>
      </c>
      <c r="K3036">
        <v>0.92284360189573456</v>
      </c>
      <c r="L3036">
        <v>0.94103585657370514</v>
      </c>
      <c r="M3036">
        <v>0.94702665755297333</v>
      </c>
      <c r="N3036">
        <v>0.8612727272727273</v>
      </c>
      <c r="O3036">
        <v>0.91995281429052911</v>
      </c>
      <c r="P3036">
        <v>0.95905245346869716</v>
      </c>
      <c r="Q3036">
        <v>0.9427061310782241</v>
      </c>
      <c r="R3036">
        <v>0.94783789024626719</v>
      </c>
    </row>
    <row r="3037" spans="4:19" x14ac:dyDescent="0.25">
      <c r="D3037" t="s">
        <v>89</v>
      </c>
      <c r="E3037">
        <v>2014</v>
      </c>
      <c r="F3037" t="s">
        <v>34</v>
      </c>
      <c r="G3037">
        <v>0.90297149787750153</v>
      </c>
      <c r="H3037">
        <v>0.83786331500392774</v>
      </c>
      <c r="I3037">
        <v>0.90285145888594165</v>
      </c>
      <c r="J3037">
        <v>0.93087988044087433</v>
      </c>
      <c r="K3037">
        <v>0.90636929877436212</v>
      </c>
      <c r="L3037">
        <v>0.88586446405106067</v>
      </c>
      <c r="M3037">
        <v>0.934597776324395</v>
      </c>
      <c r="N3037">
        <v>0.94726027397260271</v>
      </c>
      <c r="O3037">
        <v>0.88911936639637945</v>
      </c>
      <c r="P3037">
        <v>0.94820636839983874</v>
      </c>
      <c r="Q3037">
        <v>0.92966636609558162</v>
      </c>
      <c r="R3037">
        <v>0.94811715481171543</v>
      </c>
    </row>
    <row r="3038" spans="4:19" x14ac:dyDescent="0.25">
      <c r="D3038" t="s">
        <v>89</v>
      </c>
      <c r="E3038">
        <v>2015</v>
      </c>
      <c r="F3038" t="s">
        <v>34</v>
      </c>
      <c r="G3038">
        <v>0.91284653016850881</v>
      </c>
      <c r="H3038">
        <v>0.89535524141729395</v>
      </c>
      <c r="I3038">
        <v>0.93133444382750319</v>
      </c>
      <c r="J3038">
        <v>0.91287215411558664</v>
      </c>
      <c r="K3038">
        <v>0.91532467532467532</v>
      </c>
      <c r="L3038">
        <v>0.92958034800409417</v>
      </c>
      <c r="M3038">
        <v>0.80014817558807183</v>
      </c>
    </row>
    <row r="3039" spans="4:19" x14ac:dyDescent="0.25">
      <c r="D3039" t="s">
        <v>90</v>
      </c>
      <c r="E3039">
        <v>2013</v>
      </c>
      <c r="F3039" t="s">
        <v>17</v>
      </c>
      <c r="S3039">
        <v>0.90373966359358071</v>
      </c>
    </row>
    <row r="3040" spans="4:19" x14ac:dyDescent="0.25">
      <c r="D3040" t="s">
        <v>90</v>
      </c>
      <c r="E3040">
        <v>2014</v>
      </c>
      <c r="F3040" t="s">
        <v>17</v>
      </c>
      <c r="S3040">
        <v>0.90474418604651163</v>
      </c>
    </row>
    <row r="3041" spans="4:19" x14ac:dyDescent="0.25">
      <c r="D3041" t="s">
        <v>90</v>
      </c>
      <c r="E3041">
        <v>2015</v>
      </c>
      <c r="F3041" t="s">
        <v>17</v>
      </c>
      <c r="S3041">
        <v>0.8384506624308331</v>
      </c>
    </row>
    <row r="3042" spans="4:19" x14ac:dyDescent="0.25">
      <c r="D3042" t="s">
        <v>90</v>
      </c>
      <c r="E3042">
        <v>2013</v>
      </c>
      <c r="F3042" t="s">
        <v>18</v>
      </c>
      <c r="G3042">
        <v>0.8579719757897355</v>
      </c>
      <c r="H3042">
        <v>0.8925129725722758</v>
      </c>
      <c r="I3042">
        <v>0.90891225311977986</v>
      </c>
      <c r="J3042">
        <v>0.92751271232283894</v>
      </c>
      <c r="K3042">
        <v>0.9575725026852846</v>
      </c>
      <c r="L3042">
        <v>0.84107893507706677</v>
      </c>
      <c r="M3042">
        <v>0.96422628951747091</v>
      </c>
      <c r="N3042">
        <v>0.96178259719650883</v>
      </c>
      <c r="O3042">
        <v>0.89974450689831376</v>
      </c>
      <c r="P3042">
        <v>0.86100736852730397</v>
      </c>
      <c r="Q3042">
        <v>0.8408662900188324</v>
      </c>
      <c r="R3042">
        <v>0.84022756904112839</v>
      </c>
    </row>
    <row r="3043" spans="4:19" x14ac:dyDescent="0.25">
      <c r="D3043" t="s">
        <v>90</v>
      </c>
      <c r="E3043">
        <v>2014</v>
      </c>
      <c r="F3043" t="s">
        <v>18</v>
      </c>
      <c r="G3043">
        <v>0.84656237929702582</v>
      </c>
      <c r="H3043">
        <v>0.88461538461538458</v>
      </c>
      <c r="I3043">
        <v>0.88702640642939146</v>
      </c>
      <c r="J3043">
        <v>0.91647528103469111</v>
      </c>
      <c r="K3043">
        <v>0.97058040468583595</v>
      </c>
      <c r="L3043">
        <v>0.90433977242656782</v>
      </c>
      <c r="M3043">
        <v>0.94766425181114167</v>
      </c>
      <c r="N3043">
        <v>0.94324615799406852</v>
      </c>
      <c r="O3043">
        <v>0.7410573899371069</v>
      </c>
      <c r="P3043">
        <v>0.90464027245636436</v>
      </c>
      <c r="Q3043">
        <v>0.84687778201704189</v>
      </c>
      <c r="R3043">
        <v>0.80182752712735583</v>
      </c>
    </row>
    <row r="3044" spans="4:19" x14ac:dyDescent="0.25">
      <c r="D3044" t="s">
        <v>90</v>
      </c>
      <c r="E3044">
        <v>2015</v>
      </c>
      <c r="F3044" t="s">
        <v>18</v>
      </c>
      <c r="G3044">
        <v>0.83748278419324085</v>
      </c>
      <c r="H3044">
        <v>0.79761495241371405</v>
      </c>
      <c r="I3044">
        <v>0.80002289377289382</v>
      </c>
      <c r="J3044">
        <v>0.88061852968156207</v>
      </c>
      <c r="K3044">
        <v>0.81970149253731339</v>
      </c>
      <c r="L3044">
        <v>0.87152734129478315</v>
      </c>
      <c r="M3044">
        <v>0.86826199580609353</v>
      </c>
    </row>
    <row r="3045" spans="4:19" x14ac:dyDescent="0.25">
      <c r="D3045" t="s">
        <v>90</v>
      </c>
      <c r="E3045">
        <v>2013</v>
      </c>
      <c r="F3045" t="s">
        <v>19</v>
      </c>
      <c r="S3045">
        <v>0.71649509746590767</v>
      </c>
    </row>
    <row r="3046" spans="4:19" x14ac:dyDescent="0.25">
      <c r="D3046" t="s">
        <v>90</v>
      </c>
      <c r="E3046">
        <v>2014</v>
      </c>
      <c r="F3046" t="s">
        <v>19</v>
      </c>
      <c r="S3046">
        <v>0.99721988803610839</v>
      </c>
    </row>
    <row r="3047" spans="4:19" x14ac:dyDescent="0.25">
      <c r="D3047" t="s">
        <v>90</v>
      </c>
      <c r="E3047">
        <v>2015</v>
      </c>
      <c r="F3047" t="s">
        <v>19</v>
      </c>
      <c r="S3047">
        <v>0.97013030822067192</v>
      </c>
    </row>
    <row r="3048" spans="4:19" x14ac:dyDescent="0.25">
      <c r="D3048" t="s">
        <v>90</v>
      </c>
      <c r="E3048">
        <v>2013</v>
      </c>
      <c r="F3048" t="s">
        <v>20</v>
      </c>
      <c r="G3048">
        <v>0.53633278805986295</v>
      </c>
      <c r="H3048">
        <v>0.63143653110462405</v>
      </c>
      <c r="I3048">
        <v>0.55672647329976599</v>
      </c>
      <c r="J3048">
        <v>0.68229773564702545</v>
      </c>
      <c r="K3048">
        <v>0.75268453538513569</v>
      </c>
      <c r="L3048">
        <v>0.94719124763307383</v>
      </c>
      <c r="M3048">
        <v>0.96750826359096986</v>
      </c>
      <c r="N3048">
        <v>0.99079928281589125</v>
      </c>
      <c r="O3048">
        <v>0.99190151469434551</v>
      </c>
      <c r="P3048">
        <v>0.86366360828069533</v>
      </c>
      <c r="Q3048">
        <v>0.86049162728409678</v>
      </c>
      <c r="R3048">
        <v>0.98095996440239352</v>
      </c>
    </row>
    <row r="3049" spans="4:19" x14ac:dyDescent="0.25">
      <c r="D3049" t="s">
        <v>90</v>
      </c>
      <c r="E3049">
        <v>2014</v>
      </c>
      <c r="F3049" t="s">
        <v>20</v>
      </c>
      <c r="G3049">
        <v>0.99443599965583507</v>
      </c>
      <c r="H3049">
        <v>0.99578648642793699</v>
      </c>
      <c r="I3049">
        <v>0.99684461053017004</v>
      </c>
      <c r="J3049">
        <v>0.99868625924484233</v>
      </c>
      <c r="K3049">
        <v>0.99803956513990377</v>
      </c>
      <c r="L3049">
        <v>0.99901039725481633</v>
      </c>
      <c r="M3049">
        <v>0.99889144606041624</v>
      </c>
      <c r="N3049">
        <v>0.99797477676516611</v>
      </c>
      <c r="O3049">
        <v>0.9981858052470739</v>
      </c>
      <c r="P3049">
        <v>0.99692224439408805</v>
      </c>
      <c r="Q3049">
        <v>0.99495013693564605</v>
      </c>
      <c r="R3049">
        <v>0.99168943533697629</v>
      </c>
    </row>
    <row r="3050" spans="4:19" x14ac:dyDescent="0.25">
      <c r="D3050" t="s">
        <v>90</v>
      </c>
      <c r="E3050">
        <v>2015</v>
      </c>
      <c r="F3050" t="s">
        <v>20</v>
      </c>
      <c r="G3050">
        <v>0.94692730044858853</v>
      </c>
      <c r="H3050">
        <v>0.95859046249234692</v>
      </c>
      <c r="I3050">
        <v>0.99717064383773502</v>
      </c>
      <c r="J3050">
        <v>0.98960540802917119</v>
      </c>
      <c r="K3050">
        <v>0.98593859854698851</v>
      </c>
      <c r="L3050">
        <v>0.99508678581389864</v>
      </c>
      <c r="M3050">
        <v>0.92469830563569133</v>
      </c>
    </row>
    <row r="3051" spans="4:19" x14ac:dyDescent="0.25">
      <c r="D3051" t="s">
        <v>90</v>
      </c>
      <c r="E3051">
        <v>2013</v>
      </c>
      <c r="F3051" t="s">
        <v>21</v>
      </c>
      <c r="S3051">
        <v>0.96304873480230224</v>
      </c>
    </row>
    <row r="3052" spans="4:19" x14ac:dyDescent="0.25">
      <c r="D3052" t="s">
        <v>90</v>
      </c>
      <c r="E3052">
        <v>2014</v>
      </c>
      <c r="F3052" t="s">
        <v>21</v>
      </c>
      <c r="S3052">
        <v>0.99728904431253595</v>
      </c>
    </row>
    <row r="3053" spans="4:19" x14ac:dyDescent="0.25">
      <c r="D3053" t="s">
        <v>90</v>
      </c>
      <c r="E3053">
        <v>2015</v>
      </c>
      <c r="F3053" t="s">
        <v>21</v>
      </c>
      <c r="S3053">
        <v>0.99751370002029638</v>
      </c>
    </row>
    <row r="3054" spans="4:19" x14ac:dyDescent="0.25">
      <c r="D3054" t="s">
        <v>90</v>
      </c>
      <c r="E3054">
        <v>2013</v>
      </c>
      <c r="F3054" t="s">
        <v>22</v>
      </c>
      <c r="G3054">
        <v>0.86169510700480811</v>
      </c>
      <c r="H3054">
        <v>0.97919796602334452</v>
      </c>
      <c r="I3054">
        <v>0.99365342163355408</v>
      </c>
      <c r="J3054">
        <v>0.98227174876535395</v>
      </c>
      <c r="K3054">
        <v>0.97836143859125502</v>
      </c>
      <c r="L3054">
        <v>0.9821428571428571</v>
      </c>
      <c r="M3054">
        <v>0.99339449541284408</v>
      </c>
      <c r="N3054">
        <v>0.99723838642864193</v>
      </c>
      <c r="O3054">
        <v>0.99757612482957125</v>
      </c>
      <c r="P3054">
        <v>0.9936688205730696</v>
      </c>
      <c r="Q3054">
        <v>0.98205825242718447</v>
      </c>
      <c r="R3054">
        <v>0.99138916918937103</v>
      </c>
    </row>
    <row r="3055" spans="4:19" x14ac:dyDescent="0.25">
      <c r="D3055" t="s">
        <v>90</v>
      </c>
      <c r="E3055">
        <v>2014</v>
      </c>
      <c r="F3055" t="s">
        <v>22</v>
      </c>
      <c r="G3055">
        <v>0.99860139860139863</v>
      </c>
      <c r="H3055">
        <v>0.99825866708880795</v>
      </c>
      <c r="I3055">
        <v>0.99193125163998952</v>
      </c>
      <c r="J3055">
        <v>0.99774027257962006</v>
      </c>
      <c r="K3055">
        <v>0.99919696306030081</v>
      </c>
      <c r="L3055">
        <v>0.99771275337171705</v>
      </c>
      <c r="M3055">
        <v>0.99801074199323647</v>
      </c>
      <c r="N3055">
        <v>0.99916352990380597</v>
      </c>
      <c r="O3055">
        <v>0.99728150061166232</v>
      </c>
      <c r="P3055">
        <v>0.99917856691520279</v>
      </c>
      <c r="Q3055">
        <v>0.99650986342943859</v>
      </c>
      <c r="R3055">
        <v>0.99712503058478097</v>
      </c>
    </row>
    <row r="3056" spans="4:19" x14ac:dyDescent="0.25">
      <c r="D3056" t="s">
        <v>90</v>
      </c>
      <c r="E3056">
        <v>2015</v>
      </c>
      <c r="F3056" t="s">
        <v>22</v>
      </c>
      <c r="G3056">
        <v>0.99766512738027291</v>
      </c>
      <c r="H3056">
        <v>0.99830921141620454</v>
      </c>
      <c r="I3056">
        <v>0.99871070726915523</v>
      </c>
      <c r="J3056">
        <v>0.99446432565421605</v>
      </c>
      <c r="K3056">
        <v>0.9981218832977139</v>
      </c>
      <c r="L3056">
        <v>0.99706963916341074</v>
      </c>
      <c r="M3056">
        <v>0.99860237596086654</v>
      </c>
    </row>
    <row r="3057" spans="4:19" x14ac:dyDescent="0.25">
      <c r="D3057" t="s">
        <v>90</v>
      </c>
      <c r="E3057">
        <v>2013</v>
      </c>
      <c r="F3057" t="s">
        <v>23</v>
      </c>
      <c r="S3057">
        <v>209532</v>
      </c>
    </row>
    <row r="3058" spans="4:19" x14ac:dyDescent="0.25">
      <c r="D3058" t="s">
        <v>90</v>
      </c>
      <c r="E3058">
        <v>2014</v>
      </c>
      <c r="F3058" t="s">
        <v>23</v>
      </c>
      <c r="S3058">
        <v>196185</v>
      </c>
    </row>
    <row r="3059" spans="4:19" x14ac:dyDescent="0.25">
      <c r="D3059" t="s">
        <v>90</v>
      </c>
      <c r="E3059">
        <v>2015</v>
      </c>
      <c r="F3059" t="s">
        <v>23</v>
      </c>
      <c r="S3059">
        <v>142290</v>
      </c>
    </row>
    <row r="3060" spans="4:19" x14ac:dyDescent="0.25">
      <c r="D3060" t="s">
        <v>90</v>
      </c>
      <c r="E3060">
        <v>2013</v>
      </c>
      <c r="F3060" t="s">
        <v>24</v>
      </c>
      <c r="G3060">
        <v>36937</v>
      </c>
      <c r="H3060">
        <v>38189</v>
      </c>
      <c r="I3060">
        <v>30958</v>
      </c>
      <c r="J3060">
        <v>28261</v>
      </c>
      <c r="K3060">
        <v>26317</v>
      </c>
      <c r="L3060">
        <v>22556</v>
      </c>
      <c r="M3060">
        <v>26314</v>
      </c>
      <c r="N3060">
        <v>27009</v>
      </c>
      <c r="O3060">
        <v>28942</v>
      </c>
      <c r="P3060">
        <v>28901</v>
      </c>
      <c r="Q3060">
        <v>27265</v>
      </c>
      <c r="R3060">
        <v>26690</v>
      </c>
    </row>
    <row r="3061" spans="4:19" x14ac:dyDescent="0.25">
      <c r="D3061" t="s">
        <v>90</v>
      </c>
      <c r="E3061">
        <v>2014</v>
      </c>
      <c r="F3061" t="s">
        <v>24</v>
      </c>
      <c r="G3061">
        <v>33070</v>
      </c>
      <c r="H3061">
        <v>34059</v>
      </c>
      <c r="I3061">
        <v>27085</v>
      </c>
      <c r="J3061">
        <v>24639</v>
      </c>
      <c r="K3061">
        <v>22126</v>
      </c>
      <c r="L3061">
        <v>25861</v>
      </c>
      <c r="M3061">
        <v>29345</v>
      </c>
      <c r="N3061">
        <v>29106</v>
      </c>
      <c r="O3061">
        <v>41648</v>
      </c>
      <c r="P3061">
        <v>33787</v>
      </c>
      <c r="Q3061">
        <v>29423</v>
      </c>
      <c r="R3061">
        <v>29956</v>
      </c>
    </row>
    <row r="3062" spans="4:19" x14ac:dyDescent="0.25">
      <c r="D3062" t="s">
        <v>90</v>
      </c>
      <c r="E3062">
        <v>2015</v>
      </c>
      <c r="F3062" t="s">
        <v>24</v>
      </c>
      <c r="G3062">
        <v>31481</v>
      </c>
      <c r="I3062">
        <v>29671</v>
      </c>
      <c r="J3062">
        <v>25165</v>
      </c>
      <c r="L3062">
        <v>25833</v>
      </c>
      <c r="M3062">
        <v>30140</v>
      </c>
    </row>
    <row r="3063" spans="4:19" x14ac:dyDescent="0.25">
      <c r="D3063" t="s">
        <v>90</v>
      </c>
      <c r="E3063">
        <v>2013</v>
      </c>
      <c r="F3063" t="s">
        <v>25</v>
      </c>
      <c r="S3063">
        <v>544208</v>
      </c>
    </row>
    <row r="3064" spans="4:19" x14ac:dyDescent="0.25">
      <c r="D3064" t="s">
        <v>90</v>
      </c>
      <c r="E3064">
        <v>2014</v>
      </c>
      <c r="F3064" t="s">
        <v>25</v>
      </c>
      <c r="S3064">
        <v>552143</v>
      </c>
    </row>
    <row r="3065" spans="4:19" x14ac:dyDescent="0.25">
      <c r="D3065" t="s">
        <v>90</v>
      </c>
      <c r="E3065">
        <v>2015</v>
      </c>
      <c r="F3065" t="s">
        <v>25</v>
      </c>
      <c r="S3065">
        <v>249198</v>
      </c>
    </row>
    <row r="3066" spans="4:19" x14ac:dyDescent="0.25">
      <c r="D3066" t="s">
        <v>90</v>
      </c>
      <c r="E3066">
        <v>2013</v>
      </c>
      <c r="F3066" t="s">
        <v>26</v>
      </c>
      <c r="G3066">
        <v>98729</v>
      </c>
      <c r="H3066">
        <v>80114</v>
      </c>
      <c r="I3066">
        <v>74747</v>
      </c>
      <c r="J3066">
        <v>71977</v>
      </c>
      <c r="K3066">
        <v>65459</v>
      </c>
      <c r="L3066">
        <v>70983</v>
      </c>
      <c r="M3066">
        <v>82199</v>
      </c>
      <c r="N3066">
        <v>77106</v>
      </c>
      <c r="O3066">
        <v>104337</v>
      </c>
      <c r="P3066">
        <v>100015</v>
      </c>
      <c r="Q3066">
        <v>88591</v>
      </c>
      <c r="R3066">
        <v>103277</v>
      </c>
    </row>
    <row r="3067" spans="4:19" x14ac:dyDescent="0.25">
      <c r="D3067" t="s">
        <v>90</v>
      </c>
      <c r="E3067">
        <v>2014</v>
      </c>
      <c r="F3067" t="s">
        <v>26</v>
      </c>
      <c r="G3067">
        <v>102214</v>
      </c>
      <c r="H3067">
        <v>84126</v>
      </c>
      <c r="I3067">
        <v>74015</v>
      </c>
      <c r="J3067">
        <v>73010</v>
      </c>
      <c r="K3067">
        <v>66345</v>
      </c>
      <c r="L3067">
        <v>72989</v>
      </c>
      <c r="M3067">
        <v>79444</v>
      </c>
      <c r="N3067">
        <v>81561</v>
      </c>
      <c r="P3067">
        <v>101054</v>
      </c>
    </row>
    <row r="3068" spans="4:19" x14ac:dyDescent="0.25">
      <c r="D3068" t="s">
        <v>90</v>
      </c>
      <c r="E3068">
        <v>2015</v>
      </c>
      <c r="F3068" t="s">
        <v>26</v>
      </c>
      <c r="I3068">
        <v>87553</v>
      </c>
      <c r="J3068">
        <v>76035</v>
      </c>
      <c r="L3068">
        <v>85610</v>
      </c>
    </row>
    <row r="3069" spans="4:19" x14ac:dyDescent="0.25">
      <c r="D3069" t="s">
        <v>90</v>
      </c>
      <c r="E3069">
        <v>2013</v>
      </c>
      <c r="F3069" t="s">
        <v>27</v>
      </c>
      <c r="S3069">
        <v>825545</v>
      </c>
    </row>
    <row r="3070" spans="4:19" x14ac:dyDescent="0.25">
      <c r="D3070" t="s">
        <v>90</v>
      </c>
      <c r="E3070">
        <v>2014</v>
      </c>
      <c r="F3070" t="s">
        <v>27</v>
      </c>
      <c r="S3070">
        <v>823640</v>
      </c>
    </row>
    <row r="3071" spans="4:19" x14ac:dyDescent="0.25">
      <c r="D3071" t="s">
        <v>90</v>
      </c>
      <c r="E3071">
        <v>2015</v>
      </c>
      <c r="F3071" t="s">
        <v>27</v>
      </c>
      <c r="S3071">
        <v>873757</v>
      </c>
    </row>
    <row r="3072" spans="4:19" x14ac:dyDescent="0.25">
      <c r="D3072" t="s">
        <v>90</v>
      </c>
      <c r="E3072">
        <v>2013</v>
      </c>
      <c r="F3072" t="s">
        <v>28</v>
      </c>
      <c r="G3072">
        <v>142599</v>
      </c>
      <c r="H3072">
        <v>123058</v>
      </c>
      <c r="I3072">
        <v>116357</v>
      </c>
      <c r="J3072">
        <v>110096</v>
      </c>
      <c r="K3072">
        <v>100779</v>
      </c>
      <c r="L3072">
        <v>106601</v>
      </c>
      <c r="M3072">
        <v>126055</v>
      </c>
      <c r="N3072">
        <v>123625</v>
      </c>
      <c r="O3072">
        <v>163529</v>
      </c>
      <c r="P3072">
        <v>157127</v>
      </c>
      <c r="Q3072">
        <v>132784</v>
      </c>
      <c r="R3072">
        <v>149332</v>
      </c>
    </row>
    <row r="3073" spans="4:19" x14ac:dyDescent="0.25">
      <c r="D3073" t="s">
        <v>90</v>
      </c>
      <c r="E3073">
        <v>2014</v>
      </c>
      <c r="F3073" t="s">
        <v>28</v>
      </c>
      <c r="G3073">
        <v>149468</v>
      </c>
      <c r="H3073">
        <v>126832</v>
      </c>
      <c r="I3073">
        <v>113123</v>
      </c>
      <c r="J3073">
        <v>111892</v>
      </c>
      <c r="K3073">
        <v>97891</v>
      </c>
      <c r="L3073">
        <v>107214</v>
      </c>
      <c r="M3073">
        <v>117220</v>
      </c>
      <c r="N3073">
        <v>120422</v>
      </c>
      <c r="O3073">
        <v>153037</v>
      </c>
      <c r="P3073">
        <v>153535</v>
      </c>
      <c r="Q3073">
        <v>134215</v>
      </c>
      <c r="R3073">
        <v>153980</v>
      </c>
    </row>
    <row r="3074" spans="4:19" x14ac:dyDescent="0.25">
      <c r="D3074" t="s">
        <v>90</v>
      </c>
      <c r="E3074">
        <v>2015</v>
      </c>
      <c r="F3074" t="s">
        <v>28</v>
      </c>
      <c r="G3074">
        <v>148049</v>
      </c>
      <c r="H3074">
        <v>123105</v>
      </c>
      <c r="I3074">
        <v>133163</v>
      </c>
      <c r="J3074">
        <v>112608</v>
      </c>
      <c r="K3074">
        <v>102871</v>
      </c>
      <c r="L3074">
        <v>125890</v>
      </c>
      <c r="M3074">
        <v>128071</v>
      </c>
    </row>
    <row r="3075" spans="4:19" x14ac:dyDescent="0.25">
      <c r="D3075" t="s">
        <v>90</v>
      </c>
      <c r="E3075">
        <v>2013</v>
      </c>
      <c r="F3075" t="s">
        <v>29</v>
      </c>
      <c r="S3075">
        <v>67359</v>
      </c>
    </row>
    <row r="3076" spans="4:19" x14ac:dyDescent="0.25">
      <c r="D3076" t="s">
        <v>90</v>
      </c>
      <c r="E3076">
        <v>2014</v>
      </c>
      <c r="F3076" t="s">
        <v>29</v>
      </c>
      <c r="S3076">
        <v>59125</v>
      </c>
    </row>
    <row r="3077" spans="4:19" x14ac:dyDescent="0.25">
      <c r="D3077" t="s">
        <v>90</v>
      </c>
      <c r="E3077">
        <v>2015</v>
      </c>
      <c r="F3077" t="s">
        <v>29</v>
      </c>
      <c r="S3077">
        <v>57289</v>
      </c>
    </row>
    <row r="3078" spans="4:19" x14ac:dyDescent="0.25">
      <c r="D3078" t="s">
        <v>90</v>
      </c>
      <c r="E3078">
        <v>2013</v>
      </c>
      <c r="F3078" t="s">
        <v>30</v>
      </c>
      <c r="G3078">
        <v>12061</v>
      </c>
      <c r="H3078">
        <v>10792</v>
      </c>
      <c r="I3078">
        <v>10177</v>
      </c>
      <c r="J3078">
        <v>9243</v>
      </c>
      <c r="K3078">
        <v>9310</v>
      </c>
      <c r="L3078">
        <v>8564</v>
      </c>
      <c r="M3078">
        <v>7212</v>
      </c>
      <c r="N3078">
        <v>7562</v>
      </c>
      <c r="O3078">
        <v>9785</v>
      </c>
      <c r="P3078">
        <v>9907</v>
      </c>
      <c r="Q3078">
        <v>8496</v>
      </c>
      <c r="R3078">
        <v>8437</v>
      </c>
    </row>
    <row r="3079" spans="4:19" x14ac:dyDescent="0.25">
      <c r="D3079" t="s">
        <v>90</v>
      </c>
      <c r="E3079">
        <v>2014</v>
      </c>
      <c r="F3079" t="s">
        <v>30</v>
      </c>
      <c r="G3079">
        <v>10356</v>
      </c>
      <c r="H3079">
        <v>8710</v>
      </c>
      <c r="I3079">
        <v>8710</v>
      </c>
      <c r="J3079">
        <v>8273</v>
      </c>
      <c r="K3079">
        <v>7512</v>
      </c>
      <c r="L3079">
        <v>7558</v>
      </c>
      <c r="M3079">
        <v>8006</v>
      </c>
      <c r="N3079">
        <v>7418</v>
      </c>
      <c r="O3079">
        <v>10176</v>
      </c>
      <c r="P3079">
        <v>9396</v>
      </c>
      <c r="Q3079">
        <v>7863</v>
      </c>
      <c r="R3079">
        <v>8755</v>
      </c>
    </row>
    <row r="3080" spans="4:19" x14ac:dyDescent="0.25">
      <c r="D3080" t="s">
        <v>90</v>
      </c>
      <c r="E3080">
        <v>2015</v>
      </c>
      <c r="F3080" t="s">
        <v>30</v>
      </c>
      <c r="G3080">
        <v>9439</v>
      </c>
      <c r="H3080">
        <v>8721</v>
      </c>
      <c r="I3080">
        <v>8736</v>
      </c>
      <c r="J3080">
        <v>7631</v>
      </c>
      <c r="K3080">
        <v>6700</v>
      </c>
      <c r="L3080">
        <v>7955</v>
      </c>
      <c r="M3080">
        <v>8107</v>
      </c>
    </row>
    <row r="3081" spans="4:19" x14ac:dyDescent="0.25">
      <c r="D3081" t="s">
        <v>90</v>
      </c>
      <c r="E3081">
        <v>2013</v>
      </c>
      <c r="F3081" t="s">
        <v>31</v>
      </c>
      <c r="S3081">
        <v>0.87459672031002422</v>
      </c>
    </row>
    <row r="3082" spans="4:19" x14ac:dyDescent="0.25">
      <c r="D3082" t="s">
        <v>90</v>
      </c>
      <c r="E3082">
        <v>2014</v>
      </c>
      <c r="F3082" t="s">
        <v>31</v>
      </c>
      <c r="S3082">
        <v>0.91227158039605472</v>
      </c>
    </row>
    <row r="3083" spans="4:19" x14ac:dyDescent="0.25">
      <c r="D3083" t="s">
        <v>90</v>
      </c>
      <c r="E3083">
        <v>2015</v>
      </c>
      <c r="F3083" t="s">
        <v>31</v>
      </c>
      <c r="S3083">
        <v>0.88707784854555982</v>
      </c>
    </row>
    <row r="3084" spans="4:19" x14ac:dyDescent="0.25">
      <c r="D3084" t="s">
        <v>90</v>
      </c>
      <c r="E3084">
        <v>2013</v>
      </c>
      <c r="F3084" t="s">
        <v>32</v>
      </c>
      <c r="G3084">
        <v>0.85659365947423993</v>
      </c>
      <c r="H3084">
        <v>0.83893267694885965</v>
      </c>
      <c r="I3084">
        <v>0.87712384520963882</v>
      </c>
      <c r="J3084">
        <v>0.86812214712855174</v>
      </c>
      <c r="K3084">
        <v>0.88159744651746019</v>
      </c>
      <c r="L3084">
        <v>0.88380031920553292</v>
      </c>
      <c r="M3084">
        <v>0.9407159686858706</v>
      </c>
      <c r="N3084">
        <v>0.9023288533451812</v>
      </c>
      <c r="O3084">
        <v>0.94558081680602579</v>
      </c>
      <c r="P3084">
        <v>0.97404934085325767</v>
      </c>
      <c r="Q3084">
        <v>0.95844489271960387</v>
      </c>
      <c r="R3084">
        <v>0.96875234170101165</v>
      </c>
    </row>
    <row r="3085" spans="4:19" x14ac:dyDescent="0.25">
      <c r="D3085" t="s">
        <v>90</v>
      </c>
      <c r="E3085">
        <v>2014</v>
      </c>
      <c r="F3085" t="s">
        <v>32</v>
      </c>
      <c r="G3085">
        <v>0.9311460538252192</v>
      </c>
      <c r="H3085">
        <v>0.8955635808450042</v>
      </c>
      <c r="I3085">
        <v>0.93217648144729559</v>
      </c>
      <c r="J3085">
        <v>0.94464061041438374</v>
      </c>
      <c r="K3085">
        <v>0.93085058302449608</v>
      </c>
      <c r="L3085">
        <v>0.87173736514442601</v>
      </c>
      <c r="M3085">
        <v>0.88655648321690239</v>
      </c>
      <c r="N3085">
        <v>0.90689204974919257</v>
      </c>
      <c r="O3085">
        <v>0.89682577794852092</v>
      </c>
      <c r="P3085">
        <v>0.91911090064225887</v>
      </c>
      <c r="Q3085">
        <v>0.90667165142915407</v>
      </c>
      <c r="R3085">
        <v>0.92178528508479107</v>
      </c>
    </row>
    <row r="3086" spans="4:19" x14ac:dyDescent="0.25">
      <c r="D3086" t="s">
        <v>90</v>
      </c>
      <c r="E3086">
        <v>2015</v>
      </c>
      <c r="F3086" t="s">
        <v>32</v>
      </c>
      <c r="G3086">
        <v>0.9026079222388107</v>
      </c>
      <c r="H3086">
        <v>0.88484359883908414</v>
      </c>
      <c r="I3086">
        <v>0.89939671733342319</v>
      </c>
      <c r="J3086">
        <v>0.89370156964037351</v>
      </c>
      <c r="K3086">
        <v>0.90746077489593335</v>
      </c>
      <c r="L3086">
        <v>0.90341810862075644</v>
      </c>
      <c r="M3086">
        <v>0.82670869276708692</v>
      </c>
    </row>
    <row r="3087" spans="4:19" x14ac:dyDescent="0.25">
      <c r="D3087" t="s">
        <v>90</v>
      </c>
      <c r="E3087">
        <v>2013</v>
      </c>
      <c r="F3087" t="s">
        <v>33</v>
      </c>
      <c r="S3087">
        <v>0.9015819502074689</v>
      </c>
    </row>
    <row r="3088" spans="4:19" x14ac:dyDescent="0.25">
      <c r="D3088" t="s">
        <v>90</v>
      </c>
      <c r="E3088">
        <v>2014</v>
      </c>
      <c r="F3088" t="s">
        <v>33</v>
      </c>
      <c r="S3088">
        <v>0.89602301518544547</v>
      </c>
    </row>
    <row r="3089" spans="4:19" x14ac:dyDescent="0.25">
      <c r="D3089" t="s">
        <v>90</v>
      </c>
      <c r="E3089">
        <v>2015</v>
      </c>
      <c r="F3089" t="s">
        <v>33</v>
      </c>
      <c r="S3089">
        <v>0.88654781199351707</v>
      </c>
    </row>
    <row r="3090" spans="4:19" x14ac:dyDescent="0.25">
      <c r="D3090" t="s">
        <v>90</v>
      </c>
      <c r="E3090">
        <v>2013</v>
      </c>
      <c r="F3090" t="s">
        <v>34</v>
      </c>
      <c r="G3090">
        <v>0.87917322675709497</v>
      </c>
      <c r="H3090">
        <v>0.85470085470085466</v>
      </c>
      <c r="I3090">
        <v>0.91529839740438501</v>
      </c>
      <c r="J3090">
        <v>0.89837049742710118</v>
      </c>
      <c r="K3090">
        <v>0.92445791559804147</v>
      </c>
      <c r="L3090">
        <v>0.93813055388521416</v>
      </c>
      <c r="M3090">
        <v>0.93504419731964639</v>
      </c>
      <c r="N3090">
        <v>0.85402833111996457</v>
      </c>
      <c r="O3090">
        <v>0.92027334851936216</v>
      </c>
      <c r="P3090">
        <v>0.96083755417471672</v>
      </c>
      <c r="Q3090">
        <v>0.93360290670417256</v>
      </c>
      <c r="R3090">
        <v>0.95181418996995604</v>
      </c>
    </row>
    <row r="3091" spans="4:19" x14ac:dyDescent="0.25">
      <c r="D3091" t="s">
        <v>90</v>
      </c>
      <c r="E3091">
        <v>2014</v>
      </c>
      <c r="F3091" t="s">
        <v>34</v>
      </c>
      <c r="G3091">
        <v>0.89870545842786598</v>
      </c>
      <c r="H3091">
        <v>0.83994780417566595</v>
      </c>
      <c r="I3091">
        <v>0.89813120390395385</v>
      </c>
      <c r="J3091">
        <v>0.91831846218336433</v>
      </c>
      <c r="K3091">
        <v>0.89726027397260277</v>
      </c>
      <c r="L3091">
        <v>0.91013874066168621</v>
      </c>
      <c r="M3091">
        <v>0.93601488691669055</v>
      </c>
      <c r="N3091">
        <v>0.94534745004473608</v>
      </c>
      <c r="O3091">
        <v>0.87852054794520551</v>
      </c>
      <c r="P3091">
        <v>0.94926552277496601</v>
      </c>
      <c r="Q3091">
        <v>0.90329488153622983</v>
      </c>
      <c r="R3091">
        <v>0.93844888663967607</v>
      </c>
    </row>
    <row r="3092" spans="4:19" x14ac:dyDescent="0.25">
      <c r="D3092" t="s">
        <v>90</v>
      </c>
      <c r="E3092">
        <v>2015</v>
      </c>
      <c r="F3092" t="s">
        <v>34</v>
      </c>
      <c r="G3092">
        <v>0.90466042285906567</v>
      </c>
      <c r="I3092">
        <v>0.92368421052631577</v>
      </c>
      <c r="J3092">
        <v>0.90959561343385886</v>
      </c>
      <c r="L3092">
        <v>0.91796723848832706</v>
      </c>
      <c r="M3092">
        <v>0.78616949910554557</v>
      </c>
    </row>
    <row r="3093" spans="4:19" x14ac:dyDescent="0.25">
      <c r="D3093" t="s">
        <v>91</v>
      </c>
      <c r="E3093">
        <v>2013</v>
      </c>
      <c r="F3093" t="s">
        <v>17</v>
      </c>
      <c r="S3093">
        <v>0.8595128838686904</v>
      </c>
    </row>
    <row r="3094" spans="4:19" x14ac:dyDescent="0.25">
      <c r="D3094" t="s">
        <v>91</v>
      </c>
      <c r="E3094">
        <v>2014</v>
      </c>
      <c r="F3094" t="s">
        <v>17</v>
      </c>
      <c r="S3094">
        <v>0.85779065373472729</v>
      </c>
    </row>
    <row r="3095" spans="4:19" x14ac:dyDescent="0.25">
      <c r="D3095" t="s">
        <v>91</v>
      </c>
      <c r="E3095">
        <v>2015</v>
      </c>
      <c r="F3095" t="s">
        <v>17</v>
      </c>
      <c r="S3095">
        <v>0.86428661061613754</v>
      </c>
    </row>
    <row r="3096" spans="4:19" x14ac:dyDescent="0.25">
      <c r="D3096" t="s">
        <v>91</v>
      </c>
      <c r="E3096">
        <v>2013</v>
      </c>
      <c r="F3096" t="s">
        <v>18</v>
      </c>
      <c r="G3096">
        <v>0.70940531421341202</v>
      </c>
      <c r="H3096">
        <v>0.82110311750599518</v>
      </c>
      <c r="I3096">
        <v>0.89811912225705326</v>
      </c>
      <c r="J3096">
        <v>0.91137295081967218</v>
      </c>
      <c r="K3096">
        <v>0.89682539682539686</v>
      </c>
      <c r="L3096">
        <v>0.9303116147308782</v>
      </c>
      <c r="M3096">
        <v>0.88939670932358317</v>
      </c>
      <c r="N3096">
        <v>0.90530846484935434</v>
      </c>
      <c r="O3096">
        <v>0.8896551724137931</v>
      </c>
      <c r="P3096">
        <v>0.91212505280946343</v>
      </c>
      <c r="Q3096">
        <v>0.78622668579626975</v>
      </c>
      <c r="R3096">
        <v>0.85007139457401237</v>
      </c>
    </row>
    <row r="3097" spans="4:19" x14ac:dyDescent="0.25">
      <c r="D3097" t="s">
        <v>91</v>
      </c>
      <c r="E3097">
        <v>2014</v>
      </c>
      <c r="F3097" t="s">
        <v>18</v>
      </c>
      <c r="G3097">
        <v>0.75972006220839816</v>
      </c>
      <c r="H3097">
        <v>0.81968680089485457</v>
      </c>
      <c r="I3097">
        <v>0.89272388059701491</v>
      </c>
      <c r="J3097">
        <v>0.91437584497521407</v>
      </c>
      <c r="K3097">
        <v>0.89387144992526157</v>
      </c>
      <c r="L3097">
        <v>0.90761904761904766</v>
      </c>
      <c r="M3097">
        <v>0.84236831987697036</v>
      </c>
      <c r="N3097">
        <v>0.85375158965663411</v>
      </c>
      <c r="O3097">
        <v>0.84031227821149757</v>
      </c>
      <c r="P3097">
        <v>0.86725663716814161</v>
      </c>
      <c r="Q3097">
        <v>0.83694670280036132</v>
      </c>
      <c r="R3097">
        <v>0.87760949652067133</v>
      </c>
    </row>
    <row r="3098" spans="4:19" x14ac:dyDescent="0.25">
      <c r="D3098" t="s">
        <v>91</v>
      </c>
      <c r="E3098">
        <v>2015</v>
      </c>
      <c r="F3098" t="s">
        <v>18</v>
      </c>
      <c r="G3098">
        <v>0.82452601855586927</v>
      </c>
      <c r="H3098">
        <v>0.83186619718309862</v>
      </c>
      <c r="I3098">
        <v>0.87489643744821877</v>
      </c>
      <c r="J3098">
        <v>0.9145176695319962</v>
      </c>
      <c r="K3098">
        <v>0.84820031298904541</v>
      </c>
      <c r="L3098">
        <v>0.86615840745446848</v>
      </c>
      <c r="M3098">
        <v>0.89254477301124535</v>
      </c>
    </row>
    <row r="3099" spans="4:19" x14ac:dyDescent="0.25">
      <c r="D3099" t="s">
        <v>91</v>
      </c>
      <c r="E3099">
        <v>2013</v>
      </c>
      <c r="F3099" t="s">
        <v>19</v>
      </c>
      <c r="S3099">
        <v>0.82767212853326955</v>
      </c>
    </row>
    <row r="3100" spans="4:19" x14ac:dyDescent="0.25">
      <c r="D3100" t="s">
        <v>91</v>
      </c>
      <c r="E3100">
        <v>2014</v>
      </c>
      <c r="F3100" t="s">
        <v>19</v>
      </c>
      <c r="S3100">
        <v>0.90472629744527799</v>
      </c>
    </row>
    <row r="3101" spans="4:19" x14ac:dyDescent="0.25">
      <c r="D3101" t="s">
        <v>91</v>
      </c>
      <c r="E3101">
        <v>2015</v>
      </c>
      <c r="F3101" t="s">
        <v>19</v>
      </c>
      <c r="S3101">
        <v>0.89394217178139068</v>
      </c>
    </row>
    <row r="3102" spans="4:19" x14ac:dyDescent="0.25">
      <c r="D3102" t="s">
        <v>91</v>
      </c>
      <c r="E3102">
        <v>2013</v>
      </c>
      <c r="F3102" t="s">
        <v>20</v>
      </c>
      <c r="G3102">
        <v>0.69455515359617392</v>
      </c>
      <c r="H3102">
        <v>0.93915024795603808</v>
      </c>
      <c r="I3102">
        <v>0.8203125</v>
      </c>
      <c r="J3102">
        <v>0.77719866410282357</v>
      </c>
      <c r="K3102">
        <v>0.73940337484933705</v>
      </c>
      <c r="L3102">
        <v>0.98456394538868763</v>
      </c>
      <c r="M3102">
        <v>0.93320214277905322</v>
      </c>
      <c r="N3102">
        <v>0.69710369223966395</v>
      </c>
      <c r="O3102">
        <v>0.78310586499446699</v>
      </c>
      <c r="P3102">
        <v>0.93322762508809021</v>
      </c>
      <c r="Q3102">
        <v>0.77867451921329112</v>
      </c>
      <c r="R3102">
        <v>0.95361968924023521</v>
      </c>
    </row>
    <row r="3103" spans="4:19" x14ac:dyDescent="0.25">
      <c r="D3103" t="s">
        <v>91</v>
      </c>
      <c r="E3103">
        <v>2014</v>
      </c>
      <c r="F3103" t="s">
        <v>20</v>
      </c>
      <c r="G3103">
        <v>0.90155805287403534</v>
      </c>
      <c r="H3103">
        <v>0.97538928710144412</v>
      </c>
      <c r="I3103">
        <v>0.7920244627822226</v>
      </c>
      <c r="J3103">
        <v>0.91547749725576288</v>
      </c>
      <c r="K3103">
        <v>0.94533084472274065</v>
      </c>
      <c r="L3103">
        <v>0.93807907003510382</v>
      </c>
      <c r="M3103">
        <v>0.86737301671813438</v>
      </c>
      <c r="N3103">
        <v>0.74653871145099215</v>
      </c>
      <c r="O3103">
        <v>0.83715528803690009</v>
      </c>
      <c r="P3103">
        <v>0.95867626147283147</v>
      </c>
      <c r="Q3103">
        <v>0.88163598128835674</v>
      </c>
      <c r="R3103">
        <v>0.98709677419354835</v>
      </c>
    </row>
    <row r="3104" spans="4:19" x14ac:dyDescent="0.25">
      <c r="D3104" t="s">
        <v>91</v>
      </c>
      <c r="E3104">
        <v>2015</v>
      </c>
      <c r="F3104" t="s">
        <v>20</v>
      </c>
      <c r="G3104">
        <v>0.88394888849991249</v>
      </c>
      <c r="H3104">
        <v>0.88363973837723175</v>
      </c>
      <c r="I3104">
        <v>0.91373239436619713</v>
      </c>
      <c r="J3104">
        <v>0.8983278977066832</v>
      </c>
      <c r="K3104">
        <v>0.74630622232579813</v>
      </c>
      <c r="L3104">
        <v>0.95299114007468699</v>
      </c>
      <c r="M3104">
        <v>0.95821504613200847</v>
      </c>
    </row>
    <row r="3105" spans="4:19" x14ac:dyDescent="0.25">
      <c r="D3105" t="s">
        <v>91</v>
      </c>
      <c r="E3105">
        <v>2013</v>
      </c>
      <c r="F3105" t="s">
        <v>21</v>
      </c>
      <c r="S3105">
        <v>0.98749428092115299</v>
      </c>
    </row>
    <row r="3106" spans="4:19" x14ac:dyDescent="0.25">
      <c r="D3106" t="s">
        <v>91</v>
      </c>
      <c r="E3106">
        <v>2014</v>
      </c>
      <c r="F3106" t="s">
        <v>21</v>
      </c>
      <c r="S3106">
        <v>0.99409192050947592</v>
      </c>
    </row>
    <row r="3107" spans="4:19" x14ac:dyDescent="0.25">
      <c r="D3107" t="s">
        <v>91</v>
      </c>
      <c r="E3107">
        <v>2015</v>
      </c>
      <c r="F3107" t="s">
        <v>21</v>
      </c>
      <c r="S3107">
        <v>0.99586492074431432</v>
      </c>
    </row>
    <row r="3108" spans="4:19" x14ac:dyDescent="0.25">
      <c r="D3108" t="s">
        <v>91</v>
      </c>
      <c r="E3108">
        <v>2013</v>
      </c>
      <c r="F3108" t="s">
        <v>22</v>
      </c>
      <c r="G3108">
        <v>0.98584070796460177</v>
      </c>
      <c r="H3108">
        <v>0.9934826883910387</v>
      </c>
      <c r="I3108">
        <v>0.97752349816101347</v>
      </c>
      <c r="J3108">
        <v>0.9837763203313773</v>
      </c>
      <c r="K3108">
        <v>0.98230088495575218</v>
      </c>
      <c r="L3108">
        <v>0.99549549549549554</v>
      </c>
      <c r="M3108">
        <v>0.99245283018867925</v>
      </c>
      <c r="N3108">
        <v>0.9297965696051057</v>
      </c>
      <c r="O3108">
        <v>0.99185185185185187</v>
      </c>
      <c r="P3108">
        <v>0.9945811695642357</v>
      </c>
      <c r="Q3108">
        <v>0.98176367724206848</v>
      </c>
      <c r="R3108">
        <v>0.97268953462967012</v>
      </c>
    </row>
    <row r="3109" spans="4:19" x14ac:dyDescent="0.25">
      <c r="D3109" t="s">
        <v>91</v>
      </c>
      <c r="E3109">
        <v>2014</v>
      </c>
      <c r="F3109" t="s">
        <v>22</v>
      </c>
      <c r="G3109">
        <v>0.99799107142857146</v>
      </c>
      <c r="H3109">
        <v>0.9964120963608406</v>
      </c>
      <c r="I3109">
        <v>0.9839942666029623</v>
      </c>
      <c r="J3109">
        <v>0.99940262843488648</v>
      </c>
      <c r="K3109">
        <v>0.9945721583652618</v>
      </c>
      <c r="L3109">
        <v>0.99295567948341645</v>
      </c>
      <c r="M3109">
        <v>0.99418443644419829</v>
      </c>
      <c r="N3109">
        <v>0.94244855249389603</v>
      </c>
      <c r="O3109">
        <v>0.99664775657555438</v>
      </c>
      <c r="P3109">
        <v>0.99602543720190784</v>
      </c>
      <c r="Q3109">
        <v>0.99502096436058696</v>
      </c>
      <c r="R3109">
        <v>0.99887665693102679</v>
      </c>
    </row>
    <row r="3110" spans="4:19" x14ac:dyDescent="0.25">
      <c r="D3110" t="s">
        <v>91</v>
      </c>
      <c r="E3110">
        <v>2015</v>
      </c>
      <c r="F3110" t="s">
        <v>22</v>
      </c>
      <c r="G3110">
        <v>0.99493726612370681</v>
      </c>
      <c r="H3110">
        <v>0.99706510138740667</v>
      </c>
      <c r="I3110">
        <v>0.99876816949987679</v>
      </c>
      <c r="J3110">
        <v>0.99249329758713134</v>
      </c>
      <c r="K3110">
        <v>0.99223914918079903</v>
      </c>
      <c r="L3110">
        <v>0.99713261648745521</v>
      </c>
      <c r="M3110">
        <v>0.9979084967320262</v>
      </c>
    </row>
    <row r="3111" spans="4:19" x14ac:dyDescent="0.25">
      <c r="D3111" t="s">
        <v>91</v>
      </c>
      <c r="E3111">
        <v>2013</v>
      </c>
      <c r="F3111" t="s">
        <v>23</v>
      </c>
      <c r="S3111">
        <v>52014</v>
      </c>
    </row>
    <row r="3112" spans="4:19" x14ac:dyDescent="0.25">
      <c r="D3112" t="s">
        <v>91</v>
      </c>
      <c r="E3112">
        <v>2014</v>
      </c>
      <c r="F3112" t="s">
        <v>23</v>
      </c>
      <c r="S3112">
        <v>50634</v>
      </c>
    </row>
    <row r="3113" spans="4:19" x14ac:dyDescent="0.25">
      <c r="D3113" t="s">
        <v>91</v>
      </c>
      <c r="E3113">
        <v>2015</v>
      </c>
      <c r="F3113" t="s">
        <v>23</v>
      </c>
      <c r="S3113">
        <v>46196</v>
      </c>
    </row>
    <row r="3114" spans="4:19" x14ac:dyDescent="0.25">
      <c r="D3114" t="s">
        <v>91</v>
      </c>
      <c r="E3114">
        <v>2013</v>
      </c>
      <c r="F3114" t="s">
        <v>24</v>
      </c>
      <c r="G3114">
        <v>11648</v>
      </c>
      <c r="H3114">
        <v>9688</v>
      </c>
      <c r="I3114">
        <v>6381</v>
      </c>
      <c r="J3114">
        <v>6511</v>
      </c>
      <c r="K3114">
        <v>6172</v>
      </c>
      <c r="L3114">
        <v>5451</v>
      </c>
      <c r="M3114">
        <v>6163</v>
      </c>
      <c r="N3114">
        <v>6299</v>
      </c>
      <c r="O3114">
        <v>7540</v>
      </c>
      <c r="P3114">
        <v>7167</v>
      </c>
      <c r="Q3114">
        <v>6594</v>
      </c>
      <c r="R3114">
        <v>7001</v>
      </c>
    </row>
    <row r="3115" spans="4:19" x14ac:dyDescent="0.25">
      <c r="D3115" t="s">
        <v>91</v>
      </c>
      <c r="E3115">
        <v>2014</v>
      </c>
      <c r="F3115" t="s">
        <v>24</v>
      </c>
      <c r="G3115">
        <v>8454</v>
      </c>
      <c r="H3115">
        <v>7628</v>
      </c>
      <c r="I3115">
        <v>6894</v>
      </c>
      <c r="J3115">
        <v>6488</v>
      </c>
      <c r="K3115">
        <v>5605</v>
      </c>
      <c r="L3115">
        <v>7096</v>
      </c>
      <c r="M3115">
        <v>8469</v>
      </c>
      <c r="N3115">
        <v>7659</v>
      </c>
      <c r="O3115">
        <v>9340</v>
      </c>
      <c r="P3115">
        <v>7352</v>
      </c>
      <c r="Q3115">
        <v>6569</v>
      </c>
      <c r="R3115">
        <v>7351</v>
      </c>
    </row>
    <row r="3116" spans="4:19" x14ac:dyDescent="0.25">
      <c r="D3116" t="s">
        <v>91</v>
      </c>
      <c r="E3116">
        <v>2015</v>
      </c>
      <c r="F3116" t="s">
        <v>24</v>
      </c>
      <c r="G3116">
        <v>7407</v>
      </c>
      <c r="H3116">
        <v>6968</v>
      </c>
      <c r="I3116">
        <v>7057</v>
      </c>
      <c r="J3116">
        <v>5826</v>
      </c>
      <c r="K3116">
        <v>5440</v>
      </c>
      <c r="L3116">
        <v>6267</v>
      </c>
      <c r="M3116">
        <v>7231</v>
      </c>
    </row>
    <row r="3117" spans="4:19" x14ac:dyDescent="0.25">
      <c r="D3117" t="s">
        <v>91</v>
      </c>
      <c r="E3117">
        <v>2013</v>
      </c>
      <c r="F3117" t="s">
        <v>25</v>
      </c>
      <c r="S3117">
        <v>129435</v>
      </c>
    </row>
    <row r="3118" spans="4:19" x14ac:dyDescent="0.25">
      <c r="D3118" t="s">
        <v>91</v>
      </c>
      <c r="E3118">
        <v>2014</v>
      </c>
      <c r="F3118" t="s">
        <v>25</v>
      </c>
      <c r="S3118">
        <v>121412</v>
      </c>
    </row>
    <row r="3119" spans="4:19" x14ac:dyDescent="0.25">
      <c r="D3119" t="s">
        <v>91</v>
      </c>
      <c r="E3119">
        <v>2015</v>
      </c>
      <c r="F3119" t="s">
        <v>25</v>
      </c>
      <c r="S3119">
        <v>128369</v>
      </c>
    </row>
    <row r="3120" spans="4:19" x14ac:dyDescent="0.25">
      <c r="D3120" t="s">
        <v>91</v>
      </c>
      <c r="E3120">
        <v>2013</v>
      </c>
      <c r="F3120" t="s">
        <v>26</v>
      </c>
      <c r="G3120">
        <v>24617</v>
      </c>
      <c r="H3120">
        <v>18913</v>
      </c>
      <c r="I3120">
        <v>17512</v>
      </c>
      <c r="J3120">
        <v>18007</v>
      </c>
      <c r="K3120">
        <v>15982</v>
      </c>
      <c r="L3120">
        <v>15726</v>
      </c>
      <c r="M3120">
        <v>18678</v>
      </c>
      <c r="N3120">
        <v>15820</v>
      </c>
      <c r="O3120">
        <v>22371</v>
      </c>
      <c r="P3120">
        <v>22250</v>
      </c>
      <c r="Q3120">
        <v>18690</v>
      </c>
      <c r="R3120">
        <v>22826</v>
      </c>
    </row>
    <row r="3121" spans="4:19" x14ac:dyDescent="0.25">
      <c r="D3121" t="s">
        <v>91</v>
      </c>
      <c r="E3121">
        <v>2014</v>
      </c>
      <c r="F3121" t="s">
        <v>26</v>
      </c>
      <c r="G3121">
        <v>22424</v>
      </c>
      <c r="H3121">
        <v>18614</v>
      </c>
      <c r="I3121">
        <v>16660</v>
      </c>
      <c r="J3121">
        <v>16374</v>
      </c>
      <c r="K3121">
        <v>14790</v>
      </c>
      <c r="L3121">
        <v>15659</v>
      </c>
      <c r="M3121">
        <v>16891</v>
      </c>
      <c r="N3121">
        <v>17815</v>
      </c>
      <c r="O3121">
        <v>21792</v>
      </c>
      <c r="P3121">
        <v>19091</v>
      </c>
      <c r="Q3121">
        <v>19384</v>
      </c>
      <c r="R3121">
        <v>23644</v>
      </c>
    </row>
    <row r="3122" spans="4:19" x14ac:dyDescent="0.25">
      <c r="D3122" t="s">
        <v>91</v>
      </c>
      <c r="E3122">
        <v>2015</v>
      </c>
      <c r="F3122" t="s">
        <v>26</v>
      </c>
      <c r="G3122">
        <v>21741</v>
      </c>
      <c r="H3122">
        <v>17250</v>
      </c>
      <c r="I3122">
        <v>18516</v>
      </c>
      <c r="J3122">
        <v>17182</v>
      </c>
      <c r="K3122">
        <v>15811</v>
      </c>
      <c r="L3122">
        <v>19337</v>
      </c>
      <c r="M3122">
        <v>18532</v>
      </c>
    </row>
    <row r="3123" spans="4:19" x14ac:dyDescent="0.25">
      <c r="D3123" t="s">
        <v>91</v>
      </c>
      <c r="E3123">
        <v>2013</v>
      </c>
      <c r="F3123" t="s">
        <v>27</v>
      </c>
      <c r="S3123">
        <v>247603</v>
      </c>
    </row>
    <row r="3124" spans="4:19" x14ac:dyDescent="0.25">
      <c r="D3124" t="s">
        <v>91</v>
      </c>
      <c r="E3124">
        <v>2014</v>
      </c>
      <c r="F3124" t="s">
        <v>27</v>
      </c>
      <c r="S3124">
        <v>212485</v>
      </c>
    </row>
    <row r="3125" spans="4:19" x14ac:dyDescent="0.25">
      <c r="D3125" t="s">
        <v>91</v>
      </c>
      <c r="E3125">
        <v>2015</v>
      </c>
      <c r="F3125" t="s">
        <v>27</v>
      </c>
      <c r="S3125">
        <v>212361</v>
      </c>
    </row>
    <row r="3126" spans="4:19" x14ac:dyDescent="0.25">
      <c r="D3126" t="s">
        <v>91</v>
      </c>
      <c r="E3126">
        <v>2013</v>
      </c>
      <c r="F3126" t="s">
        <v>28</v>
      </c>
      <c r="G3126">
        <v>45009</v>
      </c>
      <c r="H3126">
        <v>37629</v>
      </c>
      <c r="I3126">
        <v>33724</v>
      </c>
      <c r="J3126">
        <v>35037</v>
      </c>
      <c r="K3126">
        <v>30141</v>
      </c>
      <c r="L3126">
        <v>30987</v>
      </c>
      <c r="M3126">
        <v>35076</v>
      </c>
      <c r="N3126">
        <v>29665</v>
      </c>
      <c r="O3126">
        <v>39936</v>
      </c>
      <c r="P3126">
        <v>41003</v>
      </c>
      <c r="Q3126">
        <v>35767</v>
      </c>
      <c r="R3126">
        <v>42654</v>
      </c>
    </row>
    <row r="3127" spans="4:19" x14ac:dyDescent="0.25">
      <c r="D3127" t="s">
        <v>91</v>
      </c>
      <c r="E3127">
        <v>2014</v>
      </c>
      <c r="F3127" t="s">
        <v>28</v>
      </c>
      <c r="G3127">
        <v>40958</v>
      </c>
      <c r="H3127">
        <v>36488</v>
      </c>
      <c r="I3127">
        <v>31400</v>
      </c>
      <c r="J3127">
        <v>27238</v>
      </c>
      <c r="K3127">
        <v>23922</v>
      </c>
      <c r="L3127">
        <v>25484</v>
      </c>
      <c r="M3127">
        <v>26995</v>
      </c>
      <c r="N3127">
        <v>28449</v>
      </c>
      <c r="O3127">
        <v>36462</v>
      </c>
      <c r="P3127">
        <v>32030</v>
      </c>
      <c r="Q3127">
        <v>31274</v>
      </c>
      <c r="R3127">
        <v>37675</v>
      </c>
    </row>
    <row r="3128" spans="4:19" x14ac:dyDescent="0.25">
      <c r="D3128" t="s">
        <v>91</v>
      </c>
      <c r="E3128">
        <v>2015</v>
      </c>
      <c r="F3128" t="s">
        <v>28</v>
      </c>
      <c r="G3128">
        <v>34510</v>
      </c>
      <c r="H3128">
        <v>29029</v>
      </c>
      <c r="I3128">
        <v>31933</v>
      </c>
      <c r="J3128">
        <v>28172</v>
      </c>
      <c r="K3128">
        <v>25714</v>
      </c>
      <c r="L3128">
        <v>32042</v>
      </c>
      <c r="M3128">
        <v>30961</v>
      </c>
    </row>
    <row r="3129" spans="4:19" x14ac:dyDescent="0.25">
      <c r="D3129" t="s">
        <v>91</v>
      </c>
      <c r="E3129">
        <v>2013</v>
      </c>
      <c r="F3129" t="s">
        <v>29</v>
      </c>
      <c r="S3129">
        <v>14165</v>
      </c>
    </row>
    <row r="3130" spans="4:19" x14ac:dyDescent="0.25">
      <c r="D3130" t="s">
        <v>91</v>
      </c>
      <c r="E3130">
        <v>2014</v>
      </c>
      <c r="F3130" t="s">
        <v>29</v>
      </c>
      <c r="S3130">
        <v>15878</v>
      </c>
    </row>
    <row r="3131" spans="4:19" x14ac:dyDescent="0.25">
      <c r="D3131" t="s">
        <v>91</v>
      </c>
      <c r="E3131">
        <v>2015</v>
      </c>
      <c r="F3131" t="s">
        <v>29</v>
      </c>
      <c r="S3131">
        <v>15938</v>
      </c>
    </row>
    <row r="3132" spans="4:19" x14ac:dyDescent="0.25">
      <c r="D3132" t="s">
        <v>91</v>
      </c>
      <c r="E3132">
        <v>2013</v>
      </c>
      <c r="F3132" t="s">
        <v>30</v>
      </c>
      <c r="G3132">
        <v>2371</v>
      </c>
      <c r="H3132">
        <v>2085</v>
      </c>
      <c r="I3132">
        <v>1914</v>
      </c>
      <c r="J3132">
        <v>1952</v>
      </c>
      <c r="K3132">
        <v>1890</v>
      </c>
      <c r="L3132">
        <v>1765</v>
      </c>
      <c r="M3132">
        <v>2188</v>
      </c>
      <c r="N3132">
        <v>2091</v>
      </c>
      <c r="O3132">
        <v>2320</v>
      </c>
      <c r="P3132">
        <v>2367</v>
      </c>
      <c r="Q3132">
        <v>2091</v>
      </c>
      <c r="R3132">
        <v>2101</v>
      </c>
    </row>
    <row r="3133" spans="4:19" x14ac:dyDescent="0.25">
      <c r="D3133" t="s">
        <v>91</v>
      </c>
      <c r="E3133">
        <v>2014</v>
      </c>
      <c r="F3133" t="s">
        <v>30</v>
      </c>
      <c r="G3133">
        <v>2572</v>
      </c>
      <c r="H3133">
        <v>2235</v>
      </c>
      <c r="I3133">
        <v>2144</v>
      </c>
      <c r="J3133">
        <v>2219</v>
      </c>
      <c r="K3133">
        <v>2007</v>
      </c>
      <c r="L3133">
        <v>2100</v>
      </c>
      <c r="M3133">
        <v>2601</v>
      </c>
      <c r="N3133">
        <v>2359</v>
      </c>
      <c r="O3133">
        <v>2818</v>
      </c>
      <c r="P3133">
        <v>2486</v>
      </c>
      <c r="Q3133">
        <v>2214</v>
      </c>
      <c r="R3133">
        <v>2443</v>
      </c>
    </row>
    <row r="3134" spans="4:19" x14ac:dyDescent="0.25">
      <c r="D3134" t="s">
        <v>91</v>
      </c>
      <c r="E3134">
        <v>2015</v>
      </c>
      <c r="F3134" t="s">
        <v>30</v>
      </c>
      <c r="G3134">
        <v>2479</v>
      </c>
      <c r="H3134">
        <v>2272</v>
      </c>
      <c r="I3134">
        <v>2414</v>
      </c>
      <c r="J3134">
        <v>2094</v>
      </c>
      <c r="K3134">
        <v>1917</v>
      </c>
      <c r="L3134">
        <v>2361</v>
      </c>
      <c r="M3134">
        <v>2401</v>
      </c>
    </row>
    <row r="3135" spans="4:19" x14ac:dyDescent="0.25">
      <c r="D3135" t="s">
        <v>91</v>
      </c>
      <c r="E3135">
        <v>2013</v>
      </c>
      <c r="F3135" t="s">
        <v>31</v>
      </c>
      <c r="S3135">
        <v>0.78748029376706274</v>
      </c>
    </row>
    <row r="3136" spans="4:19" x14ac:dyDescent="0.25">
      <c r="D3136" t="s">
        <v>91</v>
      </c>
      <c r="E3136">
        <v>2014</v>
      </c>
      <c r="F3136" t="s">
        <v>31</v>
      </c>
      <c r="S3136">
        <v>0.91324011533752025</v>
      </c>
    </row>
    <row r="3137" spans="4:19" x14ac:dyDescent="0.25">
      <c r="D3137" t="s">
        <v>91</v>
      </c>
      <c r="E3137">
        <v>2015</v>
      </c>
      <c r="F3137" t="s">
        <v>31</v>
      </c>
      <c r="S3137">
        <v>0.89198198978266519</v>
      </c>
    </row>
    <row r="3138" spans="4:19" x14ac:dyDescent="0.25">
      <c r="D3138" t="s">
        <v>91</v>
      </c>
      <c r="E3138">
        <v>2013</v>
      </c>
      <c r="F3138" t="s">
        <v>32</v>
      </c>
      <c r="G3138">
        <v>0.59701236263736268</v>
      </c>
      <c r="H3138">
        <v>0.6524566473988439</v>
      </c>
      <c r="I3138">
        <v>0.88904560413728251</v>
      </c>
      <c r="J3138">
        <v>0.89095377054215941</v>
      </c>
      <c r="K3138">
        <v>0.86843810758263129</v>
      </c>
      <c r="L3138">
        <v>0.90882406897816914</v>
      </c>
      <c r="M3138">
        <v>0.95683920168748982</v>
      </c>
      <c r="N3138">
        <v>0.92078107636132722</v>
      </c>
      <c r="O3138">
        <v>0.94721485411140582</v>
      </c>
      <c r="P3138">
        <v>0.95214176084833269</v>
      </c>
      <c r="Q3138">
        <v>0.90294206854716408</v>
      </c>
      <c r="R3138">
        <v>0.97128981574060846</v>
      </c>
    </row>
    <row r="3139" spans="4:19" x14ac:dyDescent="0.25">
      <c r="D3139" t="s">
        <v>91</v>
      </c>
      <c r="E3139">
        <v>2014</v>
      </c>
      <c r="F3139" t="s">
        <v>32</v>
      </c>
      <c r="G3139">
        <v>0.94535131298793473</v>
      </c>
      <c r="H3139">
        <v>0.95267435762978503</v>
      </c>
      <c r="I3139">
        <v>0.90992167101827681</v>
      </c>
      <c r="J3139">
        <v>0.89935265104808881</v>
      </c>
      <c r="K3139">
        <v>0.94076717216770744</v>
      </c>
      <c r="L3139">
        <v>0.88486471251409249</v>
      </c>
      <c r="M3139">
        <v>0.86456488369347029</v>
      </c>
      <c r="N3139">
        <v>0.89750620185402796</v>
      </c>
      <c r="O3139">
        <v>0.91723768736616706</v>
      </c>
      <c r="P3139">
        <v>0.91580522306855272</v>
      </c>
      <c r="Q3139">
        <v>0.92175369158167153</v>
      </c>
      <c r="R3139">
        <v>0.919602775132635</v>
      </c>
    </row>
    <row r="3140" spans="4:19" x14ac:dyDescent="0.25">
      <c r="D3140" t="s">
        <v>91</v>
      </c>
      <c r="E3140">
        <v>2015</v>
      </c>
      <c r="F3140" t="s">
        <v>32</v>
      </c>
      <c r="G3140">
        <v>0.90130957202646145</v>
      </c>
      <c r="H3140">
        <v>0.90398966704936856</v>
      </c>
      <c r="I3140">
        <v>0.86084738557460683</v>
      </c>
      <c r="J3140">
        <v>0.90696876072777211</v>
      </c>
      <c r="K3140">
        <v>0.89044117647058818</v>
      </c>
      <c r="L3140">
        <v>0.90250518589436735</v>
      </c>
      <c r="M3140">
        <v>0.8812059189600332</v>
      </c>
    </row>
    <row r="3141" spans="4:19" x14ac:dyDescent="0.25">
      <c r="D3141" t="s">
        <v>91</v>
      </c>
      <c r="E3141">
        <v>2013</v>
      </c>
      <c r="F3141" t="s">
        <v>33</v>
      </c>
      <c r="S3141">
        <v>0.77385897605503373</v>
      </c>
    </row>
    <row r="3142" spans="4:19" x14ac:dyDescent="0.25">
      <c r="D3142" t="s">
        <v>91</v>
      </c>
      <c r="E3142">
        <v>2014</v>
      </c>
      <c r="F3142" t="s">
        <v>33</v>
      </c>
      <c r="S3142">
        <v>0.90251939726191543</v>
      </c>
    </row>
    <row r="3143" spans="4:19" x14ac:dyDescent="0.25">
      <c r="D3143" t="s">
        <v>91</v>
      </c>
      <c r="E3143">
        <v>2015</v>
      </c>
      <c r="F3143" t="s">
        <v>33</v>
      </c>
      <c r="S3143">
        <v>0.90140023337222874</v>
      </c>
    </row>
    <row r="3144" spans="4:19" x14ac:dyDescent="0.25">
      <c r="D3144" t="s">
        <v>91</v>
      </c>
      <c r="E3144">
        <v>2013</v>
      </c>
      <c r="F3144" t="s">
        <v>34</v>
      </c>
      <c r="G3144">
        <v>0.51539614807980627</v>
      </c>
      <c r="H3144">
        <v>0.59873574275113373</v>
      </c>
      <c r="I3144">
        <v>0.93232075050256868</v>
      </c>
      <c r="J3144">
        <v>0.93188187109290799</v>
      </c>
      <c r="K3144">
        <v>0.90815370196813494</v>
      </c>
      <c r="L3144">
        <v>0.9451371571072319</v>
      </c>
      <c r="M3144">
        <v>0.95643386481024029</v>
      </c>
      <c r="N3144">
        <v>0.88449074074074074</v>
      </c>
      <c r="O3144">
        <v>0.92391512139170329</v>
      </c>
      <c r="P3144">
        <v>0.93288984543142239</v>
      </c>
      <c r="Q3144">
        <v>0.86165153480328582</v>
      </c>
      <c r="R3144">
        <v>0.9569777397260274</v>
      </c>
    </row>
    <row r="3145" spans="4:19" x14ac:dyDescent="0.25">
      <c r="D3145" t="s">
        <v>91</v>
      </c>
      <c r="E3145">
        <v>2014</v>
      </c>
      <c r="F3145" t="s">
        <v>34</v>
      </c>
      <c r="G3145">
        <v>0.92070030895983523</v>
      </c>
      <c r="H3145">
        <v>0.93065693430656937</v>
      </c>
      <c r="I3145">
        <v>0.87751479289940826</v>
      </c>
      <c r="J3145">
        <v>0.86229439055250945</v>
      </c>
      <c r="K3145">
        <v>0.91868723977467548</v>
      </c>
      <c r="L3145">
        <v>0.93866995073891624</v>
      </c>
      <c r="M3145">
        <v>0.86891215293582158</v>
      </c>
      <c r="N3145">
        <v>0.92151589242053789</v>
      </c>
      <c r="O3145">
        <v>0.91457047935453251</v>
      </c>
      <c r="P3145">
        <v>0.9285714285714286</v>
      </c>
      <c r="Q3145">
        <v>0.91633691351045787</v>
      </c>
      <c r="R3145">
        <v>0.92001009336361339</v>
      </c>
    </row>
    <row r="3146" spans="4:19" x14ac:dyDescent="0.25">
      <c r="D3146" t="s">
        <v>91</v>
      </c>
      <c r="E3146">
        <v>2015</v>
      </c>
      <c r="F3146" t="s">
        <v>34</v>
      </c>
      <c r="G3146">
        <v>0.90696147110332748</v>
      </c>
      <c r="H3146">
        <v>0.90725353694138788</v>
      </c>
      <c r="I3146">
        <v>0.87060599525555316</v>
      </c>
      <c r="J3146">
        <v>0.93596196868008952</v>
      </c>
      <c r="K3146">
        <v>0.89115044247787611</v>
      </c>
      <c r="L3146">
        <v>0.91594774463889572</v>
      </c>
      <c r="M3146">
        <v>0.88871438187121377</v>
      </c>
    </row>
    <row r="3147" spans="4:19" x14ac:dyDescent="0.25">
      <c r="D3147" t="s">
        <v>92</v>
      </c>
      <c r="E3147">
        <v>2013</v>
      </c>
      <c r="F3147" t="s">
        <v>17</v>
      </c>
      <c r="S3147">
        <v>0.93014882113594555</v>
      </c>
    </row>
    <row r="3148" spans="4:19" x14ac:dyDescent="0.25">
      <c r="D3148" t="s">
        <v>92</v>
      </c>
      <c r="E3148">
        <v>2014</v>
      </c>
      <c r="F3148" t="s">
        <v>17</v>
      </c>
      <c r="S3148">
        <v>0.93776789797806825</v>
      </c>
    </row>
    <row r="3149" spans="4:19" x14ac:dyDescent="0.25">
      <c r="D3149" t="s">
        <v>92</v>
      </c>
      <c r="E3149">
        <v>2015</v>
      </c>
      <c r="F3149" t="s">
        <v>17</v>
      </c>
      <c r="S3149">
        <v>0.87728307953378293</v>
      </c>
    </row>
    <row r="3150" spans="4:19" x14ac:dyDescent="0.25">
      <c r="D3150" t="s">
        <v>92</v>
      </c>
      <c r="E3150">
        <v>2013</v>
      </c>
      <c r="F3150" t="s">
        <v>18</v>
      </c>
      <c r="G3150">
        <v>0.90604079090767553</v>
      </c>
      <c r="H3150">
        <v>0.92336778421981347</v>
      </c>
      <c r="I3150">
        <v>0.93370011839264577</v>
      </c>
      <c r="J3150">
        <v>0.9403575383641829</v>
      </c>
      <c r="K3150">
        <v>0.91057924042217231</v>
      </c>
      <c r="L3150">
        <v>0.94149234591648634</v>
      </c>
      <c r="M3150">
        <v>0.95277757120547335</v>
      </c>
      <c r="N3150">
        <v>0.97387261738726172</v>
      </c>
      <c r="O3150">
        <v>0.93231400335633041</v>
      </c>
      <c r="P3150">
        <v>0.95666394112837283</v>
      </c>
      <c r="Q3150">
        <v>0.92797509551436252</v>
      </c>
      <c r="R3150">
        <v>0.95830079650163991</v>
      </c>
    </row>
    <row r="3151" spans="4:19" x14ac:dyDescent="0.25">
      <c r="D3151" t="s">
        <v>92</v>
      </c>
      <c r="E3151">
        <v>2014</v>
      </c>
      <c r="F3151" t="s">
        <v>18</v>
      </c>
      <c r="G3151">
        <v>0.90442054958183993</v>
      </c>
      <c r="H3151">
        <v>0.94014154375289372</v>
      </c>
      <c r="I3151">
        <v>0.9395152323771403</v>
      </c>
      <c r="J3151">
        <v>0.95549884360794324</v>
      </c>
      <c r="K3151">
        <v>0.94403892944038925</v>
      </c>
      <c r="L3151">
        <v>0.9384955054407822</v>
      </c>
      <c r="M3151">
        <v>0.95084918212412928</v>
      </c>
      <c r="N3151">
        <v>0.95084946661398662</v>
      </c>
      <c r="O3151">
        <v>0.8971573604060914</v>
      </c>
      <c r="P3151">
        <v>0.89938886373924853</v>
      </c>
      <c r="Q3151">
        <v>0.90423106156574617</v>
      </c>
      <c r="R3151">
        <v>0.88702049395691018</v>
      </c>
    </row>
    <row r="3152" spans="4:19" x14ac:dyDescent="0.25">
      <c r="D3152" t="s">
        <v>92</v>
      </c>
      <c r="E3152">
        <v>2015</v>
      </c>
      <c r="F3152" t="s">
        <v>18</v>
      </c>
      <c r="G3152">
        <v>0.83297362110311746</v>
      </c>
      <c r="H3152">
        <v>0.88211749515816651</v>
      </c>
      <c r="I3152">
        <v>0.883054892601432</v>
      </c>
      <c r="J3152">
        <v>0.90355707694597409</v>
      </c>
      <c r="K3152">
        <v>0.88681502751854513</v>
      </c>
      <c r="L3152">
        <v>0.86709401709401712</v>
      </c>
      <c r="M3152">
        <v>0.90333024976873266</v>
      </c>
    </row>
    <row r="3153" spans="4:19" x14ac:dyDescent="0.25">
      <c r="D3153" t="s">
        <v>92</v>
      </c>
      <c r="E3153">
        <v>2013</v>
      </c>
      <c r="F3153" t="s">
        <v>19</v>
      </c>
      <c r="S3153">
        <v>0.69808457057581585</v>
      </c>
    </row>
    <row r="3154" spans="4:19" x14ac:dyDescent="0.25">
      <c r="D3154" t="s">
        <v>92</v>
      </c>
      <c r="E3154">
        <v>2014</v>
      </c>
      <c r="F3154" t="s">
        <v>19</v>
      </c>
      <c r="S3154">
        <v>0.87654106470675708</v>
      </c>
    </row>
    <row r="3155" spans="4:19" x14ac:dyDescent="0.25">
      <c r="D3155" t="s">
        <v>92</v>
      </c>
      <c r="E3155">
        <v>2015</v>
      </c>
      <c r="F3155" t="s">
        <v>19</v>
      </c>
      <c r="S3155">
        <v>0.82784297465474643</v>
      </c>
    </row>
    <row r="3156" spans="4:19" x14ac:dyDescent="0.25">
      <c r="D3156" t="s">
        <v>92</v>
      </c>
      <c r="E3156">
        <v>2013</v>
      </c>
      <c r="F3156" t="s">
        <v>20</v>
      </c>
      <c r="G3156">
        <v>0.55445788254774508</v>
      </c>
      <c r="H3156">
        <v>0.56881277330409685</v>
      </c>
      <c r="I3156">
        <v>0.51161313331698732</v>
      </c>
      <c r="J3156">
        <v>0.63288834951456308</v>
      </c>
      <c r="K3156">
        <v>0.69759356199703104</v>
      </c>
      <c r="L3156">
        <v>0.98081595146083256</v>
      </c>
      <c r="M3156">
        <v>0.98128219390099392</v>
      </c>
      <c r="N3156">
        <v>0.97715754682335654</v>
      </c>
      <c r="O3156">
        <v>0.93326062973154622</v>
      </c>
      <c r="P3156">
        <v>0.7182872537592907</v>
      </c>
      <c r="Q3156">
        <v>0.63203051629584106</v>
      </c>
      <c r="R3156">
        <v>0.81402280818198269</v>
      </c>
    </row>
    <row r="3157" spans="4:19" x14ac:dyDescent="0.25">
      <c r="D3157" t="s">
        <v>92</v>
      </c>
      <c r="E3157">
        <v>2014</v>
      </c>
      <c r="F3157" t="s">
        <v>20</v>
      </c>
      <c r="G3157">
        <v>0.97705301065357653</v>
      </c>
      <c r="H3157">
        <v>0.92461575435745436</v>
      </c>
      <c r="I3157">
        <v>0.70805252820888054</v>
      </c>
      <c r="J3157">
        <v>0.73015140126704603</v>
      </c>
      <c r="K3157">
        <v>0.83313576634971875</v>
      </c>
      <c r="L3157">
        <v>0.97705863674851823</v>
      </c>
      <c r="M3157">
        <v>0.97470006634978301</v>
      </c>
      <c r="N3157">
        <v>0.92835602789770844</v>
      </c>
      <c r="O3157">
        <v>0.95070965106888583</v>
      </c>
      <c r="P3157">
        <v>0.98586149053438776</v>
      </c>
      <c r="Q3157">
        <v>0.96666744067245625</v>
      </c>
      <c r="R3157">
        <v>0.98882558720639679</v>
      </c>
    </row>
    <row r="3158" spans="4:19" x14ac:dyDescent="0.25">
      <c r="D3158" t="s">
        <v>92</v>
      </c>
      <c r="E3158">
        <v>2015</v>
      </c>
      <c r="F3158" t="s">
        <v>20</v>
      </c>
      <c r="G3158">
        <v>0.98860984924240258</v>
      </c>
      <c r="H3158">
        <v>0.94035386018087286</v>
      </c>
      <c r="I3158">
        <v>0.74969712103136066</v>
      </c>
      <c r="J3158">
        <v>0.79434516195836224</v>
      </c>
      <c r="K3158">
        <v>0.77122417397442511</v>
      </c>
      <c r="L3158">
        <v>0.73837988358946438</v>
      </c>
      <c r="M3158">
        <v>0.80653424685384345</v>
      </c>
    </row>
    <row r="3159" spans="4:19" x14ac:dyDescent="0.25">
      <c r="D3159" t="s">
        <v>92</v>
      </c>
      <c r="E3159">
        <v>2013</v>
      </c>
      <c r="F3159" t="s">
        <v>21</v>
      </c>
      <c r="S3159">
        <v>0.96450463292943689</v>
      </c>
    </row>
    <row r="3160" spans="4:19" x14ac:dyDescent="0.25">
      <c r="D3160" t="s">
        <v>92</v>
      </c>
      <c r="E3160">
        <v>2014</v>
      </c>
      <c r="F3160" t="s">
        <v>21</v>
      </c>
      <c r="S3160">
        <v>0.9313036981695928</v>
      </c>
    </row>
    <row r="3161" spans="4:19" x14ac:dyDescent="0.25">
      <c r="D3161" t="s">
        <v>92</v>
      </c>
      <c r="E3161">
        <v>2015</v>
      </c>
      <c r="F3161" t="s">
        <v>21</v>
      </c>
      <c r="S3161">
        <v>0.9731952381478739</v>
      </c>
    </row>
    <row r="3162" spans="4:19" x14ac:dyDescent="0.25">
      <c r="D3162" t="s">
        <v>92</v>
      </c>
      <c r="E3162">
        <v>2013</v>
      </c>
      <c r="F3162" t="s">
        <v>22</v>
      </c>
      <c r="G3162">
        <v>0.91013762705765944</v>
      </c>
      <c r="H3162">
        <v>0.93579219610929942</v>
      </c>
      <c r="I3162">
        <v>0.96320128694952745</v>
      </c>
      <c r="J3162">
        <v>0.98188813813813813</v>
      </c>
      <c r="K3162">
        <v>0.97680795155946532</v>
      </c>
      <c r="L3162">
        <v>0.98824251099069627</v>
      </c>
      <c r="M3162">
        <v>0.99609233006179576</v>
      </c>
      <c r="N3162">
        <v>0.98906189679577916</v>
      </c>
      <c r="O3162">
        <v>0.99089908990899089</v>
      </c>
      <c r="P3162">
        <v>0.98127214442382316</v>
      </c>
      <c r="Q3162">
        <v>0.92350081037277143</v>
      </c>
      <c r="R3162">
        <v>0.89196977957784873</v>
      </c>
    </row>
    <row r="3163" spans="4:19" x14ac:dyDescent="0.25">
      <c r="D3163" t="s">
        <v>92</v>
      </c>
      <c r="E3163">
        <v>2014</v>
      </c>
      <c r="F3163" t="s">
        <v>22</v>
      </c>
      <c r="G3163">
        <v>0.83179244606894576</v>
      </c>
      <c r="H3163">
        <v>0.97854158754272691</v>
      </c>
      <c r="I3163">
        <v>0.96086611044894721</v>
      </c>
      <c r="J3163">
        <v>0.87853247397124445</v>
      </c>
      <c r="K3163">
        <v>0.95964518958962863</v>
      </c>
      <c r="L3163">
        <v>0.95925557864305722</v>
      </c>
      <c r="M3163">
        <v>0.98255861117871335</v>
      </c>
      <c r="N3163">
        <v>0.97038129822968677</v>
      </c>
      <c r="O3163">
        <v>0.98533029612756262</v>
      </c>
      <c r="P3163">
        <v>0.9894804464787601</v>
      </c>
      <c r="Q3163">
        <v>0.98812561334641802</v>
      </c>
      <c r="R3163">
        <v>0.99519823502692883</v>
      </c>
    </row>
    <row r="3164" spans="4:19" x14ac:dyDescent="0.25">
      <c r="D3164" t="s">
        <v>92</v>
      </c>
      <c r="E3164">
        <v>2015</v>
      </c>
      <c r="F3164" t="s">
        <v>22</v>
      </c>
      <c r="G3164">
        <v>0.95118532512645504</v>
      </c>
      <c r="H3164">
        <v>0.96313678641522316</v>
      </c>
      <c r="I3164">
        <v>0.98220826792255367</v>
      </c>
      <c r="J3164">
        <v>0.97456976029502151</v>
      </c>
      <c r="K3164">
        <v>0.96671438797423048</v>
      </c>
      <c r="L3164">
        <v>0.99328020003125483</v>
      </c>
      <c r="M3164">
        <v>0.98622014364456323</v>
      </c>
    </row>
    <row r="3165" spans="4:19" x14ac:dyDescent="0.25">
      <c r="D3165" t="s">
        <v>92</v>
      </c>
      <c r="E3165">
        <v>2013</v>
      </c>
      <c r="F3165" t="s">
        <v>23</v>
      </c>
      <c r="S3165">
        <v>231304</v>
      </c>
    </row>
    <row r="3166" spans="4:19" x14ac:dyDescent="0.25">
      <c r="D3166" t="s">
        <v>92</v>
      </c>
      <c r="E3166">
        <v>2014</v>
      </c>
      <c r="F3166" t="s">
        <v>23</v>
      </c>
      <c r="S3166">
        <v>145843</v>
      </c>
    </row>
    <row r="3167" spans="4:19" x14ac:dyDescent="0.25">
      <c r="D3167" t="s">
        <v>92</v>
      </c>
      <c r="E3167">
        <v>2015</v>
      </c>
      <c r="F3167" t="s">
        <v>23</v>
      </c>
      <c r="S3167">
        <v>146205</v>
      </c>
    </row>
    <row r="3168" spans="4:19" x14ac:dyDescent="0.25">
      <c r="D3168" t="s">
        <v>92</v>
      </c>
      <c r="E3168">
        <v>2013</v>
      </c>
      <c r="F3168" t="s">
        <v>24</v>
      </c>
      <c r="G3168">
        <v>33461</v>
      </c>
      <c r="H3168">
        <v>38166</v>
      </c>
      <c r="I3168">
        <v>40477</v>
      </c>
      <c r="J3168">
        <v>34436</v>
      </c>
      <c r="K3168">
        <v>31056</v>
      </c>
      <c r="L3168">
        <v>26357</v>
      </c>
      <c r="M3168">
        <v>27351</v>
      </c>
      <c r="N3168">
        <v>19811</v>
      </c>
      <c r="O3168">
        <v>23633</v>
      </c>
      <c r="P3168">
        <v>21583</v>
      </c>
      <c r="Q3168">
        <v>21423</v>
      </c>
      <c r="R3168">
        <v>20031</v>
      </c>
    </row>
    <row r="3169" spans="4:19" x14ac:dyDescent="0.25">
      <c r="D3169" t="s">
        <v>92</v>
      </c>
      <c r="E3169">
        <v>2014</v>
      </c>
      <c r="F3169" t="s">
        <v>24</v>
      </c>
      <c r="G3169">
        <v>22381</v>
      </c>
      <c r="H3169">
        <v>23382</v>
      </c>
      <c r="I3169">
        <v>19842</v>
      </c>
      <c r="J3169">
        <v>18711</v>
      </c>
      <c r="K3169">
        <v>19356</v>
      </c>
      <c r="L3169">
        <v>20857</v>
      </c>
      <c r="M3169">
        <v>21314</v>
      </c>
      <c r="N3169">
        <v>20433</v>
      </c>
      <c r="O3169">
        <v>28092</v>
      </c>
      <c r="P3169">
        <v>23624</v>
      </c>
      <c r="Q3169">
        <v>19147</v>
      </c>
      <c r="R3169">
        <v>20582</v>
      </c>
    </row>
    <row r="3170" spans="4:19" x14ac:dyDescent="0.25">
      <c r="D3170" t="s">
        <v>92</v>
      </c>
      <c r="E3170">
        <v>2015</v>
      </c>
      <c r="F3170" t="s">
        <v>24</v>
      </c>
      <c r="G3170">
        <v>21492</v>
      </c>
      <c r="H3170">
        <v>22620</v>
      </c>
      <c r="I3170">
        <v>21830</v>
      </c>
      <c r="J3170">
        <v>18507</v>
      </c>
      <c r="K3170">
        <v>17580</v>
      </c>
      <c r="L3170">
        <v>21171</v>
      </c>
      <c r="M3170">
        <v>23005</v>
      </c>
    </row>
    <row r="3171" spans="4:19" x14ac:dyDescent="0.25">
      <c r="D3171" t="s">
        <v>92</v>
      </c>
      <c r="E3171">
        <v>2013</v>
      </c>
      <c r="F3171" t="s">
        <v>25</v>
      </c>
      <c r="S3171">
        <v>407320</v>
      </c>
    </row>
    <row r="3172" spans="4:19" x14ac:dyDescent="0.25">
      <c r="D3172" t="s">
        <v>92</v>
      </c>
      <c r="E3172">
        <v>2014</v>
      </c>
      <c r="F3172" t="s">
        <v>25</v>
      </c>
      <c r="S3172">
        <v>417468</v>
      </c>
    </row>
    <row r="3173" spans="4:19" x14ac:dyDescent="0.25">
      <c r="D3173" t="s">
        <v>92</v>
      </c>
      <c r="E3173">
        <v>2015</v>
      </c>
      <c r="F3173" t="s">
        <v>25</v>
      </c>
      <c r="S3173">
        <v>466496</v>
      </c>
    </row>
    <row r="3174" spans="4:19" x14ac:dyDescent="0.25">
      <c r="D3174" t="s">
        <v>92</v>
      </c>
      <c r="E3174">
        <v>2013</v>
      </c>
      <c r="F3174" t="s">
        <v>26</v>
      </c>
      <c r="G3174">
        <v>65585</v>
      </c>
      <c r="H3174">
        <v>59537</v>
      </c>
      <c r="I3174">
        <v>55454</v>
      </c>
      <c r="J3174">
        <v>58095</v>
      </c>
      <c r="K3174">
        <v>51423</v>
      </c>
      <c r="L3174">
        <v>55438</v>
      </c>
      <c r="M3174">
        <v>61788</v>
      </c>
      <c r="N3174">
        <v>59047</v>
      </c>
      <c r="O3174">
        <v>71461</v>
      </c>
      <c r="P3174">
        <v>75257</v>
      </c>
      <c r="Q3174">
        <v>67068</v>
      </c>
      <c r="R3174">
        <v>75094</v>
      </c>
    </row>
    <row r="3175" spans="4:19" x14ac:dyDescent="0.25">
      <c r="D3175" t="s">
        <v>92</v>
      </c>
      <c r="E3175">
        <v>2014</v>
      </c>
      <c r="F3175" t="s">
        <v>26</v>
      </c>
      <c r="G3175">
        <v>69936</v>
      </c>
      <c r="H3175">
        <v>63024</v>
      </c>
      <c r="I3175">
        <v>55897</v>
      </c>
      <c r="J3175">
        <v>57882</v>
      </c>
      <c r="K3175">
        <v>51755</v>
      </c>
      <c r="L3175">
        <v>55923</v>
      </c>
      <c r="M3175">
        <v>63051</v>
      </c>
      <c r="N3175">
        <v>60010</v>
      </c>
      <c r="O3175">
        <v>79545</v>
      </c>
      <c r="P3175">
        <v>78830</v>
      </c>
      <c r="Q3175">
        <v>78563</v>
      </c>
      <c r="R3175">
        <v>75641</v>
      </c>
    </row>
    <row r="3176" spans="4:19" x14ac:dyDescent="0.25">
      <c r="D3176" t="s">
        <v>92</v>
      </c>
      <c r="E3176">
        <v>2015</v>
      </c>
      <c r="F3176" t="s">
        <v>26</v>
      </c>
      <c r="G3176">
        <v>70944</v>
      </c>
      <c r="H3176">
        <v>63194</v>
      </c>
      <c r="I3176">
        <v>68513</v>
      </c>
      <c r="J3176">
        <v>65547</v>
      </c>
      <c r="K3176">
        <v>55007</v>
      </c>
      <c r="L3176">
        <v>69998</v>
      </c>
      <c r="M3176">
        <v>73293</v>
      </c>
    </row>
    <row r="3177" spans="4:19" x14ac:dyDescent="0.25">
      <c r="D3177" t="s">
        <v>92</v>
      </c>
      <c r="E3177">
        <v>2013</v>
      </c>
      <c r="F3177" t="s">
        <v>27</v>
      </c>
      <c r="S3177">
        <v>792746</v>
      </c>
    </row>
    <row r="3178" spans="4:19" x14ac:dyDescent="0.25">
      <c r="D3178" t="s">
        <v>92</v>
      </c>
      <c r="E3178">
        <v>2014</v>
      </c>
      <c r="F3178" t="s">
        <v>27</v>
      </c>
      <c r="S3178">
        <v>791948</v>
      </c>
    </row>
    <row r="3179" spans="4:19" x14ac:dyDescent="0.25">
      <c r="D3179" t="s">
        <v>92</v>
      </c>
      <c r="E3179">
        <v>2015</v>
      </c>
      <c r="F3179" t="s">
        <v>27</v>
      </c>
      <c r="S3179">
        <v>882278</v>
      </c>
    </row>
    <row r="3180" spans="4:19" x14ac:dyDescent="0.25">
      <c r="D3180" t="s">
        <v>92</v>
      </c>
      <c r="E3180">
        <v>2013</v>
      </c>
      <c r="F3180" t="s">
        <v>28</v>
      </c>
      <c r="G3180">
        <v>125323</v>
      </c>
      <c r="H3180">
        <v>121883</v>
      </c>
      <c r="I3180">
        <v>109122</v>
      </c>
      <c r="J3180">
        <v>113876</v>
      </c>
      <c r="K3180">
        <v>99636</v>
      </c>
      <c r="L3180">
        <v>107487</v>
      </c>
      <c r="M3180">
        <v>115419</v>
      </c>
      <c r="N3180">
        <v>108695</v>
      </c>
      <c r="O3180">
        <v>134585</v>
      </c>
      <c r="P3180">
        <v>142935</v>
      </c>
      <c r="Q3180">
        <v>124255</v>
      </c>
      <c r="R3180">
        <v>133437</v>
      </c>
    </row>
    <row r="3181" spans="4:19" x14ac:dyDescent="0.25">
      <c r="D3181" t="s">
        <v>92</v>
      </c>
      <c r="E3181">
        <v>2014</v>
      </c>
      <c r="F3181" t="s">
        <v>28</v>
      </c>
      <c r="G3181">
        <v>129894</v>
      </c>
      <c r="H3181">
        <v>122397</v>
      </c>
      <c r="I3181">
        <v>108534</v>
      </c>
      <c r="J3181">
        <v>111644</v>
      </c>
      <c r="K3181">
        <v>99695</v>
      </c>
      <c r="L3181">
        <v>104359</v>
      </c>
      <c r="M3181">
        <v>115425</v>
      </c>
      <c r="N3181">
        <v>103195</v>
      </c>
      <c r="O3181">
        <v>146304</v>
      </c>
      <c r="P3181">
        <v>148337</v>
      </c>
      <c r="Q3181">
        <v>137526</v>
      </c>
      <c r="R3181">
        <v>142451</v>
      </c>
    </row>
    <row r="3182" spans="4:19" x14ac:dyDescent="0.25">
      <c r="D3182" t="s">
        <v>92</v>
      </c>
      <c r="E3182">
        <v>2015</v>
      </c>
      <c r="F3182" t="s">
        <v>28</v>
      </c>
      <c r="G3182">
        <v>137933</v>
      </c>
      <c r="H3182">
        <v>124253</v>
      </c>
      <c r="I3182">
        <v>135928</v>
      </c>
      <c r="J3182">
        <v>120806</v>
      </c>
      <c r="K3182">
        <v>99461</v>
      </c>
      <c r="L3182">
        <v>129583</v>
      </c>
      <c r="M3182">
        <v>134314</v>
      </c>
    </row>
    <row r="3183" spans="4:19" x14ac:dyDescent="0.25">
      <c r="D3183" t="s">
        <v>92</v>
      </c>
      <c r="E3183">
        <v>2013</v>
      </c>
      <c r="F3183" t="s">
        <v>29</v>
      </c>
      <c r="S3183">
        <v>89705</v>
      </c>
    </row>
    <row r="3184" spans="4:19" x14ac:dyDescent="0.25">
      <c r="D3184" t="s">
        <v>92</v>
      </c>
      <c r="E3184">
        <v>2014</v>
      </c>
      <c r="F3184" t="s">
        <v>29</v>
      </c>
      <c r="S3184">
        <v>94019</v>
      </c>
    </row>
    <row r="3185" spans="4:19" x14ac:dyDescent="0.25">
      <c r="D3185" t="s">
        <v>92</v>
      </c>
      <c r="E3185">
        <v>2015</v>
      </c>
      <c r="F3185" t="s">
        <v>29</v>
      </c>
      <c r="S3185">
        <v>44786</v>
      </c>
    </row>
    <row r="3186" spans="4:19" x14ac:dyDescent="0.25">
      <c r="D3186" t="s">
        <v>92</v>
      </c>
      <c r="E3186">
        <v>2013</v>
      </c>
      <c r="F3186" t="s">
        <v>30</v>
      </c>
      <c r="G3186">
        <v>12846</v>
      </c>
      <c r="H3186">
        <v>11901</v>
      </c>
      <c r="I3186">
        <v>14359</v>
      </c>
      <c r="J3186">
        <v>12642</v>
      </c>
      <c r="K3186">
        <v>12033</v>
      </c>
      <c r="L3186">
        <v>12477</v>
      </c>
      <c r="M3186">
        <v>13447</v>
      </c>
      <c r="N3186">
        <v>10755</v>
      </c>
      <c r="O3186">
        <v>16089</v>
      </c>
      <c r="P3186">
        <v>14676</v>
      </c>
      <c r="Q3186">
        <v>14134</v>
      </c>
      <c r="R3186">
        <v>12806</v>
      </c>
    </row>
    <row r="3187" spans="4:19" x14ac:dyDescent="0.25">
      <c r="D3187" t="s">
        <v>92</v>
      </c>
      <c r="E3187">
        <v>2014</v>
      </c>
      <c r="F3187" t="s">
        <v>30</v>
      </c>
      <c r="G3187">
        <v>15903</v>
      </c>
      <c r="H3187">
        <v>15119</v>
      </c>
      <c r="I3187">
        <v>13491</v>
      </c>
      <c r="J3187">
        <v>12539</v>
      </c>
      <c r="K3187">
        <v>11508</v>
      </c>
      <c r="L3187">
        <v>12682</v>
      </c>
      <c r="M3187">
        <v>12777</v>
      </c>
      <c r="N3187">
        <v>12655</v>
      </c>
      <c r="O3187">
        <v>9850</v>
      </c>
      <c r="P3187">
        <v>8836</v>
      </c>
      <c r="Q3187">
        <v>7894</v>
      </c>
      <c r="R3187">
        <v>7612</v>
      </c>
    </row>
    <row r="3188" spans="4:19" x14ac:dyDescent="0.25">
      <c r="D3188" t="s">
        <v>92</v>
      </c>
      <c r="E3188">
        <v>2015</v>
      </c>
      <c r="F3188" t="s">
        <v>30</v>
      </c>
      <c r="G3188">
        <v>8340</v>
      </c>
      <c r="H3188">
        <v>7745</v>
      </c>
      <c r="I3188">
        <v>8799</v>
      </c>
      <c r="J3188">
        <v>6719</v>
      </c>
      <c r="K3188">
        <v>4179</v>
      </c>
      <c r="L3188">
        <v>4680</v>
      </c>
      <c r="M3188">
        <v>4324</v>
      </c>
    </row>
    <row r="3189" spans="4:19" x14ac:dyDescent="0.25">
      <c r="D3189" t="s">
        <v>92</v>
      </c>
      <c r="E3189">
        <v>2013</v>
      </c>
      <c r="F3189" t="s">
        <v>31</v>
      </c>
      <c r="S3189">
        <v>0.65663369418600626</v>
      </c>
    </row>
    <row r="3190" spans="4:19" x14ac:dyDescent="0.25">
      <c r="D3190" t="s">
        <v>92</v>
      </c>
      <c r="E3190">
        <v>2014</v>
      </c>
      <c r="F3190" t="s">
        <v>31</v>
      </c>
      <c r="S3190">
        <v>0.90465774840067747</v>
      </c>
    </row>
    <row r="3191" spans="4:19" x14ac:dyDescent="0.25">
      <c r="D3191" t="s">
        <v>92</v>
      </c>
      <c r="E3191">
        <v>2015</v>
      </c>
      <c r="F3191" t="s">
        <v>31</v>
      </c>
      <c r="S3191">
        <v>0.87071577579426152</v>
      </c>
    </row>
    <row r="3192" spans="4:19" x14ac:dyDescent="0.25">
      <c r="D3192" t="s">
        <v>92</v>
      </c>
      <c r="E3192">
        <v>2013</v>
      </c>
      <c r="F3192" t="s">
        <v>32</v>
      </c>
      <c r="G3192">
        <v>0.76671348734347444</v>
      </c>
      <c r="H3192">
        <v>0.72669391605093536</v>
      </c>
      <c r="I3192">
        <v>0.55399362600983271</v>
      </c>
      <c r="J3192">
        <v>0.60239284469740972</v>
      </c>
      <c r="K3192">
        <v>0.59888588356517258</v>
      </c>
      <c r="L3192">
        <v>0.60940167697385894</v>
      </c>
      <c r="M3192">
        <v>0.7554751197396804</v>
      </c>
      <c r="N3192">
        <v>0.88163141688960678</v>
      </c>
      <c r="O3192">
        <v>0.87204332924300765</v>
      </c>
      <c r="P3192">
        <v>0.93680211277394243</v>
      </c>
      <c r="Q3192">
        <v>0.9057554964290716</v>
      </c>
      <c r="R3192">
        <v>0.90844191503170091</v>
      </c>
    </row>
    <row r="3193" spans="4:19" x14ac:dyDescent="0.25">
      <c r="D3193" t="s">
        <v>92</v>
      </c>
      <c r="E3193">
        <v>2014</v>
      </c>
      <c r="F3193" t="s">
        <v>32</v>
      </c>
      <c r="G3193">
        <v>0.92002144676287922</v>
      </c>
      <c r="H3193">
        <v>0.96236421178684461</v>
      </c>
      <c r="I3193">
        <v>0.95509525249470817</v>
      </c>
      <c r="J3193">
        <v>0.95189995189995191</v>
      </c>
      <c r="K3193">
        <v>0.81230626162430253</v>
      </c>
      <c r="L3193">
        <v>0.84297837656422303</v>
      </c>
      <c r="M3193">
        <v>0.8810171718119546</v>
      </c>
      <c r="N3193">
        <v>0.89634414917045957</v>
      </c>
      <c r="O3193">
        <v>0.91734301580521149</v>
      </c>
      <c r="P3193">
        <v>0.91639857771757538</v>
      </c>
      <c r="Q3193">
        <v>0.90922859978064452</v>
      </c>
      <c r="R3193">
        <v>0.90958118744534056</v>
      </c>
    </row>
    <row r="3194" spans="4:19" x14ac:dyDescent="0.25">
      <c r="D3194" t="s">
        <v>92</v>
      </c>
      <c r="E3194">
        <v>2015</v>
      </c>
      <c r="F3194" t="s">
        <v>32</v>
      </c>
      <c r="G3194">
        <v>0.90103294249022892</v>
      </c>
      <c r="H3194">
        <v>0.87670203359858534</v>
      </c>
      <c r="I3194">
        <v>0.86605588639486941</v>
      </c>
      <c r="J3194">
        <v>0.90068622683309019</v>
      </c>
      <c r="K3194">
        <v>0.87428896473265072</v>
      </c>
      <c r="L3194">
        <v>0.89306126304850975</v>
      </c>
      <c r="M3194">
        <v>0.79352314714192562</v>
      </c>
    </row>
    <row r="3195" spans="4:19" x14ac:dyDescent="0.25">
      <c r="D3195" t="s">
        <v>92</v>
      </c>
      <c r="E3195">
        <v>2013</v>
      </c>
      <c r="F3195" t="s">
        <v>33</v>
      </c>
      <c r="S3195">
        <v>0.59520077889387568</v>
      </c>
    </row>
    <row r="3196" spans="4:19" x14ac:dyDescent="0.25">
      <c r="D3196" t="s">
        <v>92</v>
      </c>
      <c r="E3196">
        <v>2014</v>
      </c>
      <c r="F3196" t="s">
        <v>33</v>
      </c>
      <c r="S3196">
        <v>0.88913655053018825</v>
      </c>
    </row>
    <row r="3197" spans="4:19" x14ac:dyDescent="0.25">
      <c r="D3197" t="s">
        <v>92</v>
      </c>
      <c r="E3197">
        <v>2015</v>
      </c>
      <c r="F3197" t="s">
        <v>33</v>
      </c>
      <c r="S3197">
        <v>0.87757635401872081</v>
      </c>
    </row>
    <row r="3198" spans="4:19" x14ac:dyDescent="0.25">
      <c r="D3198" t="s">
        <v>92</v>
      </c>
      <c r="E3198">
        <v>2013</v>
      </c>
      <c r="F3198" t="s">
        <v>34</v>
      </c>
      <c r="G3198">
        <v>0.67329025309639201</v>
      </c>
      <c r="H3198">
        <v>0.68480375959173179</v>
      </c>
      <c r="I3198">
        <v>0.49129784593846448</v>
      </c>
      <c r="J3198">
        <v>0.55196140757638079</v>
      </c>
      <c r="K3198">
        <v>0.55083225564223437</v>
      </c>
      <c r="L3198">
        <v>0.57099029321530959</v>
      </c>
      <c r="M3198">
        <v>0.69592005045359728</v>
      </c>
      <c r="N3198">
        <v>0.82077346377254667</v>
      </c>
      <c r="O3198">
        <v>0.81305637982195844</v>
      </c>
      <c r="P3198">
        <v>0.90475525452133232</v>
      </c>
      <c r="Q3198">
        <v>0.84383943073710266</v>
      </c>
      <c r="R3198">
        <v>0.86356196994494872</v>
      </c>
    </row>
    <row r="3199" spans="4:19" x14ac:dyDescent="0.25">
      <c r="D3199" t="s">
        <v>92</v>
      </c>
      <c r="E3199">
        <v>2014</v>
      </c>
      <c r="F3199" t="s">
        <v>34</v>
      </c>
      <c r="G3199">
        <v>0.88493185908974026</v>
      </c>
      <c r="H3199">
        <v>0.9441163396202451</v>
      </c>
      <c r="I3199">
        <v>0.93538796229151555</v>
      </c>
      <c r="J3199">
        <v>0.92965452555885575</v>
      </c>
      <c r="K3199">
        <v>0.72792630869467534</v>
      </c>
      <c r="L3199">
        <v>0.85885167464114831</v>
      </c>
      <c r="M3199">
        <v>0.94006982156710628</v>
      </c>
      <c r="N3199">
        <v>0.95153250609820761</v>
      </c>
      <c r="O3199">
        <v>0.94918715791193531</v>
      </c>
      <c r="P3199">
        <v>0.96546688428829142</v>
      </c>
      <c r="Q3199">
        <v>0.93856112054329377</v>
      </c>
      <c r="R3199">
        <v>0.93776804452961038</v>
      </c>
    </row>
    <row r="3200" spans="4:19" x14ac:dyDescent="0.25">
      <c r="D3200" t="s">
        <v>92</v>
      </c>
      <c r="E3200">
        <v>2015</v>
      </c>
      <c r="F3200" t="s">
        <v>34</v>
      </c>
      <c r="G3200">
        <v>0.92669575565251883</v>
      </c>
      <c r="H3200">
        <v>0.87973384299568202</v>
      </c>
      <c r="I3200">
        <v>0.88412079179309344</v>
      </c>
      <c r="J3200">
        <v>0.93165404262814866</v>
      </c>
      <c r="K3200">
        <v>0.88151790684728148</v>
      </c>
      <c r="L3200">
        <v>0.90835937499999997</v>
      </c>
      <c r="M3200">
        <v>0.7488679652123913</v>
      </c>
    </row>
    <row r="3201" spans="4:19" x14ac:dyDescent="0.25">
      <c r="D3201" t="s">
        <v>93</v>
      </c>
      <c r="E3201">
        <v>2013</v>
      </c>
      <c r="F3201" t="s">
        <v>17</v>
      </c>
      <c r="S3201">
        <v>0.95974796917308891</v>
      </c>
    </row>
    <row r="3202" spans="4:19" x14ac:dyDescent="0.25">
      <c r="D3202" t="s">
        <v>93</v>
      </c>
      <c r="E3202">
        <v>2014</v>
      </c>
      <c r="F3202" t="s">
        <v>17</v>
      </c>
      <c r="S3202">
        <v>0.97327960833929261</v>
      </c>
    </row>
    <row r="3203" spans="4:19" x14ac:dyDescent="0.25">
      <c r="D3203" t="s">
        <v>93</v>
      </c>
      <c r="E3203">
        <v>2015</v>
      </c>
      <c r="F3203" t="s">
        <v>17</v>
      </c>
      <c r="S3203">
        <v>0.9673595014629327</v>
      </c>
    </row>
    <row r="3204" spans="4:19" x14ac:dyDescent="0.25">
      <c r="D3204" t="s">
        <v>93</v>
      </c>
      <c r="E3204">
        <v>2013</v>
      </c>
      <c r="F3204" t="s">
        <v>18</v>
      </c>
      <c r="G3204">
        <v>0.90045410025821382</v>
      </c>
      <c r="H3204">
        <v>0.96264663511010495</v>
      </c>
      <c r="I3204">
        <v>0.96316421666761998</v>
      </c>
      <c r="J3204">
        <v>0.97498220278653513</v>
      </c>
      <c r="K3204">
        <v>0.97401092534348621</v>
      </c>
      <c r="L3204">
        <v>0.97869243756185598</v>
      </c>
      <c r="M3204">
        <v>0.97629600119515958</v>
      </c>
      <c r="N3204">
        <v>0.97396543883583442</v>
      </c>
      <c r="O3204">
        <v>0.97385590455774074</v>
      </c>
      <c r="P3204">
        <v>0.97418885369403307</v>
      </c>
      <c r="Q3204">
        <v>0.96174659451390188</v>
      </c>
      <c r="R3204">
        <v>0.9752719580983078</v>
      </c>
    </row>
    <row r="3205" spans="4:19" x14ac:dyDescent="0.25">
      <c r="D3205" t="s">
        <v>93</v>
      </c>
      <c r="E3205">
        <v>2014</v>
      </c>
      <c r="F3205" t="s">
        <v>18</v>
      </c>
      <c r="G3205">
        <v>0.96615651625118337</v>
      </c>
      <c r="H3205">
        <v>0.97904101971855084</v>
      </c>
      <c r="I3205">
        <v>0.97488539939529895</v>
      </c>
      <c r="J3205">
        <v>0.97078393116213912</v>
      </c>
      <c r="K3205">
        <v>0.97066544914964048</v>
      </c>
      <c r="L3205">
        <v>0.97210037743547895</v>
      </c>
      <c r="M3205">
        <v>0.98018660236922106</v>
      </c>
      <c r="N3205">
        <v>0.97087214225232854</v>
      </c>
      <c r="O3205">
        <v>0.97396727074875489</v>
      </c>
      <c r="P3205">
        <v>0.97098253660257539</v>
      </c>
      <c r="Q3205">
        <v>0.97689802564624462</v>
      </c>
      <c r="R3205">
        <v>0.98085053469286243</v>
      </c>
    </row>
    <row r="3206" spans="4:19" x14ac:dyDescent="0.25">
      <c r="D3206" t="s">
        <v>93</v>
      </c>
      <c r="E3206">
        <v>2015</v>
      </c>
      <c r="F3206" t="s">
        <v>18</v>
      </c>
      <c r="G3206">
        <v>0.96447510683210624</v>
      </c>
      <c r="H3206">
        <v>0.96118180921377139</v>
      </c>
      <c r="I3206">
        <v>0.95840103997400061</v>
      </c>
      <c r="J3206">
        <v>0.96650663654334934</v>
      </c>
      <c r="K3206">
        <v>0.97309695016117037</v>
      </c>
      <c r="L3206">
        <v>0.97366488301332499</v>
      </c>
      <c r="M3206">
        <v>0.97747851002865327</v>
      </c>
    </row>
    <row r="3207" spans="4:19" x14ac:dyDescent="0.25">
      <c r="D3207" t="s">
        <v>93</v>
      </c>
      <c r="E3207">
        <v>2013</v>
      </c>
      <c r="F3207" t="s">
        <v>19</v>
      </c>
      <c r="S3207">
        <v>0.65166297289338682</v>
      </c>
    </row>
    <row r="3208" spans="4:19" x14ac:dyDescent="0.25">
      <c r="D3208" t="s">
        <v>93</v>
      </c>
      <c r="E3208">
        <v>2014</v>
      </c>
      <c r="F3208" t="s">
        <v>19</v>
      </c>
      <c r="S3208">
        <v>0.99162774896753836</v>
      </c>
    </row>
    <row r="3209" spans="4:19" x14ac:dyDescent="0.25">
      <c r="D3209" t="s">
        <v>93</v>
      </c>
      <c r="E3209">
        <v>2015</v>
      </c>
      <c r="F3209" t="s">
        <v>19</v>
      </c>
      <c r="S3209">
        <v>0.99094646137623676</v>
      </c>
    </row>
    <row r="3210" spans="4:19" x14ac:dyDescent="0.25">
      <c r="D3210" t="s">
        <v>93</v>
      </c>
      <c r="E3210">
        <v>2013</v>
      </c>
      <c r="F3210" t="s">
        <v>20</v>
      </c>
      <c r="G3210">
        <v>0.55586140505253345</v>
      </c>
      <c r="H3210">
        <v>0.5194524495677233</v>
      </c>
      <c r="I3210">
        <v>0.49592944369063774</v>
      </c>
      <c r="J3210">
        <v>0.5347694238209767</v>
      </c>
      <c r="K3210">
        <v>0.57986491777603755</v>
      </c>
      <c r="L3210">
        <v>0.95045993810178819</v>
      </c>
      <c r="M3210">
        <v>0.97862203547757598</v>
      </c>
      <c r="N3210">
        <v>0.97506222646895757</v>
      </c>
      <c r="O3210">
        <v>0.97210656699552345</v>
      </c>
      <c r="P3210">
        <v>0.9895198381063347</v>
      </c>
      <c r="Q3210">
        <v>0.99127590814455735</v>
      </c>
      <c r="R3210">
        <v>0.94570641571744829</v>
      </c>
    </row>
    <row r="3211" spans="4:19" x14ac:dyDescent="0.25">
      <c r="D3211" t="s">
        <v>93</v>
      </c>
      <c r="E3211">
        <v>2014</v>
      </c>
      <c r="F3211" t="s">
        <v>20</v>
      </c>
      <c r="G3211">
        <v>0.99379158324738615</v>
      </c>
      <c r="H3211">
        <v>0.99626033372384715</v>
      </c>
      <c r="I3211">
        <v>0.99080899651808396</v>
      </c>
      <c r="J3211">
        <v>0.9916499506479447</v>
      </c>
      <c r="K3211">
        <v>0.98509724677948973</v>
      </c>
      <c r="L3211">
        <v>0.99022859850651157</v>
      </c>
      <c r="M3211">
        <v>0.99103553715926462</v>
      </c>
      <c r="N3211">
        <v>0.99514387006348426</v>
      </c>
      <c r="O3211">
        <v>0.9930875737243845</v>
      </c>
      <c r="P3211">
        <v>0.98936673403320818</v>
      </c>
      <c r="Q3211">
        <v>0.98016464592314079</v>
      </c>
      <c r="R3211">
        <v>0.98720137703188549</v>
      </c>
    </row>
    <row r="3212" spans="4:19" x14ac:dyDescent="0.25">
      <c r="D3212" t="s">
        <v>93</v>
      </c>
      <c r="E3212">
        <v>2015</v>
      </c>
      <c r="F3212" t="s">
        <v>20</v>
      </c>
      <c r="G3212">
        <v>0.99421262341513894</v>
      </c>
      <c r="H3212">
        <v>0.9945828111946533</v>
      </c>
      <c r="I3212">
        <v>0.99432126096832585</v>
      </c>
      <c r="J3212">
        <v>0.98928398645379778</v>
      </c>
      <c r="K3212">
        <v>0.99006391162691498</v>
      </c>
      <c r="L3212">
        <v>0.98885374486246269</v>
      </c>
      <c r="M3212">
        <v>0.9838915428973094</v>
      </c>
    </row>
    <row r="3213" spans="4:19" x14ac:dyDescent="0.25">
      <c r="D3213" t="s">
        <v>93</v>
      </c>
      <c r="E3213">
        <v>2013</v>
      </c>
      <c r="F3213" t="s">
        <v>21</v>
      </c>
      <c r="S3213">
        <v>0.96588411467768032</v>
      </c>
    </row>
    <row r="3214" spans="4:19" x14ac:dyDescent="0.25">
      <c r="D3214" t="s">
        <v>93</v>
      </c>
      <c r="E3214">
        <v>2014</v>
      </c>
      <c r="F3214" t="s">
        <v>21</v>
      </c>
      <c r="S3214">
        <v>0.99846406767364138</v>
      </c>
    </row>
    <row r="3215" spans="4:19" x14ac:dyDescent="0.25">
      <c r="D3215" t="s">
        <v>93</v>
      </c>
      <c r="E3215">
        <v>2015</v>
      </c>
      <c r="F3215" t="s">
        <v>21</v>
      </c>
      <c r="S3215">
        <v>0.99745992088278157</v>
      </c>
    </row>
    <row r="3216" spans="4:19" x14ac:dyDescent="0.25">
      <c r="D3216" t="s">
        <v>93</v>
      </c>
      <c r="E3216">
        <v>2013</v>
      </c>
      <c r="F3216" t="s">
        <v>22</v>
      </c>
      <c r="G3216">
        <v>0.86580612179691996</v>
      </c>
      <c r="H3216">
        <v>0.98256277401355119</v>
      </c>
      <c r="I3216">
        <v>0.9773526370217166</v>
      </c>
      <c r="J3216">
        <v>0.98861970859556858</v>
      </c>
      <c r="K3216">
        <v>0.98998312948123157</v>
      </c>
      <c r="L3216">
        <v>0.99323770491803276</v>
      </c>
      <c r="M3216">
        <v>0.99771194605009639</v>
      </c>
      <c r="N3216">
        <v>0.99187990446946439</v>
      </c>
      <c r="O3216">
        <v>0.99520579981290924</v>
      </c>
      <c r="P3216">
        <v>0.99749323172565929</v>
      </c>
      <c r="Q3216">
        <v>0.99749633610161215</v>
      </c>
      <c r="R3216">
        <v>0.99352042184288136</v>
      </c>
    </row>
    <row r="3217" spans="4:19" x14ac:dyDescent="0.25">
      <c r="D3217" t="s">
        <v>93</v>
      </c>
      <c r="E3217">
        <v>2014</v>
      </c>
      <c r="F3217" t="s">
        <v>22</v>
      </c>
      <c r="G3217">
        <v>0.99901618817637061</v>
      </c>
      <c r="H3217">
        <v>0.99955337204108974</v>
      </c>
      <c r="I3217">
        <v>0.99867941471660238</v>
      </c>
      <c r="J3217">
        <v>0.99915988448411652</v>
      </c>
      <c r="K3217">
        <v>0.99593759199293497</v>
      </c>
      <c r="L3217">
        <v>0.99852321829021495</v>
      </c>
      <c r="M3217">
        <v>0.99819514329468384</v>
      </c>
      <c r="N3217">
        <v>0.99920286966919092</v>
      </c>
      <c r="O3217">
        <v>0.99800703399765534</v>
      </c>
      <c r="P3217">
        <v>0.99738285771805324</v>
      </c>
      <c r="Q3217">
        <v>0.99914394032041087</v>
      </c>
      <c r="R3217">
        <v>0.99903254518014006</v>
      </c>
    </row>
    <row r="3218" spans="4:19" x14ac:dyDescent="0.25">
      <c r="D3218" t="s">
        <v>93</v>
      </c>
      <c r="E3218">
        <v>2015</v>
      </c>
      <c r="F3218" t="s">
        <v>22</v>
      </c>
      <c r="G3218">
        <v>0.99906037115339441</v>
      </c>
      <c r="H3218">
        <v>0.99808011623080117</v>
      </c>
      <c r="I3218">
        <v>0.99256945430451038</v>
      </c>
      <c r="J3218">
        <v>0.99823686464157979</v>
      </c>
      <c r="K3218">
        <v>0.99786643908683592</v>
      </c>
      <c r="L3218">
        <v>0.99776204612925323</v>
      </c>
      <c r="M3218">
        <v>0.99872204472843451</v>
      </c>
    </row>
    <row r="3219" spans="4:19" x14ac:dyDescent="0.25">
      <c r="D3219" t="s">
        <v>93</v>
      </c>
      <c r="E3219">
        <v>2013</v>
      </c>
      <c r="F3219" t="s">
        <v>23</v>
      </c>
      <c r="S3219">
        <v>272936</v>
      </c>
    </row>
    <row r="3220" spans="4:19" x14ac:dyDescent="0.25">
      <c r="D3220" t="s">
        <v>93</v>
      </c>
      <c r="E3220">
        <v>2014</v>
      </c>
      <c r="F3220" t="s">
        <v>23</v>
      </c>
      <c r="S3220">
        <v>240604</v>
      </c>
    </row>
    <row r="3221" spans="4:19" x14ac:dyDescent="0.25">
      <c r="D3221" t="s">
        <v>93</v>
      </c>
      <c r="E3221">
        <v>2015</v>
      </c>
      <c r="F3221" t="s">
        <v>23</v>
      </c>
      <c r="S3221">
        <v>243047</v>
      </c>
    </row>
    <row r="3222" spans="4:19" x14ac:dyDescent="0.25">
      <c r="D3222" t="s">
        <v>93</v>
      </c>
      <c r="E3222">
        <v>2013</v>
      </c>
      <c r="F3222" t="s">
        <v>24</v>
      </c>
      <c r="G3222">
        <v>60407</v>
      </c>
      <c r="H3222">
        <v>48985</v>
      </c>
      <c r="I3222">
        <v>35237</v>
      </c>
      <c r="J3222">
        <v>33514</v>
      </c>
      <c r="K3222">
        <v>32949</v>
      </c>
      <c r="L3222">
        <v>28736</v>
      </c>
      <c r="M3222">
        <v>33108</v>
      </c>
      <c r="N3222">
        <v>34333</v>
      </c>
      <c r="O3222">
        <v>35873</v>
      </c>
      <c r="P3222">
        <v>34616</v>
      </c>
      <c r="Q3222">
        <v>31983</v>
      </c>
      <c r="R3222">
        <v>31553</v>
      </c>
    </row>
    <row r="3223" spans="4:19" x14ac:dyDescent="0.25">
      <c r="D3223" t="s">
        <v>93</v>
      </c>
      <c r="E3223">
        <v>2014</v>
      </c>
      <c r="F3223" t="s">
        <v>24</v>
      </c>
      <c r="G3223">
        <v>40714</v>
      </c>
      <c r="H3223">
        <v>37885</v>
      </c>
      <c r="I3223">
        <v>34269</v>
      </c>
      <c r="J3223">
        <v>30727</v>
      </c>
      <c r="K3223">
        <v>28785</v>
      </c>
      <c r="L3223">
        <v>31625</v>
      </c>
      <c r="M3223">
        <v>36599</v>
      </c>
      <c r="N3223">
        <v>34495</v>
      </c>
      <c r="O3223">
        <v>43612</v>
      </c>
      <c r="P3223">
        <v>37920</v>
      </c>
      <c r="Q3223">
        <v>32818</v>
      </c>
      <c r="R3223">
        <v>34628</v>
      </c>
    </row>
    <row r="3224" spans="4:19" x14ac:dyDescent="0.25">
      <c r="D3224" t="s">
        <v>93</v>
      </c>
      <c r="E3224">
        <v>2015</v>
      </c>
      <c r="F3224" t="s">
        <v>24</v>
      </c>
      <c r="G3224">
        <v>38486</v>
      </c>
      <c r="H3224">
        <v>37351</v>
      </c>
      <c r="I3224">
        <v>40128</v>
      </c>
      <c r="J3224">
        <v>31188</v>
      </c>
      <c r="K3224">
        <v>27783</v>
      </c>
      <c r="L3224">
        <v>33104</v>
      </c>
      <c r="M3224">
        <v>35007</v>
      </c>
    </row>
    <row r="3225" spans="4:19" x14ac:dyDescent="0.25">
      <c r="D3225" t="s">
        <v>93</v>
      </c>
      <c r="E3225">
        <v>2013</v>
      </c>
      <c r="F3225" t="s">
        <v>25</v>
      </c>
      <c r="S3225">
        <v>677095</v>
      </c>
    </row>
    <row r="3226" spans="4:19" x14ac:dyDescent="0.25">
      <c r="D3226" t="s">
        <v>93</v>
      </c>
      <c r="E3226">
        <v>2014</v>
      </c>
      <c r="F3226" t="s">
        <v>25</v>
      </c>
      <c r="S3226">
        <v>681907</v>
      </c>
    </row>
    <row r="3227" spans="4:19" x14ac:dyDescent="0.25">
      <c r="D3227" t="s">
        <v>93</v>
      </c>
      <c r="E3227">
        <v>2015</v>
      </c>
      <c r="F3227" t="s">
        <v>25</v>
      </c>
      <c r="S3227">
        <v>727524</v>
      </c>
    </row>
    <row r="3228" spans="4:19" x14ac:dyDescent="0.25">
      <c r="D3228" t="s">
        <v>93</v>
      </c>
      <c r="E3228">
        <v>2013</v>
      </c>
      <c r="F3228" t="s">
        <v>26</v>
      </c>
      <c r="G3228">
        <v>127118</v>
      </c>
      <c r="H3228">
        <v>97961</v>
      </c>
      <c r="I3228">
        <v>92611</v>
      </c>
      <c r="J3228">
        <v>90437</v>
      </c>
      <c r="K3228">
        <v>83165</v>
      </c>
      <c r="L3228">
        <v>87063</v>
      </c>
      <c r="M3228">
        <v>98740</v>
      </c>
      <c r="N3228">
        <v>81155</v>
      </c>
      <c r="O3228">
        <v>107417</v>
      </c>
      <c r="P3228">
        <v>119549</v>
      </c>
      <c r="Q3228">
        <v>114141</v>
      </c>
      <c r="R3228">
        <v>119814</v>
      </c>
    </row>
    <row r="3229" spans="4:19" x14ac:dyDescent="0.25">
      <c r="D3229" t="s">
        <v>93</v>
      </c>
      <c r="E3229">
        <v>2014</v>
      </c>
      <c r="F3229" t="s">
        <v>26</v>
      </c>
      <c r="G3229">
        <v>125681</v>
      </c>
      <c r="H3229">
        <v>108606</v>
      </c>
      <c r="I3229">
        <v>96250</v>
      </c>
      <c r="J3229">
        <v>91803</v>
      </c>
      <c r="K3229">
        <v>81699</v>
      </c>
      <c r="L3229">
        <v>84127</v>
      </c>
      <c r="M3229">
        <v>93741</v>
      </c>
      <c r="N3229">
        <v>95226</v>
      </c>
      <c r="O3229">
        <v>112603</v>
      </c>
      <c r="P3229">
        <v>115608</v>
      </c>
      <c r="Q3229">
        <v>109906</v>
      </c>
      <c r="R3229">
        <v>132145</v>
      </c>
    </row>
    <row r="3230" spans="4:19" x14ac:dyDescent="0.25">
      <c r="D3230" t="s">
        <v>93</v>
      </c>
      <c r="E3230">
        <v>2015</v>
      </c>
      <c r="F3230" t="s">
        <v>26</v>
      </c>
      <c r="G3230">
        <v>120002</v>
      </c>
      <c r="H3230">
        <v>100344</v>
      </c>
      <c r="I3230">
        <v>107273</v>
      </c>
      <c r="J3230">
        <v>92227</v>
      </c>
      <c r="K3230">
        <v>89375</v>
      </c>
      <c r="L3230">
        <v>109025</v>
      </c>
      <c r="M3230">
        <v>109278</v>
      </c>
    </row>
    <row r="3231" spans="4:19" x14ac:dyDescent="0.25">
      <c r="D3231" t="s">
        <v>93</v>
      </c>
      <c r="E3231">
        <v>2013</v>
      </c>
      <c r="F3231" t="s">
        <v>27</v>
      </c>
      <c r="S3231">
        <v>1246899</v>
      </c>
    </row>
    <row r="3232" spans="4:19" x14ac:dyDescent="0.25">
      <c r="D3232" t="s">
        <v>93</v>
      </c>
      <c r="E3232">
        <v>2014</v>
      </c>
      <c r="F3232" t="s">
        <v>27</v>
      </c>
      <c r="S3232">
        <v>1250989</v>
      </c>
    </row>
    <row r="3233" spans="4:19" x14ac:dyDescent="0.25">
      <c r="D3233" t="s">
        <v>93</v>
      </c>
      <c r="E3233">
        <v>2015</v>
      </c>
      <c r="F3233" t="s">
        <v>27</v>
      </c>
      <c r="S3233">
        <v>1330432</v>
      </c>
    </row>
    <row r="3234" spans="4:19" x14ac:dyDescent="0.25">
      <c r="D3234" t="s">
        <v>93</v>
      </c>
      <c r="E3234">
        <v>2013</v>
      </c>
      <c r="F3234" t="s">
        <v>28</v>
      </c>
      <c r="G3234">
        <v>232367</v>
      </c>
      <c r="H3234">
        <v>183908</v>
      </c>
      <c r="I3234">
        <v>171513</v>
      </c>
      <c r="J3234">
        <v>167958</v>
      </c>
      <c r="K3234">
        <v>153597</v>
      </c>
      <c r="L3234">
        <v>154035</v>
      </c>
      <c r="M3234">
        <v>183521</v>
      </c>
      <c r="N3234">
        <v>150030</v>
      </c>
      <c r="O3234">
        <v>184129</v>
      </c>
      <c r="P3234">
        <v>220047</v>
      </c>
      <c r="Q3234">
        <v>202745</v>
      </c>
      <c r="R3234">
        <v>223123</v>
      </c>
    </row>
    <row r="3235" spans="4:19" x14ac:dyDescent="0.25">
      <c r="D3235" t="s">
        <v>93</v>
      </c>
      <c r="E3235">
        <v>2014</v>
      </c>
      <c r="F3235" t="s">
        <v>28</v>
      </c>
      <c r="G3235">
        <v>227595</v>
      </c>
      <c r="H3235">
        <v>202865</v>
      </c>
      <c r="I3235">
        <v>177470</v>
      </c>
      <c r="J3235">
        <v>168605</v>
      </c>
      <c r="K3235">
        <v>149715</v>
      </c>
      <c r="L3235">
        <v>154274</v>
      </c>
      <c r="M3235">
        <v>170465</v>
      </c>
      <c r="N3235">
        <v>167154</v>
      </c>
      <c r="O3235">
        <v>201810</v>
      </c>
      <c r="P3235">
        <v>214247</v>
      </c>
      <c r="Q3235">
        <v>192684</v>
      </c>
      <c r="R3235">
        <v>238259</v>
      </c>
    </row>
    <row r="3236" spans="4:19" x14ac:dyDescent="0.25">
      <c r="D3236" t="s">
        <v>93</v>
      </c>
      <c r="E3236">
        <v>2015</v>
      </c>
      <c r="F3236" t="s">
        <v>28</v>
      </c>
      <c r="G3236">
        <v>216885</v>
      </c>
      <c r="H3236">
        <v>191633</v>
      </c>
      <c r="I3236">
        <v>206613</v>
      </c>
      <c r="J3236">
        <v>166667</v>
      </c>
      <c r="K3236">
        <v>158924</v>
      </c>
      <c r="L3236">
        <v>193557</v>
      </c>
      <c r="M3236">
        <v>196153</v>
      </c>
    </row>
    <row r="3237" spans="4:19" x14ac:dyDescent="0.25">
      <c r="D3237" t="s">
        <v>93</v>
      </c>
      <c r="E3237">
        <v>2013</v>
      </c>
      <c r="F3237" t="s">
        <v>29</v>
      </c>
      <c r="S3237">
        <v>134428</v>
      </c>
    </row>
    <row r="3238" spans="4:19" x14ac:dyDescent="0.25">
      <c r="D3238" t="s">
        <v>93</v>
      </c>
      <c r="E3238">
        <v>2014</v>
      </c>
      <c r="F3238" t="s">
        <v>29</v>
      </c>
      <c r="S3238">
        <v>145432</v>
      </c>
    </row>
    <row r="3239" spans="4:19" x14ac:dyDescent="0.25">
      <c r="D3239" t="s">
        <v>93</v>
      </c>
      <c r="E3239">
        <v>2015</v>
      </c>
      <c r="F3239" t="s">
        <v>29</v>
      </c>
      <c r="S3239">
        <v>131585</v>
      </c>
    </row>
    <row r="3240" spans="4:19" x14ac:dyDescent="0.25">
      <c r="D3240" t="s">
        <v>93</v>
      </c>
      <c r="E3240">
        <v>2013</v>
      </c>
      <c r="F3240" t="s">
        <v>30</v>
      </c>
      <c r="G3240">
        <v>22462</v>
      </c>
      <c r="H3240">
        <v>19436</v>
      </c>
      <c r="I3240">
        <v>17483</v>
      </c>
      <c r="J3240">
        <v>19666</v>
      </c>
      <c r="K3240">
        <v>18123</v>
      </c>
      <c r="L3240">
        <v>17177</v>
      </c>
      <c r="M3240">
        <v>20081</v>
      </c>
      <c r="N3240">
        <v>17592</v>
      </c>
      <c r="O3240">
        <v>21458</v>
      </c>
      <c r="P3240">
        <v>23362</v>
      </c>
      <c r="Q3240">
        <v>21436</v>
      </c>
      <c r="R3240">
        <v>19856</v>
      </c>
    </row>
    <row r="3241" spans="4:19" x14ac:dyDescent="0.25">
      <c r="D3241" t="s">
        <v>93</v>
      </c>
      <c r="E3241">
        <v>2014</v>
      </c>
      <c r="F3241" t="s">
        <v>30</v>
      </c>
      <c r="G3241">
        <v>25352</v>
      </c>
      <c r="H3241">
        <v>23379</v>
      </c>
      <c r="I3241">
        <v>20506</v>
      </c>
      <c r="J3241">
        <v>19989</v>
      </c>
      <c r="K3241">
        <v>17522</v>
      </c>
      <c r="L3241">
        <v>19606</v>
      </c>
      <c r="M3241">
        <v>19078</v>
      </c>
      <c r="N3241">
        <v>17715</v>
      </c>
      <c r="O3241">
        <v>23893</v>
      </c>
      <c r="P3241">
        <v>22676</v>
      </c>
      <c r="Q3241">
        <v>19652</v>
      </c>
      <c r="R3241">
        <v>20105</v>
      </c>
    </row>
    <row r="3242" spans="4:19" x14ac:dyDescent="0.25">
      <c r="D3242" t="s">
        <v>93</v>
      </c>
      <c r="E3242">
        <v>2015</v>
      </c>
      <c r="F3242" t="s">
        <v>30</v>
      </c>
      <c r="G3242">
        <v>19423</v>
      </c>
      <c r="H3242">
        <v>20274</v>
      </c>
      <c r="I3242">
        <v>21539</v>
      </c>
      <c r="J3242">
        <v>17705</v>
      </c>
      <c r="K3242">
        <v>16132</v>
      </c>
      <c r="L3242">
        <v>19062</v>
      </c>
      <c r="M3242">
        <v>17450</v>
      </c>
    </row>
    <row r="3243" spans="4:19" x14ac:dyDescent="0.25">
      <c r="D3243" t="s">
        <v>93</v>
      </c>
      <c r="E3243">
        <v>2013</v>
      </c>
      <c r="F3243" t="s">
        <v>31</v>
      </c>
      <c r="S3243">
        <v>0.79638450039569719</v>
      </c>
    </row>
    <row r="3244" spans="4:19" x14ac:dyDescent="0.25">
      <c r="D3244" t="s">
        <v>93</v>
      </c>
      <c r="E3244">
        <v>2014</v>
      </c>
      <c r="F3244" t="s">
        <v>31</v>
      </c>
      <c r="S3244">
        <v>0.92023823377832459</v>
      </c>
    </row>
    <row r="3245" spans="4:19" x14ac:dyDescent="0.25">
      <c r="D3245" t="s">
        <v>93</v>
      </c>
      <c r="E3245">
        <v>2015</v>
      </c>
      <c r="F3245" t="s">
        <v>31</v>
      </c>
      <c r="S3245">
        <v>0.89434965253634069</v>
      </c>
    </row>
    <row r="3246" spans="4:19" x14ac:dyDescent="0.25">
      <c r="D3246" t="s">
        <v>93</v>
      </c>
      <c r="E3246">
        <v>2013</v>
      </c>
      <c r="F3246" t="s">
        <v>32</v>
      </c>
      <c r="G3246">
        <v>0.604681576638469</v>
      </c>
      <c r="H3246">
        <v>0.70105134224762677</v>
      </c>
      <c r="I3246">
        <v>0.8859437523058149</v>
      </c>
      <c r="J3246">
        <v>0.88455570806230233</v>
      </c>
      <c r="K3246">
        <v>0.86576223861118695</v>
      </c>
      <c r="L3246">
        <v>0.88571826280623611</v>
      </c>
      <c r="M3246">
        <v>0.95605291772381296</v>
      </c>
      <c r="N3246">
        <v>0.92249439314944803</v>
      </c>
      <c r="O3246">
        <v>0.95358626264878876</v>
      </c>
      <c r="P3246">
        <v>0.95432747862260225</v>
      </c>
      <c r="Q3246">
        <v>0.91573648500766036</v>
      </c>
      <c r="R3246">
        <v>0.96932145913225365</v>
      </c>
    </row>
    <row r="3247" spans="4:19" x14ac:dyDescent="0.25">
      <c r="D3247" t="s">
        <v>93</v>
      </c>
      <c r="E3247">
        <v>2014</v>
      </c>
      <c r="F3247" t="s">
        <v>32</v>
      </c>
      <c r="G3247">
        <v>0.94655401090533964</v>
      </c>
      <c r="H3247">
        <v>0.94356605516695258</v>
      </c>
      <c r="I3247">
        <v>0.92538445825673354</v>
      </c>
      <c r="J3247">
        <v>0.91343118430045234</v>
      </c>
      <c r="K3247">
        <v>0.94740316136876845</v>
      </c>
      <c r="L3247">
        <v>0.89179446640316207</v>
      </c>
      <c r="M3247">
        <v>0.87092543512117815</v>
      </c>
      <c r="N3247">
        <v>0.89815915350050735</v>
      </c>
      <c r="O3247">
        <v>0.90839677153077136</v>
      </c>
      <c r="P3247">
        <v>0.91097046413502114</v>
      </c>
      <c r="Q3247">
        <v>0.91839843988055336</v>
      </c>
      <c r="R3247">
        <v>0.91267182626776022</v>
      </c>
    </row>
    <row r="3248" spans="4:19" x14ac:dyDescent="0.25">
      <c r="D3248" t="s">
        <v>93</v>
      </c>
      <c r="E3248">
        <v>2015</v>
      </c>
      <c r="F3248" t="s">
        <v>32</v>
      </c>
      <c r="G3248">
        <v>0.90726497947305518</v>
      </c>
      <c r="H3248">
        <v>0.89197076383497098</v>
      </c>
      <c r="I3248">
        <v>0.87916168261562999</v>
      </c>
      <c r="J3248">
        <v>0.90483519302295756</v>
      </c>
      <c r="K3248">
        <v>0.891156462585034</v>
      </c>
      <c r="L3248">
        <v>0.89841106814886418</v>
      </c>
      <c r="M3248">
        <v>0.88945068129231297</v>
      </c>
    </row>
    <row r="3249" spans="4:19" x14ac:dyDescent="0.25">
      <c r="D3249" t="s">
        <v>93</v>
      </c>
      <c r="E3249">
        <v>2013</v>
      </c>
      <c r="F3249" t="s">
        <v>33</v>
      </c>
      <c r="S3249">
        <v>0.78157792249940505</v>
      </c>
    </row>
    <row r="3250" spans="4:19" x14ac:dyDescent="0.25">
      <c r="D3250" t="s">
        <v>93</v>
      </c>
      <c r="E3250">
        <v>2014</v>
      </c>
      <c r="F3250" t="s">
        <v>33</v>
      </c>
      <c r="S3250">
        <v>0.90999634157110598</v>
      </c>
    </row>
    <row r="3251" spans="4:19" x14ac:dyDescent="0.25">
      <c r="D3251" t="s">
        <v>93</v>
      </c>
      <c r="E3251">
        <v>2015</v>
      </c>
      <c r="F3251" t="s">
        <v>33</v>
      </c>
      <c r="S3251">
        <v>0.90590642620750461</v>
      </c>
    </row>
    <row r="3252" spans="4:19" x14ac:dyDescent="0.25">
      <c r="D3252" t="s">
        <v>93</v>
      </c>
      <c r="E3252">
        <v>2013</v>
      </c>
      <c r="F3252" t="s">
        <v>34</v>
      </c>
      <c r="G3252">
        <v>0.51781752634498057</v>
      </c>
      <c r="H3252">
        <v>0.62878242074927959</v>
      </c>
      <c r="I3252">
        <v>0.93205708913768059</v>
      </c>
      <c r="J3252">
        <v>0.93251062290932107</v>
      </c>
      <c r="K3252">
        <v>0.90395998715183778</v>
      </c>
      <c r="L3252">
        <v>0.94426842569989089</v>
      </c>
      <c r="M3252">
        <v>0.95852131479605929</v>
      </c>
      <c r="N3252">
        <v>0.87687395891171571</v>
      </c>
      <c r="O3252">
        <v>0.92681318681318681</v>
      </c>
      <c r="P3252">
        <v>0.93327143038028104</v>
      </c>
      <c r="Q3252">
        <v>0.87576064908722107</v>
      </c>
      <c r="R3252">
        <v>0.95153942428035043</v>
      </c>
    </row>
    <row r="3253" spans="4:19" x14ac:dyDescent="0.25">
      <c r="D3253" t="s">
        <v>93</v>
      </c>
      <c r="E3253">
        <v>2014</v>
      </c>
      <c r="F3253" t="s">
        <v>34</v>
      </c>
      <c r="G3253">
        <v>0.9245962991198281</v>
      </c>
      <c r="H3253">
        <v>0.91839694656488546</v>
      </c>
      <c r="I3253">
        <v>0.894378123838242</v>
      </c>
      <c r="J3253">
        <v>0.87833882180753753</v>
      </c>
      <c r="K3253">
        <v>0.92528253466910126</v>
      </c>
      <c r="L3253">
        <v>0.94239046462862819</v>
      </c>
      <c r="M3253">
        <v>0.88539585742824101</v>
      </c>
      <c r="N3253">
        <v>0.9308154506437768</v>
      </c>
      <c r="O3253">
        <v>0.90439058309327502</v>
      </c>
      <c r="P3253">
        <v>0.92268479184367036</v>
      </c>
      <c r="Q3253">
        <v>0.92402511376072805</v>
      </c>
      <c r="R3253">
        <v>0.91772451935738741</v>
      </c>
    </row>
    <row r="3254" spans="4:19" x14ac:dyDescent="0.25">
      <c r="D3254" t="s">
        <v>93</v>
      </c>
      <c r="E3254">
        <v>2015</v>
      </c>
      <c r="F3254" t="s">
        <v>34</v>
      </c>
      <c r="G3254">
        <v>0.91785522344867498</v>
      </c>
      <c r="H3254">
        <v>0.89577885692939863</v>
      </c>
      <c r="I3254">
        <v>0.88831889664452102</v>
      </c>
      <c r="J3254">
        <v>0.93038202478276522</v>
      </c>
      <c r="K3254">
        <v>0.90216167529835622</v>
      </c>
      <c r="L3254">
        <v>0.91418555737321805</v>
      </c>
      <c r="M3254">
        <v>0.89589490968801311</v>
      </c>
    </row>
    <row r="3255" spans="4:19" x14ac:dyDescent="0.25">
      <c r="D3255" t="s">
        <v>94</v>
      </c>
      <c r="E3255">
        <v>2013</v>
      </c>
      <c r="F3255" t="s">
        <v>17</v>
      </c>
      <c r="S3255">
        <v>0.87571208165202941</v>
      </c>
    </row>
    <row r="3256" spans="4:19" x14ac:dyDescent="0.25">
      <c r="D3256" t="s">
        <v>94</v>
      </c>
      <c r="E3256">
        <v>2014</v>
      </c>
      <c r="F3256" t="s">
        <v>17</v>
      </c>
      <c r="S3256">
        <v>0.91144008409250177</v>
      </c>
    </row>
    <row r="3257" spans="4:19" x14ac:dyDescent="0.25">
      <c r="D3257" t="s">
        <v>94</v>
      </c>
      <c r="E3257">
        <v>2015</v>
      </c>
      <c r="F3257" t="s">
        <v>17</v>
      </c>
      <c r="S3257">
        <v>0.92641985845869346</v>
      </c>
    </row>
    <row r="3258" spans="4:19" x14ac:dyDescent="0.25">
      <c r="D3258" t="s">
        <v>94</v>
      </c>
      <c r="E3258">
        <v>2013</v>
      </c>
      <c r="F3258" t="s">
        <v>18</v>
      </c>
      <c r="G3258">
        <v>0.72096832908627595</v>
      </c>
      <c r="H3258">
        <v>0.8229727222119132</v>
      </c>
      <c r="I3258">
        <v>0.94620794525755558</v>
      </c>
      <c r="J3258">
        <v>0.9298383918013402</v>
      </c>
      <c r="K3258">
        <v>0.87697594501718212</v>
      </c>
      <c r="L3258">
        <v>0.91103992114342036</v>
      </c>
      <c r="M3258">
        <v>0.95938961358602015</v>
      </c>
      <c r="N3258">
        <v>0.99811912225705324</v>
      </c>
      <c r="O3258">
        <v>0.99886845827439885</v>
      </c>
      <c r="P3258">
        <v>0.9992840095465394</v>
      </c>
      <c r="Q3258">
        <v>1</v>
      </c>
      <c r="R3258">
        <v>0.99786780383795304</v>
      </c>
    </row>
    <row r="3259" spans="4:19" x14ac:dyDescent="0.25">
      <c r="D3259" t="s">
        <v>94</v>
      </c>
      <c r="E3259">
        <v>2014</v>
      </c>
      <c r="F3259" t="s">
        <v>18</v>
      </c>
      <c r="G3259">
        <v>0.99865120043161582</v>
      </c>
      <c r="H3259">
        <v>0.74275362318840576</v>
      </c>
      <c r="I3259">
        <v>0.88652694610778449</v>
      </c>
      <c r="J3259">
        <v>0.8932565232124704</v>
      </c>
      <c r="K3259">
        <v>0.9587690469076785</v>
      </c>
      <c r="L3259">
        <v>0.92629413781282144</v>
      </c>
      <c r="M3259">
        <v>0.96378146101903006</v>
      </c>
      <c r="N3259">
        <v>0.93379790940766549</v>
      </c>
      <c r="O3259">
        <v>0.89076376554174064</v>
      </c>
      <c r="P3259">
        <v>0.91838649155722329</v>
      </c>
      <c r="Q3259">
        <v>0.94725394235997828</v>
      </c>
      <c r="R3259">
        <v>0.86861131887309895</v>
      </c>
    </row>
    <row r="3260" spans="4:19" x14ac:dyDescent="0.25">
      <c r="D3260" t="s">
        <v>94</v>
      </c>
      <c r="E3260">
        <v>2015</v>
      </c>
      <c r="F3260" t="s">
        <v>18</v>
      </c>
      <c r="G3260">
        <v>0.88997277676951003</v>
      </c>
      <c r="H3260">
        <v>0.9231512808119865</v>
      </c>
      <c r="I3260">
        <v>0.95516925892040261</v>
      </c>
      <c r="J3260">
        <v>0.95374931581828137</v>
      </c>
      <c r="K3260">
        <v>0.8787007760850819</v>
      </c>
      <c r="L3260">
        <v>0.94028075184392101</v>
      </c>
      <c r="M3260">
        <v>0.94100905562742565</v>
      </c>
    </row>
    <row r="3261" spans="4:19" x14ac:dyDescent="0.25">
      <c r="D3261" t="s">
        <v>94</v>
      </c>
      <c r="E3261">
        <v>2013</v>
      </c>
      <c r="F3261" t="s">
        <v>19</v>
      </c>
      <c r="S3261">
        <v>0.69889555392618163</v>
      </c>
    </row>
    <row r="3262" spans="4:19" x14ac:dyDescent="0.25">
      <c r="D3262" t="s">
        <v>94</v>
      </c>
      <c r="E3262">
        <v>2014</v>
      </c>
      <c r="F3262" t="s">
        <v>19</v>
      </c>
      <c r="S3262">
        <v>0.96847346659379852</v>
      </c>
    </row>
    <row r="3263" spans="4:19" x14ac:dyDescent="0.25">
      <c r="D3263" t="s">
        <v>94</v>
      </c>
      <c r="E3263">
        <v>2015</v>
      </c>
      <c r="F3263" t="s">
        <v>19</v>
      </c>
      <c r="S3263">
        <v>0.98653662070214476</v>
      </c>
    </row>
    <row r="3264" spans="4:19" x14ac:dyDescent="0.25">
      <c r="D3264" t="s">
        <v>94</v>
      </c>
      <c r="E3264">
        <v>2013</v>
      </c>
      <c r="F3264" t="s">
        <v>20</v>
      </c>
      <c r="G3264">
        <v>0.62575853898167944</v>
      </c>
      <c r="H3264">
        <v>0.72220458153776368</v>
      </c>
      <c r="I3264">
        <v>0.60151534074351609</v>
      </c>
      <c r="J3264">
        <v>0.58900025700334102</v>
      </c>
      <c r="K3264">
        <v>0.47291650240479383</v>
      </c>
      <c r="L3264">
        <v>0.92265647474622936</v>
      </c>
      <c r="M3264">
        <v>0.98892357695761879</v>
      </c>
      <c r="N3264">
        <v>0.95537254465527799</v>
      </c>
      <c r="O3264">
        <v>0.72379126730564425</v>
      </c>
      <c r="P3264">
        <v>0.79661162219301751</v>
      </c>
      <c r="Q3264">
        <v>0.89426471647813244</v>
      </c>
      <c r="R3264">
        <v>0.94645262685226761</v>
      </c>
    </row>
    <row r="3265" spans="4:19" x14ac:dyDescent="0.25">
      <c r="D3265" t="s">
        <v>94</v>
      </c>
      <c r="E3265">
        <v>2014</v>
      </c>
      <c r="F3265" t="s">
        <v>20</v>
      </c>
      <c r="G3265">
        <v>0.98969532620832668</v>
      </c>
      <c r="H3265">
        <v>0.94286687869150387</v>
      </c>
      <c r="I3265">
        <v>0.90890261209773315</v>
      </c>
      <c r="J3265">
        <v>0.96651683681243339</v>
      </c>
      <c r="K3265">
        <v>0.98051147436662289</v>
      </c>
      <c r="L3265">
        <v>0.99564567206192822</v>
      </c>
      <c r="M3265">
        <v>0.99844760672703747</v>
      </c>
      <c r="N3265">
        <v>0.99840471223463001</v>
      </c>
      <c r="O3265">
        <v>0.99289108120851621</v>
      </c>
      <c r="P3265">
        <v>0.99604053419233607</v>
      </c>
      <c r="Q3265">
        <v>0.99446776039679508</v>
      </c>
      <c r="R3265">
        <v>0.99626161813629666</v>
      </c>
    </row>
    <row r="3266" spans="4:19" x14ac:dyDescent="0.25">
      <c r="D3266" t="s">
        <v>94</v>
      </c>
      <c r="E3266">
        <v>2015</v>
      </c>
      <c r="F3266" t="s">
        <v>20</v>
      </c>
      <c r="G3266">
        <v>0.99588921086326576</v>
      </c>
      <c r="H3266">
        <v>0.99388338094437911</v>
      </c>
      <c r="I3266">
        <v>0.98654961947102704</v>
      </c>
      <c r="J3266">
        <v>0.98129194316349866</v>
      </c>
      <c r="K3266">
        <v>0.97202478585748131</v>
      </c>
      <c r="L3266">
        <v>0.98312491596073681</v>
      </c>
      <c r="M3266">
        <v>0.98872791397254589</v>
      </c>
    </row>
    <row r="3267" spans="4:19" x14ac:dyDescent="0.25">
      <c r="D3267" t="s">
        <v>94</v>
      </c>
      <c r="E3267">
        <v>2013</v>
      </c>
      <c r="F3267" t="s">
        <v>21</v>
      </c>
      <c r="S3267">
        <v>0.91196452835586073</v>
      </c>
    </row>
    <row r="3268" spans="4:19" x14ac:dyDescent="0.25">
      <c r="D3268" t="s">
        <v>94</v>
      </c>
      <c r="E3268">
        <v>2014</v>
      </c>
      <c r="F3268" t="s">
        <v>21</v>
      </c>
      <c r="S3268">
        <v>0.99492050926842135</v>
      </c>
    </row>
    <row r="3269" spans="4:19" x14ac:dyDescent="0.25">
      <c r="D3269" t="s">
        <v>94</v>
      </c>
      <c r="E3269">
        <v>2015</v>
      </c>
      <c r="F3269" t="s">
        <v>21</v>
      </c>
      <c r="S3269">
        <v>0.98166000470256287</v>
      </c>
    </row>
    <row r="3270" spans="4:19" x14ac:dyDescent="0.25">
      <c r="D3270" t="s">
        <v>94</v>
      </c>
      <c r="E3270">
        <v>2013</v>
      </c>
      <c r="F3270" t="s">
        <v>22</v>
      </c>
      <c r="G3270">
        <v>0.59773600161714169</v>
      </c>
      <c r="H3270">
        <v>0.95538419168273203</v>
      </c>
      <c r="I3270">
        <v>0.97601668404588116</v>
      </c>
      <c r="J3270">
        <v>0.97939180698668005</v>
      </c>
      <c r="K3270">
        <v>0.97127222982216144</v>
      </c>
      <c r="L3270">
        <v>0.99729070712544021</v>
      </c>
      <c r="M3270">
        <v>0.9950319375443577</v>
      </c>
      <c r="N3270">
        <v>0.99691262735412167</v>
      </c>
      <c r="O3270">
        <v>0.99419485108531047</v>
      </c>
      <c r="P3270">
        <v>0.99404001702852274</v>
      </c>
      <c r="Q3270">
        <v>0.98904036353916069</v>
      </c>
      <c r="R3270">
        <v>0.97636544190665342</v>
      </c>
    </row>
    <row r="3271" spans="4:19" x14ac:dyDescent="0.25">
      <c r="D3271" t="s">
        <v>94</v>
      </c>
      <c r="E3271">
        <v>2014</v>
      </c>
      <c r="F3271" t="s">
        <v>22</v>
      </c>
      <c r="G3271">
        <v>0.99235620103191291</v>
      </c>
      <c r="H3271">
        <v>0.99173139564019042</v>
      </c>
      <c r="I3271">
        <v>0.99284395198522624</v>
      </c>
      <c r="J3271">
        <v>0.99331797235023045</v>
      </c>
      <c r="K3271">
        <v>0.99558326838139777</v>
      </c>
      <c r="L3271">
        <v>0.99976162097735399</v>
      </c>
      <c r="M3271">
        <v>0.99931475559616267</v>
      </c>
      <c r="N3271">
        <v>0.99910125823846618</v>
      </c>
      <c r="O3271">
        <v>0.99976167778836988</v>
      </c>
      <c r="P3271">
        <v>0.99746085484553537</v>
      </c>
      <c r="Q3271">
        <v>0.99950531783329211</v>
      </c>
      <c r="R3271">
        <v>0.99820232064062753</v>
      </c>
    </row>
    <row r="3272" spans="4:19" x14ac:dyDescent="0.25">
      <c r="D3272" t="s">
        <v>94</v>
      </c>
      <c r="E3272">
        <v>2015</v>
      </c>
      <c r="F3272" t="s">
        <v>22</v>
      </c>
      <c r="G3272">
        <v>0.99299797309747562</v>
      </c>
      <c r="H3272">
        <v>0.99337465270356917</v>
      </c>
      <c r="I3272">
        <v>0.98440170940170946</v>
      </c>
      <c r="J3272">
        <v>0.93148196210744871</v>
      </c>
      <c r="K3272">
        <v>0.97187300234391649</v>
      </c>
      <c r="L3272">
        <v>0.99115859274267826</v>
      </c>
      <c r="M3272">
        <v>0.99277978339350181</v>
      </c>
    </row>
    <row r="3273" spans="4:19" x14ac:dyDescent="0.25">
      <c r="D3273" t="s">
        <v>94</v>
      </c>
      <c r="E3273">
        <v>2013</v>
      </c>
      <c r="F3273" t="s">
        <v>23</v>
      </c>
      <c r="S3273">
        <v>57206</v>
      </c>
    </row>
    <row r="3274" spans="4:19" x14ac:dyDescent="0.25">
      <c r="D3274" t="s">
        <v>94</v>
      </c>
      <c r="E3274">
        <v>2014</v>
      </c>
      <c r="F3274" t="s">
        <v>23</v>
      </c>
      <c r="S3274">
        <v>50017</v>
      </c>
    </row>
    <row r="3275" spans="4:19" x14ac:dyDescent="0.25">
      <c r="D3275" t="s">
        <v>94</v>
      </c>
      <c r="E3275">
        <v>2015</v>
      </c>
      <c r="F3275" t="s">
        <v>23</v>
      </c>
      <c r="S3275">
        <v>48297</v>
      </c>
    </row>
    <row r="3276" spans="4:19" x14ac:dyDescent="0.25">
      <c r="D3276" t="s">
        <v>94</v>
      </c>
      <c r="E3276">
        <v>2013</v>
      </c>
      <c r="F3276" t="s">
        <v>24</v>
      </c>
      <c r="G3276">
        <v>10507</v>
      </c>
      <c r="H3276">
        <v>10204</v>
      </c>
      <c r="I3276">
        <v>7825</v>
      </c>
      <c r="J3276">
        <v>7781</v>
      </c>
      <c r="K3276">
        <v>7383</v>
      </c>
      <c r="L3276">
        <v>6131</v>
      </c>
      <c r="M3276">
        <v>7375</v>
      </c>
      <c r="N3276">
        <v>7002</v>
      </c>
      <c r="O3276">
        <v>8176</v>
      </c>
      <c r="P3276">
        <v>7814</v>
      </c>
      <c r="Q3276">
        <v>6909</v>
      </c>
      <c r="R3276">
        <v>7451</v>
      </c>
    </row>
    <row r="3277" spans="4:19" x14ac:dyDescent="0.25">
      <c r="D3277" t="s">
        <v>94</v>
      </c>
      <c r="E3277">
        <v>2014</v>
      </c>
      <c r="F3277" t="s">
        <v>24</v>
      </c>
      <c r="G3277">
        <v>8813</v>
      </c>
      <c r="H3277">
        <v>7670</v>
      </c>
      <c r="I3277">
        <v>7079</v>
      </c>
      <c r="J3277">
        <v>6529</v>
      </c>
      <c r="K3277">
        <v>5836</v>
      </c>
      <c r="L3277">
        <v>6644</v>
      </c>
      <c r="M3277">
        <v>7446</v>
      </c>
      <c r="N3277">
        <v>6897</v>
      </c>
      <c r="O3277">
        <v>8827</v>
      </c>
      <c r="P3277">
        <v>7656</v>
      </c>
      <c r="Q3277">
        <v>6400</v>
      </c>
      <c r="R3277">
        <v>7507</v>
      </c>
    </row>
    <row r="3278" spans="4:19" x14ac:dyDescent="0.25">
      <c r="D3278" t="s">
        <v>94</v>
      </c>
      <c r="E3278">
        <v>2015</v>
      </c>
      <c r="F3278" t="s">
        <v>24</v>
      </c>
      <c r="G3278">
        <v>7251</v>
      </c>
      <c r="H3278">
        <v>7702</v>
      </c>
      <c r="I3278">
        <v>7087</v>
      </c>
      <c r="J3278">
        <v>6405</v>
      </c>
      <c r="K3278">
        <v>6329</v>
      </c>
      <c r="L3278">
        <v>6744</v>
      </c>
      <c r="M3278">
        <v>6779</v>
      </c>
    </row>
    <row r="3279" spans="4:19" x14ac:dyDescent="0.25">
      <c r="D3279" t="s">
        <v>94</v>
      </c>
      <c r="E3279">
        <v>2013</v>
      </c>
      <c r="F3279" t="s">
        <v>25</v>
      </c>
      <c r="S3279">
        <v>138293</v>
      </c>
    </row>
    <row r="3280" spans="4:19" x14ac:dyDescent="0.25">
      <c r="D3280" t="s">
        <v>94</v>
      </c>
      <c r="E3280">
        <v>2014</v>
      </c>
      <c r="F3280" t="s">
        <v>25</v>
      </c>
      <c r="S3280">
        <v>139199</v>
      </c>
    </row>
    <row r="3281" spans="4:19" x14ac:dyDescent="0.25">
      <c r="D3281" t="s">
        <v>94</v>
      </c>
      <c r="E3281">
        <v>2015</v>
      </c>
      <c r="F3281" t="s">
        <v>25</v>
      </c>
      <c r="S3281">
        <v>150163</v>
      </c>
    </row>
    <row r="3282" spans="4:19" x14ac:dyDescent="0.25">
      <c r="D3282" t="s">
        <v>94</v>
      </c>
      <c r="E3282">
        <v>2013</v>
      </c>
      <c r="F3282" t="s">
        <v>26</v>
      </c>
      <c r="G3282">
        <v>26245</v>
      </c>
      <c r="H3282">
        <v>20054</v>
      </c>
      <c r="I3282">
        <v>19069</v>
      </c>
      <c r="J3282">
        <v>17699</v>
      </c>
      <c r="K3282">
        <v>17141</v>
      </c>
      <c r="L3282">
        <v>18170</v>
      </c>
      <c r="M3282">
        <v>19915</v>
      </c>
      <c r="N3282">
        <v>18483</v>
      </c>
      <c r="O3282">
        <v>22251</v>
      </c>
      <c r="P3282">
        <v>26626</v>
      </c>
      <c r="Q3282">
        <v>21663</v>
      </c>
      <c r="R3282">
        <v>26289</v>
      </c>
    </row>
    <row r="3283" spans="4:19" x14ac:dyDescent="0.25">
      <c r="D3283" t="s">
        <v>94</v>
      </c>
      <c r="E3283">
        <v>2014</v>
      </c>
      <c r="F3283" t="s">
        <v>26</v>
      </c>
      <c r="G3283">
        <v>24579</v>
      </c>
      <c r="H3283">
        <v>19938</v>
      </c>
      <c r="I3283">
        <v>20118</v>
      </c>
      <c r="J3283">
        <v>18952</v>
      </c>
      <c r="K3283">
        <v>17913</v>
      </c>
      <c r="L3283">
        <v>18407</v>
      </c>
      <c r="M3283">
        <v>19292</v>
      </c>
      <c r="N3283">
        <v>20118</v>
      </c>
      <c r="O3283">
        <v>24267</v>
      </c>
      <c r="P3283">
        <v>24805</v>
      </c>
      <c r="Q3283">
        <v>23020</v>
      </c>
      <c r="R3283">
        <v>27441</v>
      </c>
    </row>
    <row r="3284" spans="4:19" x14ac:dyDescent="0.25">
      <c r="D3284" t="s">
        <v>94</v>
      </c>
      <c r="E3284">
        <v>2015</v>
      </c>
      <c r="F3284" t="s">
        <v>26</v>
      </c>
      <c r="G3284">
        <v>23847</v>
      </c>
      <c r="H3284">
        <v>21410</v>
      </c>
      <c r="I3284">
        <v>21056</v>
      </c>
      <c r="J3284">
        <v>19256</v>
      </c>
      <c r="K3284">
        <v>18944</v>
      </c>
      <c r="L3284">
        <v>23106</v>
      </c>
      <c r="M3284">
        <v>22544</v>
      </c>
    </row>
    <row r="3285" spans="4:19" x14ac:dyDescent="0.25">
      <c r="D3285" t="s">
        <v>94</v>
      </c>
      <c r="E3285">
        <v>2013</v>
      </c>
      <c r="F3285" t="s">
        <v>27</v>
      </c>
      <c r="S3285">
        <v>243383</v>
      </c>
    </row>
    <row r="3286" spans="4:19" x14ac:dyDescent="0.25">
      <c r="D3286" t="s">
        <v>94</v>
      </c>
      <c r="E3286">
        <v>2014</v>
      </c>
      <c r="F3286" t="s">
        <v>27</v>
      </c>
      <c r="S3286">
        <v>242736</v>
      </c>
    </row>
    <row r="3287" spans="4:19" x14ac:dyDescent="0.25">
      <c r="D3287" t="s">
        <v>94</v>
      </c>
      <c r="E3287">
        <v>2015</v>
      </c>
      <c r="F3287" t="s">
        <v>27</v>
      </c>
      <c r="S3287">
        <v>258556</v>
      </c>
    </row>
    <row r="3288" spans="4:19" x14ac:dyDescent="0.25">
      <c r="D3288" t="s">
        <v>94</v>
      </c>
      <c r="E3288">
        <v>2013</v>
      </c>
      <c r="F3288" t="s">
        <v>28</v>
      </c>
      <c r="G3288">
        <v>43268</v>
      </c>
      <c r="H3288">
        <v>36425</v>
      </c>
      <c r="I3288">
        <v>34569</v>
      </c>
      <c r="J3288">
        <v>31797</v>
      </c>
      <c r="K3288">
        <v>29854</v>
      </c>
      <c r="L3288">
        <v>31727</v>
      </c>
      <c r="M3288">
        <v>35743</v>
      </c>
      <c r="N3288">
        <v>31379</v>
      </c>
      <c r="O3288">
        <v>38938</v>
      </c>
      <c r="P3288">
        <v>45389</v>
      </c>
      <c r="Q3288">
        <v>39071</v>
      </c>
      <c r="R3288">
        <v>44483</v>
      </c>
    </row>
    <row r="3289" spans="4:19" x14ac:dyDescent="0.25">
      <c r="D3289" t="s">
        <v>94</v>
      </c>
      <c r="E3289">
        <v>2014</v>
      </c>
      <c r="F3289" t="s">
        <v>28</v>
      </c>
      <c r="G3289">
        <v>42817</v>
      </c>
      <c r="H3289">
        <v>34546</v>
      </c>
      <c r="I3289">
        <v>35805</v>
      </c>
      <c r="J3289">
        <v>32201</v>
      </c>
      <c r="K3289">
        <v>30680</v>
      </c>
      <c r="L3289">
        <v>32642</v>
      </c>
      <c r="M3289">
        <v>34045</v>
      </c>
      <c r="N3289">
        <v>32744</v>
      </c>
      <c r="O3289">
        <v>41342</v>
      </c>
      <c r="P3289">
        <v>42112</v>
      </c>
      <c r="Q3289">
        <v>38567</v>
      </c>
      <c r="R3289">
        <v>47212</v>
      </c>
    </row>
    <row r="3290" spans="4:19" x14ac:dyDescent="0.25">
      <c r="D3290" t="s">
        <v>94</v>
      </c>
      <c r="E3290">
        <v>2015</v>
      </c>
      <c r="F3290" t="s">
        <v>28</v>
      </c>
      <c r="G3290">
        <v>41157</v>
      </c>
      <c r="H3290">
        <v>37879</v>
      </c>
      <c r="I3290">
        <v>36816</v>
      </c>
      <c r="J3290">
        <v>33318</v>
      </c>
      <c r="K3290">
        <v>31176</v>
      </c>
      <c r="L3290">
        <v>39036</v>
      </c>
      <c r="M3290">
        <v>39174</v>
      </c>
    </row>
    <row r="3291" spans="4:19" x14ac:dyDescent="0.25">
      <c r="D3291" t="s">
        <v>94</v>
      </c>
      <c r="E3291">
        <v>2013</v>
      </c>
      <c r="F3291" t="s">
        <v>29</v>
      </c>
      <c r="S3291">
        <v>33704</v>
      </c>
    </row>
    <row r="3292" spans="4:19" x14ac:dyDescent="0.25">
      <c r="D3292" t="s">
        <v>94</v>
      </c>
      <c r="E3292">
        <v>2014</v>
      </c>
      <c r="F3292" t="s">
        <v>29</v>
      </c>
      <c r="S3292">
        <v>22832</v>
      </c>
    </row>
    <row r="3293" spans="4:19" x14ac:dyDescent="0.25">
      <c r="D3293" t="s">
        <v>94</v>
      </c>
      <c r="E3293">
        <v>2015</v>
      </c>
      <c r="F3293" t="s">
        <v>29</v>
      </c>
      <c r="S3293">
        <v>28119</v>
      </c>
    </row>
    <row r="3294" spans="4:19" x14ac:dyDescent="0.25">
      <c r="D3294" t="s">
        <v>94</v>
      </c>
      <c r="E3294">
        <v>2013</v>
      </c>
      <c r="F3294" t="s">
        <v>30</v>
      </c>
      <c r="G3294">
        <v>5494</v>
      </c>
      <c r="H3294">
        <v>5389</v>
      </c>
      <c r="I3294">
        <v>5261</v>
      </c>
      <c r="J3294">
        <v>5074</v>
      </c>
      <c r="K3294">
        <v>4365</v>
      </c>
      <c r="L3294">
        <v>4058</v>
      </c>
      <c r="M3294">
        <v>4063</v>
      </c>
      <c r="N3294">
        <v>3190</v>
      </c>
      <c r="O3294">
        <v>3535</v>
      </c>
      <c r="P3294">
        <v>4190</v>
      </c>
      <c r="Q3294">
        <v>3408</v>
      </c>
      <c r="R3294">
        <v>3283</v>
      </c>
    </row>
    <row r="3295" spans="4:19" x14ac:dyDescent="0.25">
      <c r="D3295" t="s">
        <v>94</v>
      </c>
      <c r="E3295">
        <v>2014</v>
      </c>
      <c r="F3295" t="s">
        <v>30</v>
      </c>
      <c r="G3295">
        <v>3707</v>
      </c>
      <c r="H3295">
        <v>3312</v>
      </c>
      <c r="I3295">
        <v>3340</v>
      </c>
      <c r="J3295">
        <v>2951</v>
      </c>
      <c r="K3295">
        <v>3347</v>
      </c>
      <c r="L3295">
        <v>2917</v>
      </c>
      <c r="M3295">
        <v>3258</v>
      </c>
      <c r="N3295">
        <v>3444</v>
      </c>
      <c r="O3295">
        <v>4504</v>
      </c>
      <c r="P3295">
        <v>4264</v>
      </c>
      <c r="Q3295">
        <v>3678</v>
      </c>
      <c r="R3295">
        <v>4011</v>
      </c>
    </row>
    <row r="3296" spans="4:19" x14ac:dyDescent="0.25">
      <c r="D3296" t="s">
        <v>94</v>
      </c>
      <c r="E3296">
        <v>2015</v>
      </c>
      <c r="F3296" t="s">
        <v>30</v>
      </c>
      <c r="G3296">
        <v>4408</v>
      </c>
      <c r="H3296">
        <v>4138</v>
      </c>
      <c r="I3296">
        <v>4372</v>
      </c>
      <c r="J3296">
        <v>3654</v>
      </c>
      <c r="K3296">
        <v>3479</v>
      </c>
      <c r="L3296">
        <v>4203</v>
      </c>
      <c r="M3296">
        <v>3865</v>
      </c>
    </row>
    <row r="3297" spans="4:19" x14ac:dyDescent="0.25">
      <c r="D3297" t="s">
        <v>94</v>
      </c>
      <c r="E3297">
        <v>2013</v>
      </c>
      <c r="F3297" t="s">
        <v>31</v>
      </c>
      <c r="S3297">
        <v>0.86351082054329964</v>
      </c>
    </row>
    <row r="3298" spans="4:19" x14ac:dyDescent="0.25">
      <c r="D3298" t="s">
        <v>94</v>
      </c>
      <c r="E3298">
        <v>2014</v>
      </c>
      <c r="F3298" t="s">
        <v>31</v>
      </c>
      <c r="S3298">
        <v>0.95097666793290281</v>
      </c>
    </row>
    <row r="3299" spans="4:19" x14ac:dyDescent="0.25">
      <c r="D3299" t="s">
        <v>94</v>
      </c>
      <c r="E3299">
        <v>2015</v>
      </c>
      <c r="F3299" t="s">
        <v>31</v>
      </c>
      <c r="S3299">
        <v>0.89902064310412655</v>
      </c>
    </row>
    <row r="3300" spans="4:19" x14ac:dyDescent="0.25">
      <c r="D3300" t="s">
        <v>94</v>
      </c>
      <c r="E3300">
        <v>2013</v>
      </c>
      <c r="F3300" t="s">
        <v>32</v>
      </c>
      <c r="G3300">
        <v>0.8352526886837347</v>
      </c>
      <c r="H3300">
        <v>0.8420227361818895</v>
      </c>
      <c r="I3300">
        <v>0.850223642172524</v>
      </c>
      <c r="J3300">
        <v>0.89371546073769437</v>
      </c>
      <c r="K3300">
        <v>0.87958824326154683</v>
      </c>
      <c r="L3300">
        <v>0.86739520469743925</v>
      </c>
      <c r="M3300">
        <v>0.89640677966101689</v>
      </c>
      <c r="N3300">
        <v>0.95744073121965156</v>
      </c>
      <c r="O3300">
        <v>0.9393346379647749</v>
      </c>
      <c r="P3300">
        <v>0.96826209367801386</v>
      </c>
      <c r="Q3300">
        <v>0.9394992039368939</v>
      </c>
      <c r="R3300">
        <v>0.95772379546369613</v>
      </c>
    </row>
    <row r="3301" spans="4:19" x14ac:dyDescent="0.25">
      <c r="D3301" t="s">
        <v>94</v>
      </c>
      <c r="E3301">
        <v>2014</v>
      </c>
      <c r="F3301" t="s">
        <v>32</v>
      </c>
      <c r="G3301">
        <v>0.96062634744127995</v>
      </c>
      <c r="H3301">
        <v>0.98735332464146019</v>
      </c>
      <c r="I3301">
        <v>0.98417855629326179</v>
      </c>
      <c r="J3301">
        <v>0.95175371419819266</v>
      </c>
      <c r="K3301">
        <v>0.97840986977381772</v>
      </c>
      <c r="L3301">
        <v>0.89298615291992778</v>
      </c>
      <c r="M3301">
        <v>0.90008058017727643</v>
      </c>
      <c r="N3301">
        <v>0.91764535305205164</v>
      </c>
      <c r="O3301">
        <v>0.92976096068879577</v>
      </c>
      <c r="P3301">
        <v>0.91418495297805646</v>
      </c>
      <c r="Q3301">
        <v>0.92562500000000003</v>
      </c>
      <c r="R3301">
        <v>0.92526974823498065</v>
      </c>
    </row>
    <row r="3302" spans="4:19" x14ac:dyDescent="0.25">
      <c r="D3302" t="s">
        <v>94</v>
      </c>
      <c r="E3302">
        <v>2015</v>
      </c>
      <c r="F3302" t="s">
        <v>32</v>
      </c>
      <c r="G3302">
        <v>0.91876982485174463</v>
      </c>
      <c r="H3302">
        <v>0.90989353414697483</v>
      </c>
      <c r="I3302">
        <v>0.87145477635106539</v>
      </c>
      <c r="J3302">
        <v>0.87275565964090551</v>
      </c>
      <c r="K3302">
        <v>0.89808816558698057</v>
      </c>
      <c r="L3302">
        <v>0.93030842230130484</v>
      </c>
      <c r="M3302">
        <v>0.88892166986281163</v>
      </c>
    </row>
    <row r="3303" spans="4:19" x14ac:dyDescent="0.25">
      <c r="D3303" t="s">
        <v>94</v>
      </c>
      <c r="E3303">
        <v>2013</v>
      </c>
      <c r="F3303" t="s">
        <v>33</v>
      </c>
      <c r="S3303">
        <v>0.86753920457933342</v>
      </c>
    </row>
    <row r="3304" spans="4:19" x14ac:dyDescent="0.25">
      <c r="D3304" t="s">
        <v>94</v>
      </c>
      <c r="E3304">
        <v>2014</v>
      </c>
      <c r="F3304" t="s">
        <v>33</v>
      </c>
      <c r="S3304">
        <v>0.95602718823692612</v>
      </c>
    </row>
    <row r="3305" spans="4:19" x14ac:dyDescent="0.25">
      <c r="D3305" t="s">
        <v>94</v>
      </c>
      <c r="E3305">
        <v>2015</v>
      </c>
      <c r="F3305" t="s">
        <v>33</v>
      </c>
      <c r="S3305">
        <v>0.90797213901620411</v>
      </c>
    </row>
    <row r="3306" spans="4:19" x14ac:dyDescent="0.25">
      <c r="D3306" t="s">
        <v>94</v>
      </c>
      <c r="E3306">
        <v>2013</v>
      </c>
      <c r="F3306" t="s">
        <v>34</v>
      </c>
      <c r="G3306">
        <v>0.85263157894736841</v>
      </c>
      <c r="H3306">
        <v>0.81327160493827155</v>
      </c>
      <c r="I3306">
        <v>0.85877703826955076</v>
      </c>
      <c r="J3306">
        <v>0.91210340775558163</v>
      </c>
      <c r="K3306">
        <v>0.90767845079936949</v>
      </c>
      <c r="L3306">
        <v>0.90560949298813376</v>
      </c>
      <c r="M3306">
        <v>0.85403654869303725</v>
      </c>
      <c r="N3306">
        <v>0.92740560292326435</v>
      </c>
      <c r="O3306">
        <v>0.8932414980628498</v>
      </c>
      <c r="P3306">
        <v>0.94844074844074844</v>
      </c>
      <c r="Q3306">
        <v>0.90254138493821401</v>
      </c>
      <c r="R3306">
        <v>0.92813141683778233</v>
      </c>
    </row>
    <row r="3307" spans="4:19" x14ac:dyDescent="0.25">
      <c r="D3307" t="s">
        <v>94</v>
      </c>
      <c r="E3307">
        <v>2014</v>
      </c>
      <c r="F3307" t="s">
        <v>34</v>
      </c>
      <c r="G3307">
        <v>0.93742110009017132</v>
      </c>
      <c r="H3307">
        <v>0.97989220563847435</v>
      </c>
      <c r="I3307">
        <v>0.97381342062193121</v>
      </c>
      <c r="J3307">
        <v>0.921875</v>
      </c>
      <c r="K3307">
        <v>0.96628311479796625</v>
      </c>
      <c r="L3307">
        <v>0.95795981452859347</v>
      </c>
      <c r="M3307">
        <v>0.9576271186440678</v>
      </c>
      <c r="N3307">
        <v>0.97377049180327868</v>
      </c>
      <c r="O3307">
        <v>0.94653673953120887</v>
      </c>
      <c r="P3307">
        <v>0.93200663349917079</v>
      </c>
      <c r="Q3307">
        <v>0.94047619047619047</v>
      </c>
      <c r="R3307">
        <v>0.94019844462322344</v>
      </c>
    </row>
    <row r="3308" spans="4:19" x14ac:dyDescent="0.25">
      <c r="D3308" t="s">
        <v>94</v>
      </c>
      <c r="E3308">
        <v>2015</v>
      </c>
      <c r="F3308" t="s">
        <v>34</v>
      </c>
      <c r="G3308">
        <v>0.93283037235337063</v>
      </c>
      <c r="H3308">
        <v>0.91488432998690528</v>
      </c>
      <c r="I3308">
        <v>0.88577484691474329</v>
      </c>
      <c r="J3308">
        <v>0.87583802628050411</v>
      </c>
      <c r="K3308">
        <v>0.89402173913043481</v>
      </c>
      <c r="L3308">
        <v>0.95914650013010672</v>
      </c>
      <c r="M3308">
        <v>0.88991769547325106</v>
      </c>
    </row>
    <row r="3309" spans="4:19" x14ac:dyDescent="0.25">
      <c r="D3309" t="s">
        <v>95</v>
      </c>
      <c r="E3309">
        <v>2013</v>
      </c>
      <c r="F3309" t="s">
        <v>17</v>
      </c>
      <c r="S3309">
        <v>0.81193601312551267</v>
      </c>
    </row>
    <row r="3310" spans="4:19" x14ac:dyDescent="0.25">
      <c r="D3310" t="s">
        <v>95</v>
      </c>
      <c r="E3310">
        <v>2014</v>
      </c>
      <c r="F3310" t="s">
        <v>17</v>
      </c>
      <c r="S3310">
        <v>0.84541340969123269</v>
      </c>
    </row>
    <row r="3311" spans="4:19" x14ac:dyDescent="0.25">
      <c r="D3311" t="s">
        <v>95</v>
      </c>
      <c r="E3311">
        <v>2015</v>
      </c>
      <c r="F3311" t="s">
        <v>17</v>
      </c>
      <c r="S3311">
        <v>0.9208347733902551</v>
      </c>
    </row>
    <row r="3312" spans="4:19" x14ac:dyDescent="0.25">
      <c r="D3312" t="s">
        <v>95</v>
      </c>
      <c r="E3312">
        <v>2013</v>
      </c>
      <c r="F3312" t="s">
        <v>18</v>
      </c>
      <c r="G3312">
        <v>0.79031719532554257</v>
      </c>
      <c r="H3312">
        <v>0.74961358132824973</v>
      </c>
      <c r="I3312">
        <v>0.78960482820795352</v>
      </c>
      <c r="J3312">
        <v>0.80619653237884903</v>
      </c>
      <c r="K3312">
        <v>0.79947715448410861</v>
      </c>
      <c r="L3312">
        <v>0.87711980395479494</v>
      </c>
      <c r="M3312">
        <v>0.87404499283355142</v>
      </c>
      <c r="N3312">
        <v>0.87829829799487735</v>
      </c>
      <c r="O3312">
        <v>0.83044442618910708</v>
      </c>
      <c r="P3312">
        <v>0.84164880570961398</v>
      </c>
      <c r="Q3312">
        <v>0.82107687728878476</v>
      </c>
      <c r="R3312">
        <v>0.83064688016198651</v>
      </c>
    </row>
    <row r="3313" spans="4:19" x14ac:dyDescent="0.25">
      <c r="D3313" t="s">
        <v>95</v>
      </c>
      <c r="E3313">
        <v>2014</v>
      </c>
      <c r="F3313" t="s">
        <v>18</v>
      </c>
      <c r="G3313">
        <v>0.77471414708240161</v>
      </c>
      <c r="H3313">
        <v>0.80196344719639079</v>
      </c>
      <c r="I3313">
        <v>0.79101555284642955</v>
      </c>
      <c r="J3313">
        <v>0.84409895808998736</v>
      </c>
      <c r="K3313">
        <v>0.88873374640020941</v>
      </c>
      <c r="L3313">
        <v>0.90998522329246934</v>
      </c>
      <c r="M3313">
        <v>0.93653956747937039</v>
      </c>
      <c r="N3313">
        <v>0.93526126494926753</v>
      </c>
      <c r="O3313">
        <v>0.91657681940700808</v>
      </c>
      <c r="P3313">
        <v>0.90256572250886247</v>
      </c>
      <c r="Q3313">
        <v>0.89951984715553435</v>
      </c>
      <c r="R3313">
        <v>0.91419387046890788</v>
      </c>
    </row>
    <row r="3314" spans="4:19" x14ac:dyDescent="0.25">
      <c r="D3314" t="s">
        <v>95</v>
      </c>
      <c r="E3314">
        <v>2015</v>
      </c>
      <c r="F3314" t="s">
        <v>18</v>
      </c>
      <c r="G3314">
        <v>0.91209185102212265</v>
      </c>
      <c r="H3314">
        <v>0.90423124787871934</v>
      </c>
      <c r="I3314">
        <v>0.90123961777505079</v>
      </c>
      <c r="J3314">
        <v>0.92189291640248761</v>
      </c>
      <c r="K3314">
        <v>0.91227210050559215</v>
      </c>
      <c r="L3314">
        <v>0.93435268759261758</v>
      </c>
      <c r="M3314">
        <v>0.96443467050883447</v>
      </c>
    </row>
    <row r="3315" spans="4:19" x14ac:dyDescent="0.25">
      <c r="D3315" t="s">
        <v>95</v>
      </c>
      <c r="E3315">
        <v>2013</v>
      </c>
      <c r="F3315" t="s">
        <v>19</v>
      </c>
      <c r="S3315">
        <v>0.69318262528692587</v>
      </c>
    </row>
    <row r="3316" spans="4:19" x14ac:dyDescent="0.25">
      <c r="D3316" t="s">
        <v>95</v>
      </c>
      <c r="E3316">
        <v>2014</v>
      </c>
      <c r="F3316" t="s">
        <v>19</v>
      </c>
      <c r="S3316">
        <v>0.80979738428417281</v>
      </c>
    </row>
    <row r="3317" spans="4:19" x14ac:dyDescent="0.25">
      <c r="D3317" t="s">
        <v>95</v>
      </c>
      <c r="E3317">
        <v>2015</v>
      </c>
      <c r="F3317" t="s">
        <v>19</v>
      </c>
      <c r="S3317">
        <v>0.79587678676478502</v>
      </c>
    </row>
    <row r="3318" spans="4:19" x14ac:dyDescent="0.25">
      <c r="D3318" t="s">
        <v>95</v>
      </c>
      <c r="E3318">
        <v>2013</v>
      </c>
      <c r="F3318" t="s">
        <v>20</v>
      </c>
      <c r="G3318">
        <v>0.61943369110659396</v>
      </c>
      <c r="H3318">
        <v>0.59345134602144767</v>
      </c>
      <c r="I3318">
        <v>0.51501807804078903</v>
      </c>
      <c r="J3318">
        <v>0.61685548216019126</v>
      </c>
      <c r="K3318">
        <v>0.60784948211375711</v>
      </c>
      <c r="L3318">
        <v>0.94244150589775244</v>
      </c>
      <c r="M3318">
        <v>0.98646055345356287</v>
      </c>
      <c r="N3318">
        <v>0.81439627249077906</v>
      </c>
      <c r="O3318">
        <v>0.79923884660258904</v>
      </c>
      <c r="P3318">
        <v>0.89528997588045023</v>
      </c>
      <c r="Q3318">
        <v>0.6346962982856631</v>
      </c>
      <c r="R3318">
        <v>0.67660811323139136</v>
      </c>
    </row>
    <row r="3319" spans="4:19" x14ac:dyDescent="0.25">
      <c r="D3319" t="s">
        <v>95</v>
      </c>
      <c r="E3319">
        <v>2014</v>
      </c>
      <c r="F3319" t="s">
        <v>20</v>
      </c>
      <c r="G3319">
        <v>0.75901946430585565</v>
      </c>
      <c r="H3319">
        <v>0.73699776631828584</v>
      </c>
      <c r="I3319">
        <v>0.6994897048182015</v>
      </c>
      <c r="J3319">
        <v>0.77835092516055193</v>
      </c>
      <c r="K3319">
        <v>0.76149617552442683</v>
      </c>
      <c r="L3319">
        <v>0.95617792181604833</v>
      </c>
      <c r="M3319">
        <v>0.99043978024931101</v>
      </c>
      <c r="N3319">
        <v>0.97089158240216611</v>
      </c>
      <c r="O3319">
        <v>0.93471991448125213</v>
      </c>
      <c r="P3319">
        <v>0.97105388753904898</v>
      </c>
      <c r="Q3319">
        <v>0.82874601655430635</v>
      </c>
      <c r="R3319">
        <v>0.92236235790848864</v>
      </c>
    </row>
    <row r="3320" spans="4:19" x14ac:dyDescent="0.25">
      <c r="D3320" t="s">
        <v>95</v>
      </c>
      <c r="E3320">
        <v>2015</v>
      </c>
      <c r="F3320" t="s">
        <v>20</v>
      </c>
      <c r="G3320">
        <v>0.7650714743426289</v>
      </c>
      <c r="H3320">
        <v>0.79822539273644</v>
      </c>
      <c r="I3320">
        <v>0.69701570680628278</v>
      </c>
      <c r="J3320">
        <v>0.74350589672285694</v>
      </c>
      <c r="K3320">
        <v>0.67349491593677635</v>
      </c>
      <c r="L3320">
        <v>0.86511056468600045</v>
      </c>
      <c r="M3320">
        <v>0.98244145529578941</v>
      </c>
    </row>
    <row r="3321" spans="4:19" x14ac:dyDescent="0.25">
      <c r="D3321" t="s">
        <v>95</v>
      </c>
      <c r="E3321">
        <v>2013</v>
      </c>
      <c r="F3321" t="s">
        <v>21</v>
      </c>
      <c r="S3321">
        <v>0.9394084428196291</v>
      </c>
    </row>
    <row r="3322" spans="4:19" x14ac:dyDescent="0.25">
      <c r="D3322" t="s">
        <v>95</v>
      </c>
      <c r="E3322">
        <v>2014</v>
      </c>
      <c r="F3322" t="s">
        <v>21</v>
      </c>
      <c r="S3322">
        <v>0.97568985664423791</v>
      </c>
    </row>
    <row r="3323" spans="4:19" x14ac:dyDescent="0.25">
      <c r="D3323" t="s">
        <v>95</v>
      </c>
      <c r="E3323">
        <v>2015</v>
      </c>
      <c r="F3323" t="s">
        <v>21</v>
      </c>
      <c r="S3323">
        <v>0.94966681644615125</v>
      </c>
    </row>
    <row r="3324" spans="4:19" x14ac:dyDescent="0.25">
      <c r="D3324" t="s">
        <v>95</v>
      </c>
      <c r="E3324">
        <v>2013</v>
      </c>
      <c r="F3324" t="s">
        <v>22</v>
      </c>
      <c r="G3324">
        <v>0.96045043321398316</v>
      </c>
      <c r="H3324">
        <v>0.96786792117876796</v>
      </c>
      <c r="I3324">
        <v>0.91489071865350846</v>
      </c>
      <c r="J3324">
        <v>0.90500623653475454</v>
      </c>
      <c r="K3324">
        <v>0.90965681498321971</v>
      </c>
      <c r="L3324">
        <v>0.96354136429608128</v>
      </c>
      <c r="M3324">
        <v>0.94955518487628576</v>
      </c>
      <c r="N3324">
        <v>0.78795348374913032</v>
      </c>
      <c r="O3324">
        <v>0.84293882133940046</v>
      </c>
      <c r="P3324">
        <v>0.96888556469708298</v>
      </c>
      <c r="Q3324">
        <v>0.95921303728834095</v>
      </c>
      <c r="R3324">
        <v>0.96489179412324677</v>
      </c>
    </row>
    <row r="3325" spans="4:19" x14ac:dyDescent="0.25">
      <c r="D3325" t="s">
        <v>95</v>
      </c>
      <c r="E3325">
        <v>2014</v>
      </c>
      <c r="F3325" t="s">
        <v>22</v>
      </c>
      <c r="G3325">
        <v>0.9905025231547494</v>
      </c>
      <c r="H3325">
        <v>0.9839985958548465</v>
      </c>
      <c r="I3325">
        <v>0.94787674982404002</v>
      </c>
      <c r="J3325">
        <v>0.93499707594904524</v>
      </c>
      <c r="K3325">
        <v>0.98344622300519391</v>
      </c>
      <c r="L3325">
        <v>0.9950005999280086</v>
      </c>
      <c r="M3325">
        <v>0.99624084103217581</v>
      </c>
      <c r="N3325">
        <v>0.99617377441211641</v>
      </c>
      <c r="O3325">
        <v>0.99494449504349314</v>
      </c>
      <c r="P3325">
        <v>0.99518822530427398</v>
      </c>
      <c r="Q3325">
        <v>0.99344814389590508</v>
      </c>
      <c r="R3325">
        <v>0.99572312511803063</v>
      </c>
    </row>
    <row r="3326" spans="4:19" x14ac:dyDescent="0.25">
      <c r="D3326" t="s">
        <v>95</v>
      </c>
      <c r="E3326">
        <v>2015</v>
      </c>
      <c r="F3326" t="s">
        <v>22</v>
      </c>
      <c r="G3326">
        <v>0.99499001723731695</v>
      </c>
      <c r="H3326">
        <v>0.94503677989916524</v>
      </c>
      <c r="I3326">
        <v>0.9000083266918053</v>
      </c>
      <c r="J3326">
        <v>0.92499928187745961</v>
      </c>
      <c r="K3326">
        <v>0.90727095370300892</v>
      </c>
      <c r="L3326">
        <v>0.96642836654089714</v>
      </c>
      <c r="M3326">
        <v>0.99504058764357728</v>
      </c>
    </row>
    <row r="3327" spans="4:19" x14ac:dyDescent="0.25">
      <c r="D3327" t="s">
        <v>95</v>
      </c>
      <c r="E3327">
        <v>2013</v>
      </c>
      <c r="F3327" t="s">
        <v>23</v>
      </c>
      <c r="S3327">
        <v>881645</v>
      </c>
    </row>
    <row r="3328" spans="4:19" x14ac:dyDescent="0.25">
      <c r="D3328" t="s">
        <v>95</v>
      </c>
      <c r="E3328">
        <v>2014</v>
      </c>
      <c r="F3328" t="s">
        <v>23</v>
      </c>
      <c r="S3328">
        <v>770120</v>
      </c>
    </row>
    <row r="3329" spans="4:19" x14ac:dyDescent="0.25">
      <c r="D3329" t="s">
        <v>95</v>
      </c>
      <c r="E3329">
        <v>2015</v>
      </c>
      <c r="F3329" t="s">
        <v>23</v>
      </c>
      <c r="S3329">
        <v>753724</v>
      </c>
    </row>
    <row r="3330" spans="4:19" x14ac:dyDescent="0.25">
      <c r="D3330" t="s">
        <v>95</v>
      </c>
      <c r="E3330">
        <v>2013</v>
      </c>
      <c r="F3330" t="s">
        <v>24</v>
      </c>
      <c r="G3330">
        <v>144886</v>
      </c>
      <c r="H3330">
        <v>139164</v>
      </c>
      <c r="I3330">
        <v>148533</v>
      </c>
      <c r="J3330">
        <v>144545</v>
      </c>
      <c r="K3330">
        <v>108013</v>
      </c>
      <c r="L3330">
        <v>93144</v>
      </c>
      <c r="M3330">
        <v>103360</v>
      </c>
      <c r="N3330">
        <v>93289</v>
      </c>
      <c r="O3330">
        <v>106534</v>
      </c>
      <c r="P3330">
        <v>102600</v>
      </c>
      <c r="Q3330">
        <v>93681</v>
      </c>
      <c r="R3330">
        <v>99470</v>
      </c>
    </row>
    <row r="3331" spans="4:19" x14ac:dyDescent="0.25">
      <c r="D3331" t="s">
        <v>95</v>
      </c>
      <c r="E3331">
        <v>2014</v>
      </c>
      <c r="F3331" t="s">
        <v>24</v>
      </c>
      <c r="G3331">
        <v>134935</v>
      </c>
      <c r="H3331">
        <v>148828</v>
      </c>
      <c r="I3331">
        <v>110220</v>
      </c>
      <c r="J3331">
        <v>97852</v>
      </c>
      <c r="K3331">
        <v>92314</v>
      </c>
      <c r="L3331">
        <v>89759</v>
      </c>
      <c r="M3331">
        <v>96212</v>
      </c>
      <c r="N3331">
        <v>102096</v>
      </c>
      <c r="O3331">
        <v>113383</v>
      </c>
      <c r="P3331">
        <v>114744</v>
      </c>
      <c r="Q3331">
        <v>103695</v>
      </c>
      <c r="R3331">
        <v>106280</v>
      </c>
    </row>
    <row r="3332" spans="4:19" x14ac:dyDescent="0.25">
      <c r="D3332" t="s">
        <v>95</v>
      </c>
      <c r="E3332">
        <v>2015</v>
      </c>
      <c r="F3332" t="s">
        <v>24</v>
      </c>
      <c r="G3332">
        <v>107350</v>
      </c>
      <c r="H3332">
        <v>115469</v>
      </c>
      <c r="I3332">
        <v>116785</v>
      </c>
      <c r="J3332">
        <v>105217</v>
      </c>
      <c r="K3332">
        <v>93637</v>
      </c>
      <c r="L3332">
        <v>104064</v>
      </c>
      <c r="M3332">
        <v>111202</v>
      </c>
    </row>
    <row r="3333" spans="4:19" x14ac:dyDescent="0.25">
      <c r="D3333" t="s">
        <v>95</v>
      </c>
      <c r="E3333">
        <v>2013</v>
      </c>
      <c r="F3333" t="s">
        <v>25</v>
      </c>
      <c r="S3333">
        <v>2188803</v>
      </c>
    </row>
    <row r="3334" spans="4:19" x14ac:dyDescent="0.25">
      <c r="D3334" t="s">
        <v>95</v>
      </c>
      <c r="E3334">
        <v>2014</v>
      </c>
      <c r="F3334" t="s">
        <v>25</v>
      </c>
      <c r="S3334">
        <v>2283930</v>
      </c>
    </row>
    <row r="3335" spans="4:19" x14ac:dyDescent="0.25">
      <c r="D3335" t="s">
        <v>95</v>
      </c>
      <c r="E3335">
        <v>2015</v>
      </c>
      <c r="F3335" t="s">
        <v>25</v>
      </c>
      <c r="S3335">
        <v>2403497</v>
      </c>
    </row>
    <row r="3336" spans="4:19" x14ac:dyDescent="0.25">
      <c r="D3336" t="s">
        <v>95</v>
      </c>
      <c r="E3336">
        <v>2013</v>
      </c>
      <c r="F3336" t="s">
        <v>26</v>
      </c>
      <c r="G3336">
        <v>396544</v>
      </c>
      <c r="H3336">
        <v>306479</v>
      </c>
      <c r="I3336">
        <v>300394</v>
      </c>
      <c r="J3336">
        <v>288042</v>
      </c>
      <c r="K3336">
        <v>278375</v>
      </c>
      <c r="L3336">
        <v>293128</v>
      </c>
      <c r="M3336">
        <v>325841</v>
      </c>
      <c r="N3336">
        <v>295923</v>
      </c>
      <c r="O3336">
        <v>344214</v>
      </c>
      <c r="P3336">
        <v>383651</v>
      </c>
      <c r="Q3336">
        <v>330191</v>
      </c>
      <c r="R3336">
        <v>343176</v>
      </c>
    </row>
    <row r="3337" spans="4:19" x14ac:dyDescent="0.25">
      <c r="D3337" t="s">
        <v>95</v>
      </c>
      <c r="E3337">
        <v>2014</v>
      </c>
      <c r="F3337" t="s">
        <v>26</v>
      </c>
      <c r="G3337">
        <v>428675</v>
      </c>
      <c r="H3337">
        <v>338402</v>
      </c>
      <c r="I3337">
        <v>320746</v>
      </c>
      <c r="J3337">
        <v>289222</v>
      </c>
      <c r="K3337">
        <v>280253</v>
      </c>
      <c r="L3337">
        <v>302507</v>
      </c>
      <c r="M3337">
        <v>324125</v>
      </c>
      <c r="N3337">
        <v>318555</v>
      </c>
      <c r="O3337">
        <v>351796</v>
      </c>
      <c r="P3337">
        <v>384560</v>
      </c>
      <c r="Q3337">
        <v>373650</v>
      </c>
      <c r="R3337">
        <v>389507</v>
      </c>
    </row>
    <row r="3338" spans="4:19" x14ac:dyDescent="0.25">
      <c r="D3338" t="s">
        <v>95</v>
      </c>
      <c r="E3338">
        <v>2015</v>
      </c>
      <c r="F3338" t="s">
        <v>26</v>
      </c>
      <c r="G3338">
        <v>369165</v>
      </c>
      <c r="H3338">
        <v>341544</v>
      </c>
      <c r="I3338">
        <v>362622</v>
      </c>
      <c r="J3338">
        <v>286434</v>
      </c>
      <c r="K3338">
        <v>299297</v>
      </c>
      <c r="L3338">
        <v>378874</v>
      </c>
      <c r="M3338">
        <v>365561</v>
      </c>
    </row>
    <row r="3339" spans="4:19" x14ac:dyDescent="0.25">
      <c r="D3339" t="s">
        <v>95</v>
      </c>
      <c r="E3339">
        <v>2013</v>
      </c>
      <c r="F3339" t="s">
        <v>27</v>
      </c>
      <c r="S3339">
        <v>3636199</v>
      </c>
    </row>
    <row r="3340" spans="4:19" x14ac:dyDescent="0.25">
      <c r="D3340" t="s">
        <v>95</v>
      </c>
      <c r="E3340">
        <v>2014</v>
      </c>
      <c r="F3340" t="s">
        <v>27</v>
      </c>
      <c r="S3340">
        <v>3698739</v>
      </c>
    </row>
    <row r="3341" spans="4:19" x14ac:dyDescent="0.25">
      <c r="D3341" t="s">
        <v>95</v>
      </c>
      <c r="E3341">
        <v>2015</v>
      </c>
      <c r="F3341" t="s">
        <v>27</v>
      </c>
      <c r="S3341">
        <v>3990011</v>
      </c>
    </row>
    <row r="3342" spans="4:19" x14ac:dyDescent="0.25">
      <c r="D3342" t="s">
        <v>95</v>
      </c>
      <c r="E3342">
        <v>2013</v>
      </c>
      <c r="F3342" t="s">
        <v>28</v>
      </c>
      <c r="G3342">
        <v>650979</v>
      </c>
      <c r="H3342">
        <v>519949</v>
      </c>
      <c r="I3342">
        <v>501282</v>
      </c>
      <c r="J3342">
        <v>480056</v>
      </c>
      <c r="K3342">
        <v>468009</v>
      </c>
      <c r="L3342">
        <v>477355</v>
      </c>
      <c r="M3342">
        <v>538569</v>
      </c>
      <c r="N3342">
        <v>480002</v>
      </c>
      <c r="O3342">
        <v>554767</v>
      </c>
      <c r="P3342">
        <v>652096</v>
      </c>
      <c r="Q3342">
        <v>541559</v>
      </c>
      <c r="R3342">
        <v>540277</v>
      </c>
    </row>
    <row r="3343" spans="4:19" x14ac:dyDescent="0.25">
      <c r="D3343" t="s">
        <v>95</v>
      </c>
      <c r="E3343">
        <v>2014</v>
      </c>
      <c r="F3343" t="s">
        <v>28</v>
      </c>
      <c r="G3343">
        <v>676632</v>
      </c>
      <c r="H3343">
        <v>557793</v>
      </c>
      <c r="I3343">
        <v>538172</v>
      </c>
      <c r="J3343">
        <v>471911</v>
      </c>
      <c r="K3343">
        <v>454603</v>
      </c>
      <c r="L3343">
        <v>484754</v>
      </c>
      <c r="M3343">
        <v>514874</v>
      </c>
      <c r="N3343">
        <v>503559</v>
      </c>
      <c r="O3343">
        <v>579566</v>
      </c>
      <c r="P3343">
        <v>644081</v>
      </c>
      <c r="Q3343">
        <v>586473</v>
      </c>
      <c r="R3343">
        <v>622556</v>
      </c>
    </row>
    <row r="3344" spans="4:19" x14ac:dyDescent="0.25">
      <c r="D3344" t="s">
        <v>95</v>
      </c>
      <c r="E3344">
        <v>2015</v>
      </c>
      <c r="F3344" t="s">
        <v>28</v>
      </c>
      <c r="G3344">
        <v>604574</v>
      </c>
      <c r="H3344">
        <v>576505</v>
      </c>
      <c r="I3344">
        <v>622271</v>
      </c>
      <c r="J3344">
        <v>457674</v>
      </c>
      <c r="K3344">
        <v>489715</v>
      </c>
      <c r="L3344">
        <v>626416</v>
      </c>
      <c r="M3344">
        <v>612856</v>
      </c>
    </row>
    <row r="3345" spans="4:19" x14ac:dyDescent="0.25">
      <c r="D3345" t="s">
        <v>95</v>
      </c>
      <c r="E3345">
        <v>2013</v>
      </c>
      <c r="F3345" t="s">
        <v>29</v>
      </c>
      <c r="S3345">
        <v>560740</v>
      </c>
    </row>
    <row r="3346" spans="4:19" x14ac:dyDescent="0.25">
      <c r="D3346" t="s">
        <v>95</v>
      </c>
      <c r="E3346">
        <v>2014</v>
      </c>
      <c r="F3346" t="s">
        <v>29</v>
      </c>
      <c r="S3346">
        <v>576583</v>
      </c>
    </row>
    <row r="3347" spans="4:19" x14ac:dyDescent="0.25">
      <c r="D3347" t="s">
        <v>95</v>
      </c>
      <c r="E3347">
        <v>2015</v>
      </c>
      <c r="F3347" t="s">
        <v>29</v>
      </c>
      <c r="S3347">
        <v>558427</v>
      </c>
    </row>
    <row r="3348" spans="4:19" x14ac:dyDescent="0.25">
      <c r="D3348" t="s">
        <v>95</v>
      </c>
      <c r="E3348">
        <v>2013</v>
      </c>
      <c r="F3348" t="s">
        <v>30</v>
      </c>
      <c r="G3348">
        <v>89850</v>
      </c>
      <c r="H3348">
        <v>77636</v>
      </c>
      <c r="I3348">
        <v>79864</v>
      </c>
      <c r="J3348">
        <v>78786</v>
      </c>
      <c r="K3348">
        <v>77652</v>
      </c>
      <c r="L3348">
        <v>76717</v>
      </c>
      <c r="M3348">
        <v>80235</v>
      </c>
      <c r="N3348">
        <v>65981</v>
      </c>
      <c r="O3348">
        <v>85211</v>
      </c>
      <c r="P3348">
        <v>90514</v>
      </c>
      <c r="Q3348">
        <v>77279</v>
      </c>
      <c r="R3348">
        <v>75068</v>
      </c>
    </row>
    <row r="3349" spans="4:19" x14ac:dyDescent="0.25">
      <c r="D3349" t="s">
        <v>95</v>
      </c>
      <c r="E3349">
        <v>2014</v>
      </c>
      <c r="F3349" t="s">
        <v>30</v>
      </c>
      <c r="G3349">
        <v>94804</v>
      </c>
      <c r="H3349">
        <v>86888</v>
      </c>
      <c r="I3349">
        <v>81207</v>
      </c>
      <c r="J3349">
        <v>85612</v>
      </c>
      <c r="K3349">
        <v>80213</v>
      </c>
      <c r="L3349">
        <v>73088</v>
      </c>
      <c r="M3349">
        <v>74771</v>
      </c>
      <c r="N3349">
        <v>68398</v>
      </c>
      <c r="O3349">
        <v>89040</v>
      </c>
      <c r="P3349">
        <v>85473</v>
      </c>
      <c r="Q3349">
        <v>79558</v>
      </c>
      <c r="R3349">
        <v>82127</v>
      </c>
    </row>
    <row r="3350" spans="4:19" x14ac:dyDescent="0.25">
      <c r="D3350" t="s">
        <v>95</v>
      </c>
      <c r="E3350">
        <v>2015</v>
      </c>
      <c r="F3350" t="s">
        <v>30</v>
      </c>
      <c r="G3350">
        <v>89275</v>
      </c>
      <c r="H3350">
        <v>88390</v>
      </c>
      <c r="I3350">
        <v>88011</v>
      </c>
      <c r="J3350">
        <v>74129</v>
      </c>
      <c r="K3350">
        <v>65270</v>
      </c>
      <c r="L3350">
        <v>74230</v>
      </c>
      <c r="M3350">
        <v>79122</v>
      </c>
    </row>
    <row r="3351" spans="4:19" x14ac:dyDescent="0.25">
      <c r="D3351" t="s">
        <v>95</v>
      </c>
      <c r="E3351">
        <v>2013</v>
      </c>
      <c r="F3351" t="s">
        <v>31</v>
      </c>
      <c r="S3351">
        <v>0.65973039034985737</v>
      </c>
    </row>
    <row r="3352" spans="4:19" x14ac:dyDescent="0.25">
      <c r="D3352" t="s">
        <v>95</v>
      </c>
      <c r="E3352">
        <v>2014</v>
      </c>
      <c r="F3352" t="s">
        <v>31</v>
      </c>
      <c r="S3352">
        <v>0.87598166519503451</v>
      </c>
    </row>
    <row r="3353" spans="4:19" x14ac:dyDescent="0.25">
      <c r="D3353" t="s">
        <v>95</v>
      </c>
      <c r="E3353">
        <v>2015</v>
      </c>
      <c r="F3353" t="s">
        <v>31</v>
      </c>
      <c r="S3353">
        <v>0.90468924964575892</v>
      </c>
    </row>
    <row r="3354" spans="4:19" x14ac:dyDescent="0.25">
      <c r="D3354" t="s">
        <v>95</v>
      </c>
      <c r="E3354">
        <v>2013</v>
      </c>
      <c r="F3354" t="s">
        <v>32</v>
      </c>
      <c r="G3354">
        <v>0.72371381637977439</v>
      </c>
      <c r="H3354">
        <v>0.76021097410249783</v>
      </c>
      <c r="I3354">
        <v>0.58628048985747272</v>
      </c>
      <c r="J3354">
        <v>0.50634750423743469</v>
      </c>
      <c r="K3354">
        <v>0.63551609528482678</v>
      </c>
      <c r="L3354">
        <v>0.69518165421283173</v>
      </c>
      <c r="M3354">
        <v>0.74816176470588236</v>
      </c>
      <c r="N3354">
        <v>0.86398181993589818</v>
      </c>
      <c r="O3354">
        <v>0.88233803292845481</v>
      </c>
      <c r="P3354">
        <v>0.94976608187134504</v>
      </c>
      <c r="Q3354">
        <v>0.91260767925192943</v>
      </c>
      <c r="R3354">
        <v>0.94839650145772592</v>
      </c>
    </row>
    <row r="3355" spans="4:19" x14ac:dyDescent="0.25">
      <c r="D3355" t="s">
        <v>95</v>
      </c>
      <c r="E3355">
        <v>2014</v>
      </c>
      <c r="F3355" t="s">
        <v>32</v>
      </c>
      <c r="G3355">
        <v>0.83929299292251824</v>
      </c>
      <c r="H3355">
        <v>0.80257747198107887</v>
      </c>
      <c r="I3355">
        <v>0.92119397568499362</v>
      </c>
      <c r="J3355">
        <v>0.90922004660098921</v>
      </c>
      <c r="K3355">
        <v>0.87696340750048751</v>
      </c>
      <c r="L3355">
        <v>0.90282868570282648</v>
      </c>
      <c r="M3355">
        <v>0.92939550160063189</v>
      </c>
      <c r="N3355">
        <v>0.89144530637831065</v>
      </c>
      <c r="O3355">
        <v>0.92569432807387353</v>
      </c>
      <c r="P3355">
        <v>0.90486648539357173</v>
      </c>
      <c r="Q3355">
        <v>0.91583972226240418</v>
      </c>
      <c r="R3355">
        <v>0.92065299209634932</v>
      </c>
    </row>
    <row r="3356" spans="4:19" x14ac:dyDescent="0.25">
      <c r="D3356" t="s">
        <v>95</v>
      </c>
      <c r="E3356">
        <v>2015</v>
      </c>
      <c r="F3356" t="s">
        <v>32</v>
      </c>
      <c r="G3356">
        <v>0.93737307871448527</v>
      </c>
      <c r="H3356">
        <v>0.90559370913405335</v>
      </c>
      <c r="I3356">
        <v>0.89782078177848179</v>
      </c>
      <c r="J3356">
        <v>0.90782858283357248</v>
      </c>
      <c r="K3356">
        <v>0.88198041372534364</v>
      </c>
      <c r="L3356">
        <v>0.9085370541205412</v>
      </c>
      <c r="M3356">
        <v>0.89196237477743201</v>
      </c>
    </row>
    <row r="3357" spans="4:19" x14ac:dyDescent="0.25">
      <c r="D3357" t="s">
        <v>95</v>
      </c>
      <c r="E3357">
        <v>2013</v>
      </c>
      <c r="F3357" t="s">
        <v>33</v>
      </c>
      <c r="S3357">
        <v>0.5701236621173873</v>
      </c>
    </row>
    <row r="3358" spans="4:19" x14ac:dyDescent="0.25">
      <c r="D3358" t="s">
        <v>95</v>
      </c>
      <c r="E3358">
        <v>2014</v>
      </c>
      <c r="F3358" t="s">
        <v>33</v>
      </c>
      <c r="S3358">
        <v>0.80213261372071731</v>
      </c>
    </row>
    <row r="3359" spans="4:19" x14ac:dyDescent="0.25">
      <c r="D3359" t="s">
        <v>95</v>
      </c>
      <c r="E3359">
        <v>2015</v>
      </c>
      <c r="F3359" t="s">
        <v>33</v>
      </c>
      <c r="S3359">
        <v>0.90558392967066792</v>
      </c>
    </row>
    <row r="3360" spans="4:19" x14ac:dyDescent="0.25">
      <c r="D3360" t="s">
        <v>95</v>
      </c>
      <c r="E3360">
        <v>2013</v>
      </c>
      <c r="F3360" t="s">
        <v>34</v>
      </c>
      <c r="G3360">
        <v>0.66700501622897612</v>
      </c>
      <c r="H3360">
        <v>0.69392376399547118</v>
      </c>
      <c r="I3360">
        <v>0.47077816518492777</v>
      </c>
      <c r="J3360">
        <v>0.37900429457610946</v>
      </c>
      <c r="K3360">
        <v>0.57626272709123583</v>
      </c>
      <c r="L3360">
        <v>0.65570572662672422</v>
      </c>
      <c r="M3360">
        <v>0.62410327767470619</v>
      </c>
      <c r="N3360">
        <v>0.77995699372247074</v>
      </c>
      <c r="O3360">
        <v>0.81242611519296093</v>
      </c>
      <c r="P3360">
        <v>0.91737074148296593</v>
      </c>
      <c r="Q3360">
        <v>0.85746121837839717</v>
      </c>
      <c r="R3360">
        <v>0.90962391717726598</v>
      </c>
    </row>
    <row r="3361" spans="4:19" x14ac:dyDescent="0.25">
      <c r="D3361" t="s">
        <v>95</v>
      </c>
      <c r="E3361">
        <v>2014</v>
      </c>
      <c r="F3361" t="s">
        <v>34</v>
      </c>
      <c r="G3361">
        <v>0.75304916240562114</v>
      </c>
      <c r="H3361">
        <v>0.67028379697687201</v>
      </c>
      <c r="I3361">
        <v>0.87224779750261061</v>
      </c>
      <c r="J3361">
        <v>0.85744547686678541</v>
      </c>
      <c r="K3361">
        <v>0.80891012483596347</v>
      </c>
      <c r="L3361">
        <v>0.83923173339231738</v>
      </c>
      <c r="M3361">
        <v>0.90669953205338061</v>
      </c>
      <c r="N3361">
        <v>0.90320916776928084</v>
      </c>
      <c r="O3361">
        <v>0.93082346962542617</v>
      </c>
      <c r="P3361">
        <v>0.89677231188022555</v>
      </c>
      <c r="Q3361">
        <v>0.9060636937151777</v>
      </c>
      <c r="R3361">
        <v>0.92605818308847787</v>
      </c>
    </row>
    <row r="3362" spans="4:19" x14ac:dyDescent="0.25">
      <c r="D3362" t="s">
        <v>95</v>
      </c>
      <c r="E3362">
        <v>2015</v>
      </c>
      <c r="F3362" t="s">
        <v>34</v>
      </c>
      <c r="G3362">
        <v>0.95612298071912449</v>
      </c>
      <c r="H3362">
        <v>0.89797414978458157</v>
      </c>
      <c r="I3362">
        <v>0.91172233525908541</v>
      </c>
      <c r="J3362">
        <v>0.91530211006295115</v>
      </c>
      <c r="K3362">
        <v>0.85985929255423099</v>
      </c>
      <c r="L3362">
        <v>0.91569344894992732</v>
      </c>
      <c r="M3362">
        <v>0.87878586940304693</v>
      </c>
    </row>
    <row r="3363" spans="4:19" x14ac:dyDescent="0.25">
      <c r="D3363" t="s">
        <v>96</v>
      </c>
      <c r="E3363">
        <v>2013</v>
      </c>
      <c r="F3363" t="s">
        <v>17</v>
      </c>
      <c r="S3363">
        <v>0.92518228805186531</v>
      </c>
    </row>
    <row r="3364" spans="4:19" x14ac:dyDescent="0.25">
      <c r="D3364" t="s">
        <v>96</v>
      </c>
      <c r="E3364">
        <v>2014</v>
      </c>
      <c r="F3364" t="s">
        <v>17</v>
      </c>
      <c r="S3364">
        <v>0.951000958460676</v>
      </c>
    </row>
    <row r="3365" spans="4:19" x14ac:dyDescent="0.25">
      <c r="D3365" t="s">
        <v>96</v>
      </c>
      <c r="E3365">
        <v>2015</v>
      </c>
      <c r="F3365" t="s">
        <v>17</v>
      </c>
      <c r="S3365">
        <v>0.94526832501398061</v>
      </c>
    </row>
    <row r="3366" spans="4:19" x14ac:dyDescent="0.25">
      <c r="D3366" t="s">
        <v>96</v>
      </c>
      <c r="E3366">
        <v>2013</v>
      </c>
      <c r="F3366" t="s">
        <v>18</v>
      </c>
      <c r="G3366">
        <v>0.91115024032741632</v>
      </c>
      <c r="H3366">
        <v>0.90844717033732925</v>
      </c>
      <c r="I3366">
        <v>0.91932191858487355</v>
      </c>
      <c r="J3366">
        <v>0.91942209432078459</v>
      </c>
      <c r="K3366">
        <v>0.93216170825335898</v>
      </c>
      <c r="L3366">
        <v>0.93319507290095527</v>
      </c>
      <c r="M3366">
        <v>0.95913727417967309</v>
      </c>
      <c r="N3366">
        <v>0.95796178343949046</v>
      </c>
      <c r="O3366">
        <v>0.93402939804013063</v>
      </c>
      <c r="P3366">
        <v>0.96489589628083283</v>
      </c>
      <c r="Q3366">
        <v>0.93797436854547722</v>
      </c>
      <c r="R3366">
        <v>0.9379179191460647</v>
      </c>
    </row>
    <row r="3367" spans="4:19" x14ac:dyDescent="0.25">
      <c r="D3367" t="s">
        <v>96</v>
      </c>
      <c r="E3367">
        <v>2014</v>
      </c>
      <c r="F3367" t="s">
        <v>18</v>
      </c>
      <c r="G3367">
        <v>0.92033553899859322</v>
      </c>
      <c r="H3367">
        <v>0.95122515025427645</v>
      </c>
      <c r="I3367">
        <v>0.95495963091118796</v>
      </c>
      <c r="J3367">
        <v>0.96615016293143574</v>
      </c>
      <c r="K3367">
        <v>0.95783606088758666</v>
      </c>
      <c r="L3367">
        <v>0.95791366906474817</v>
      </c>
      <c r="M3367">
        <v>0.95798076227670503</v>
      </c>
      <c r="N3367">
        <v>0.97373259784607302</v>
      </c>
      <c r="O3367">
        <v>0.94954561548448013</v>
      </c>
      <c r="P3367">
        <v>0.97769539321745469</v>
      </c>
      <c r="Q3367">
        <v>0.97708982817371126</v>
      </c>
      <c r="R3367">
        <v>0.94004859150305342</v>
      </c>
    </row>
    <row r="3368" spans="4:19" x14ac:dyDescent="0.25">
      <c r="D3368" t="s">
        <v>96</v>
      </c>
      <c r="E3368">
        <v>2015</v>
      </c>
      <c r="F3368" t="s">
        <v>18</v>
      </c>
      <c r="G3368">
        <v>0.93367675466838373</v>
      </c>
      <c r="H3368">
        <v>0.93959552953698777</v>
      </c>
      <c r="I3368">
        <v>0.94251183015730911</v>
      </c>
      <c r="J3368">
        <v>0.97090265486725669</v>
      </c>
      <c r="K3368">
        <v>0.93311240952297902</v>
      </c>
      <c r="L3368">
        <v>0.93302006414559557</v>
      </c>
      <c r="M3368">
        <v>0.96726216668133413</v>
      </c>
    </row>
    <row r="3369" spans="4:19" x14ac:dyDescent="0.25">
      <c r="D3369" t="s">
        <v>96</v>
      </c>
      <c r="E3369">
        <v>2013</v>
      </c>
      <c r="F3369" t="s">
        <v>19</v>
      </c>
      <c r="S3369">
        <v>0.81247374602792843</v>
      </c>
    </row>
    <row r="3370" spans="4:19" x14ac:dyDescent="0.25">
      <c r="D3370" t="s">
        <v>96</v>
      </c>
      <c r="E3370">
        <v>2014</v>
      </c>
      <c r="F3370" t="s">
        <v>19</v>
      </c>
      <c r="S3370">
        <v>0.99580296473130037</v>
      </c>
    </row>
    <row r="3371" spans="4:19" x14ac:dyDescent="0.25">
      <c r="D3371" t="s">
        <v>96</v>
      </c>
      <c r="E3371">
        <v>2015</v>
      </c>
      <c r="F3371" t="s">
        <v>19</v>
      </c>
      <c r="S3371">
        <v>0.99427612047434888</v>
      </c>
    </row>
    <row r="3372" spans="4:19" x14ac:dyDescent="0.25">
      <c r="D3372" t="s">
        <v>96</v>
      </c>
      <c r="E3372">
        <v>2013</v>
      </c>
      <c r="F3372" t="s">
        <v>20</v>
      </c>
      <c r="G3372">
        <v>0.61254461042857589</v>
      </c>
      <c r="H3372">
        <v>0.60840020241451598</v>
      </c>
      <c r="I3372">
        <v>0.61050328227571116</v>
      </c>
      <c r="J3372">
        <v>0.99468950404001022</v>
      </c>
      <c r="K3372">
        <v>0.94717138585287264</v>
      </c>
      <c r="L3372">
        <v>0.99657997776381302</v>
      </c>
      <c r="M3372">
        <v>0.99840218055359742</v>
      </c>
      <c r="N3372">
        <v>0.99633075432544971</v>
      </c>
      <c r="O3372">
        <v>0.99783190919525566</v>
      </c>
      <c r="P3372">
        <v>0.99474450393545366</v>
      </c>
      <c r="Q3372">
        <v>0.99500927152317886</v>
      </c>
      <c r="R3372">
        <v>0.98899208454079068</v>
      </c>
    </row>
    <row r="3373" spans="4:19" x14ac:dyDescent="0.25">
      <c r="D3373" t="s">
        <v>96</v>
      </c>
      <c r="E3373">
        <v>2014</v>
      </c>
      <c r="F3373" t="s">
        <v>20</v>
      </c>
      <c r="G3373">
        <v>0.99355206560291121</v>
      </c>
      <c r="H3373">
        <v>0.99859295196849673</v>
      </c>
      <c r="I3373">
        <v>0.99086872345139132</v>
      </c>
      <c r="J3373">
        <v>0.99798804434040744</v>
      </c>
      <c r="K3373">
        <v>0.99592062852538277</v>
      </c>
      <c r="L3373">
        <v>0.99717282597684853</v>
      </c>
      <c r="M3373">
        <v>0.9966425546763743</v>
      </c>
      <c r="N3373">
        <v>0.99782860303381027</v>
      </c>
      <c r="O3373">
        <v>0.9981792581083706</v>
      </c>
      <c r="P3373">
        <v>0.99904189191294457</v>
      </c>
      <c r="Q3373">
        <v>0.9979981521404373</v>
      </c>
      <c r="R3373">
        <v>0.99474063636661536</v>
      </c>
    </row>
    <row r="3374" spans="4:19" x14ac:dyDescent="0.25">
      <c r="D3374" t="s">
        <v>96</v>
      </c>
      <c r="E3374">
        <v>2015</v>
      </c>
      <c r="F3374" t="s">
        <v>20</v>
      </c>
      <c r="G3374">
        <v>0.9941346186483826</v>
      </c>
      <c r="H3374">
        <v>0.99634926209357977</v>
      </c>
      <c r="I3374">
        <v>0.99064368574255435</v>
      </c>
      <c r="J3374">
        <v>0.99829723360986478</v>
      </c>
      <c r="K3374">
        <v>0.98682006328496852</v>
      </c>
      <c r="L3374">
        <v>0.99602814265414341</v>
      </c>
      <c r="M3374">
        <v>0.99725187093608147</v>
      </c>
    </row>
    <row r="3375" spans="4:19" x14ac:dyDescent="0.25">
      <c r="D3375" t="s">
        <v>96</v>
      </c>
      <c r="E3375">
        <v>2013</v>
      </c>
      <c r="F3375" t="s">
        <v>21</v>
      </c>
      <c r="S3375">
        <v>0.95990158349630939</v>
      </c>
    </row>
    <row r="3376" spans="4:19" x14ac:dyDescent="0.25">
      <c r="D3376" t="s">
        <v>96</v>
      </c>
      <c r="E3376">
        <v>2014</v>
      </c>
      <c r="F3376" t="s">
        <v>21</v>
      </c>
      <c r="S3376">
        <v>0.98105599929877618</v>
      </c>
    </row>
    <row r="3377" spans="4:19" x14ac:dyDescent="0.25">
      <c r="D3377" t="s">
        <v>96</v>
      </c>
      <c r="E3377">
        <v>2015</v>
      </c>
      <c r="F3377" t="s">
        <v>21</v>
      </c>
      <c r="S3377">
        <v>0.98009301827335948</v>
      </c>
    </row>
    <row r="3378" spans="4:19" x14ac:dyDescent="0.25">
      <c r="D3378" t="s">
        <v>96</v>
      </c>
      <c r="E3378">
        <v>2013</v>
      </c>
      <c r="F3378" t="s">
        <v>22</v>
      </c>
      <c r="G3378">
        <v>0.90464658695323141</v>
      </c>
      <c r="H3378">
        <v>0.95447425102800076</v>
      </c>
      <c r="I3378">
        <v>0.93942969518190755</v>
      </c>
      <c r="J3378">
        <v>0.98665813762222421</v>
      </c>
      <c r="K3378">
        <v>0.93717960667350175</v>
      </c>
      <c r="L3378">
        <v>0.99879569892473119</v>
      </c>
      <c r="M3378">
        <v>0.99975728155339805</v>
      </c>
      <c r="N3378">
        <v>0.99988522896820842</v>
      </c>
      <c r="O3378">
        <v>0.99917585247759344</v>
      </c>
      <c r="P3378">
        <v>0.99962984897838314</v>
      </c>
      <c r="Q3378">
        <v>0.99640707805622919</v>
      </c>
      <c r="R3378">
        <v>0.99186894655028102</v>
      </c>
    </row>
    <row r="3379" spans="4:19" x14ac:dyDescent="0.25">
      <c r="D3379" t="s">
        <v>96</v>
      </c>
      <c r="E3379">
        <v>2014</v>
      </c>
      <c r="F3379" t="s">
        <v>22</v>
      </c>
      <c r="G3379">
        <v>0.99815728858177033</v>
      </c>
      <c r="H3379">
        <v>0.99806966745634818</v>
      </c>
      <c r="I3379">
        <v>0.9154685605404469</v>
      </c>
      <c r="J3379">
        <v>0.96441560293803041</v>
      </c>
      <c r="K3379">
        <v>0.99047066622472657</v>
      </c>
      <c r="L3379">
        <v>0.99635263076206737</v>
      </c>
      <c r="M3379">
        <v>0.9970326409495549</v>
      </c>
      <c r="N3379">
        <v>0.99758296922933909</v>
      </c>
      <c r="O3379">
        <v>0.99768903011482635</v>
      </c>
      <c r="P3379">
        <v>0.99947510005905127</v>
      </c>
      <c r="Q3379">
        <v>0.99926356271990835</v>
      </c>
      <c r="R3379">
        <v>0.99905222726592513</v>
      </c>
    </row>
    <row r="3380" spans="4:19" x14ac:dyDescent="0.25">
      <c r="D3380" t="s">
        <v>96</v>
      </c>
      <c r="E3380">
        <v>2015</v>
      </c>
      <c r="F3380" t="s">
        <v>22</v>
      </c>
      <c r="G3380">
        <v>0.99485743671790183</v>
      </c>
      <c r="H3380">
        <v>0.99391365888181171</v>
      </c>
      <c r="I3380">
        <v>0.93526187576126674</v>
      </c>
      <c r="J3380">
        <v>0.99431251832307244</v>
      </c>
      <c r="K3380">
        <v>0.9386849232621125</v>
      </c>
      <c r="L3380">
        <v>0.99628783552255851</v>
      </c>
      <c r="M3380">
        <v>0.99913113634953143</v>
      </c>
    </row>
    <row r="3381" spans="4:19" x14ac:dyDescent="0.25">
      <c r="D3381" t="s">
        <v>96</v>
      </c>
      <c r="E3381">
        <v>2013</v>
      </c>
      <c r="F3381" t="s">
        <v>23</v>
      </c>
      <c r="S3381">
        <v>204657</v>
      </c>
    </row>
    <row r="3382" spans="4:19" x14ac:dyDescent="0.25">
      <c r="D3382" t="s">
        <v>96</v>
      </c>
      <c r="E3382">
        <v>2014</v>
      </c>
      <c r="F3382" t="s">
        <v>23</v>
      </c>
      <c r="S3382">
        <v>212182</v>
      </c>
    </row>
    <row r="3383" spans="4:19" x14ac:dyDescent="0.25">
      <c r="D3383" t="s">
        <v>96</v>
      </c>
      <c r="E3383">
        <v>2015</v>
      </c>
      <c r="F3383" t="s">
        <v>23</v>
      </c>
      <c r="S3383">
        <v>186129</v>
      </c>
    </row>
    <row r="3384" spans="4:19" x14ac:dyDescent="0.25">
      <c r="D3384" t="s">
        <v>96</v>
      </c>
      <c r="E3384">
        <v>2013</v>
      </c>
      <c r="F3384" t="s">
        <v>24</v>
      </c>
      <c r="G3384">
        <v>35740</v>
      </c>
      <c r="H3384">
        <v>34544</v>
      </c>
      <c r="I3384">
        <v>30851</v>
      </c>
      <c r="J3384">
        <v>26274</v>
      </c>
      <c r="K3384">
        <v>26410</v>
      </c>
      <c r="L3384">
        <v>24050</v>
      </c>
      <c r="M3384">
        <v>26788</v>
      </c>
      <c r="N3384">
        <v>26466</v>
      </c>
      <c r="O3384">
        <v>28501</v>
      </c>
      <c r="P3384">
        <v>27735</v>
      </c>
      <c r="Q3384">
        <v>27428</v>
      </c>
      <c r="R3384">
        <v>28161</v>
      </c>
    </row>
    <row r="3385" spans="4:19" x14ac:dyDescent="0.25">
      <c r="D3385" t="s">
        <v>96</v>
      </c>
      <c r="E3385">
        <v>2014</v>
      </c>
      <c r="F3385" t="s">
        <v>24</v>
      </c>
      <c r="G3385">
        <v>34197</v>
      </c>
      <c r="H3385">
        <v>33569</v>
      </c>
      <c r="I3385">
        <v>31150</v>
      </c>
      <c r="J3385">
        <v>26948</v>
      </c>
      <c r="K3385">
        <v>26159</v>
      </c>
      <c r="L3385">
        <v>29481</v>
      </c>
      <c r="M3385">
        <v>30678</v>
      </c>
      <c r="N3385">
        <v>28838</v>
      </c>
      <c r="O3385">
        <v>37473</v>
      </c>
      <c r="P3385">
        <v>29134</v>
      </c>
      <c r="Q3385">
        <v>25331</v>
      </c>
      <c r="R3385">
        <v>29905</v>
      </c>
    </row>
    <row r="3386" spans="4:19" x14ac:dyDescent="0.25">
      <c r="D3386" t="s">
        <v>96</v>
      </c>
      <c r="E3386">
        <v>2015</v>
      </c>
      <c r="F3386" t="s">
        <v>24</v>
      </c>
      <c r="G3386">
        <v>30337</v>
      </c>
      <c r="H3386">
        <v>28183</v>
      </c>
      <c r="I3386">
        <v>29155</v>
      </c>
      <c r="J3386">
        <v>25042</v>
      </c>
      <c r="K3386">
        <v>21778</v>
      </c>
      <c r="L3386">
        <v>25202</v>
      </c>
      <c r="M3386">
        <v>26432</v>
      </c>
    </row>
    <row r="3387" spans="4:19" x14ac:dyDescent="0.25">
      <c r="D3387" t="s">
        <v>96</v>
      </c>
      <c r="E3387">
        <v>2013</v>
      </c>
      <c r="F3387" t="s">
        <v>25</v>
      </c>
      <c r="S3387">
        <v>558712</v>
      </c>
    </row>
    <row r="3388" spans="4:19" x14ac:dyDescent="0.25">
      <c r="D3388" t="s">
        <v>96</v>
      </c>
      <c r="E3388">
        <v>2014</v>
      </c>
      <c r="F3388" t="s">
        <v>25</v>
      </c>
      <c r="S3388">
        <v>568503</v>
      </c>
    </row>
    <row r="3389" spans="4:19" x14ac:dyDescent="0.25">
      <c r="D3389" t="s">
        <v>96</v>
      </c>
      <c r="E3389">
        <v>2015</v>
      </c>
      <c r="F3389" t="s">
        <v>25</v>
      </c>
      <c r="S3389">
        <v>632509</v>
      </c>
    </row>
    <row r="3390" spans="4:19" x14ac:dyDescent="0.25">
      <c r="D3390" t="s">
        <v>96</v>
      </c>
      <c r="E3390">
        <v>2013</v>
      </c>
      <c r="F3390" t="s">
        <v>26</v>
      </c>
      <c r="G3390">
        <v>89160</v>
      </c>
      <c r="H3390">
        <v>77734</v>
      </c>
      <c r="I3390">
        <v>79802</v>
      </c>
      <c r="J3390">
        <v>77039</v>
      </c>
      <c r="K3390">
        <v>73364</v>
      </c>
      <c r="L3390">
        <v>77395</v>
      </c>
      <c r="M3390">
        <v>84218</v>
      </c>
      <c r="N3390">
        <v>70031</v>
      </c>
      <c r="O3390">
        <v>91354</v>
      </c>
      <c r="P3390">
        <v>98471</v>
      </c>
      <c r="Q3390">
        <v>90655</v>
      </c>
      <c r="R3390">
        <v>96627</v>
      </c>
    </row>
    <row r="3391" spans="4:19" x14ac:dyDescent="0.25">
      <c r="D3391" t="s">
        <v>96</v>
      </c>
      <c r="E3391">
        <v>2014</v>
      </c>
      <c r="F3391" t="s">
        <v>26</v>
      </c>
      <c r="G3391">
        <v>92543</v>
      </c>
      <c r="H3391">
        <v>84676</v>
      </c>
      <c r="I3391">
        <v>80697</v>
      </c>
      <c r="J3391">
        <v>76622</v>
      </c>
      <c r="K3391">
        <v>72679</v>
      </c>
      <c r="L3391">
        <v>77834</v>
      </c>
      <c r="M3391">
        <v>83452</v>
      </c>
      <c r="N3391">
        <v>76851</v>
      </c>
      <c r="O3391">
        <v>92787</v>
      </c>
      <c r="P3391">
        <v>95726</v>
      </c>
      <c r="Q3391">
        <v>90929</v>
      </c>
      <c r="R3391">
        <v>112305</v>
      </c>
    </row>
    <row r="3392" spans="4:19" x14ac:dyDescent="0.25">
      <c r="D3392" t="s">
        <v>96</v>
      </c>
      <c r="E3392">
        <v>2015</v>
      </c>
      <c r="F3392" t="s">
        <v>26</v>
      </c>
      <c r="G3392">
        <v>97154</v>
      </c>
      <c r="H3392">
        <v>86367</v>
      </c>
      <c r="I3392">
        <v>92028</v>
      </c>
      <c r="J3392">
        <v>83326</v>
      </c>
      <c r="K3392">
        <v>76718</v>
      </c>
      <c r="L3392">
        <v>96765</v>
      </c>
      <c r="M3392">
        <v>100151</v>
      </c>
    </row>
    <row r="3393" spans="4:19" x14ac:dyDescent="0.25">
      <c r="D3393" t="s">
        <v>96</v>
      </c>
      <c r="E3393">
        <v>2013</v>
      </c>
      <c r="F3393" t="s">
        <v>27</v>
      </c>
      <c r="S3393">
        <v>993622</v>
      </c>
    </row>
    <row r="3394" spans="4:19" x14ac:dyDescent="0.25">
      <c r="D3394" t="s">
        <v>96</v>
      </c>
      <c r="E3394">
        <v>2014</v>
      </c>
      <c r="F3394" t="s">
        <v>27</v>
      </c>
      <c r="S3394">
        <v>998072</v>
      </c>
    </row>
    <row r="3395" spans="4:19" x14ac:dyDescent="0.25">
      <c r="D3395" t="s">
        <v>96</v>
      </c>
      <c r="E3395">
        <v>2015</v>
      </c>
      <c r="F3395" t="s">
        <v>27</v>
      </c>
      <c r="S3395">
        <v>1120426</v>
      </c>
    </row>
    <row r="3396" spans="4:19" x14ac:dyDescent="0.25">
      <c r="D3396" t="s">
        <v>96</v>
      </c>
      <c r="E3396">
        <v>2013</v>
      </c>
      <c r="F3396" t="s">
        <v>28</v>
      </c>
      <c r="G3396">
        <v>155159</v>
      </c>
      <c r="H3396">
        <v>139952</v>
      </c>
      <c r="I3396">
        <v>141448</v>
      </c>
      <c r="J3396">
        <v>137411</v>
      </c>
      <c r="K3396">
        <v>129969</v>
      </c>
      <c r="L3396">
        <v>138190</v>
      </c>
      <c r="M3396">
        <v>151493</v>
      </c>
      <c r="N3396">
        <v>122853</v>
      </c>
      <c r="O3396">
        <v>153727</v>
      </c>
      <c r="P3396">
        <v>176277</v>
      </c>
      <c r="Q3396">
        <v>153982</v>
      </c>
      <c r="R3396">
        <v>163417</v>
      </c>
    </row>
    <row r="3397" spans="4:19" x14ac:dyDescent="0.25">
      <c r="D3397" t="s">
        <v>96</v>
      </c>
      <c r="E3397">
        <v>2014</v>
      </c>
      <c r="F3397" t="s">
        <v>28</v>
      </c>
      <c r="G3397">
        <v>159263</v>
      </c>
      <c r="H3397">
        <v>152641</v>
      </c>
      <c r="I3397">
        <v>142722</v>
      </c>
      <c r="J3397">
        <v>137650</v>
      </c>
      <c r="K3397">
        <v>125480</v>
      </c>
      <c r="L3397">
        <v>135497</v>
      </c>
      <c r="M3397">
        <v>144819</v>
      </c>
      <c r="N3397">
        <v>129051</v>
      </c>
      <c r="O3397">
        <v>161904</v>
      </c>
      <c r="P3397">
        <v>169422</v>
      </c>
      <c r="Q3397">
        <v>154142</v>
      </c>
      <c r="R3397">
        <v>194896</v>
      </c>
    </row>
    <row r="3398" spans="4:19" x14ac:dyDescent="0.25">
      <c r="D3398" t="s">
        <v>96</v>
      </c>
      <c r="E3398">
        <v>2015</v>
      </c>
      <c r="F3398" t="s">
        <v>28</v>
      </c>
      <c r="G3398">
        <v>168954</v>
      </c>
      <c r="H3398">
        <v>156969</v>
      </c>
      <c r="I3398">
        <v>166842</v>
      </c>
      <c r="J3398">
        <v>149509</v>
      </c>
      <c r="K3398">
        <v>133028</v>
      </c>
      <c r="L3398">
        <v>172017</v>
      </c>
      <c r="M3398">
        <v>173107</v>
      </c>
    </row>
    <row r="3399" spans="4:19" x14ac:dyDescent="0.25">
      <c r="D3399" t="s">
        <v>96</v>
      </c>
      <c r="E3399">
        <v>2013</v>
      </c>
      <c r="F3399" t="s">
        <v>29</v>
      </c>
      <c r="S3399">
        <v>122471</v>
      </c>
    </row>
    <row r="3400" spans="4:19" x14ac:dyDescent="0.25">
      <c r="D3400" t="s">
        <v>96</v>
      </c>
      <c r="E3400">
        <v>2014</v>
      </c>
      <c r="F3400" t="s">
        <v>29</v>
      </c>
      <c r="S3400">
        <v>110594</v>
      </c>
    </row>
    <row r="3401" spans="4:19" x14ac:dyDescent="0.25">
      <c r="D3401" t="s">
        <v>96</v>
      </c>
      <c r="E3401">
        <v>2015</v>
      </c>
      <c r="F3401" t="s">
        <v>29</v>
      </c>
      <c r="S3401">
        <v>96562</v>
      </c>
    </row>
    <row r="3402" spans="4:19" x14ac:dyDescent="0.25">
      <c r="D3402" t="s">
        <v>96</v>
      </c>
      <c r="E3402">
        <v>2013</v>
      </c>
      <c r="F3402" t="s">
        <v>30</v>
      </c>
      <c r="G3402">
        <v>21013</v>
      </c>
      <c r="H3402">
        <v>17935</v>
      </c>
      <c r="I3402">
        <v>17638</v>
      </c>
      <c r="J3402">
        <v>17027</v>
      </c>
      <c r="K3402">
        <v>16672</v>
      </c>
      <c r="L3402">
        <v>15912</v>
      </c>
      <c r="M3402">
        <v>16274</v>
      </c>
      <c r="N3402">
        <v>13345</v>
      </c>
      <c r="O3402">
        <v>17144</v>
      </c>
      <c r="P3402">
        <v>18203</v>
      </c>
      <c r="Q3402">
        <v>16074</v>
      </c>
      <c r="R3402">
        <v>16301</v>
      </c>
    </row>
    <row r="3403" spans="4:19" x14ac:dyDescent="0.25">
      <c r="D3403" t="s">
        <v>96</v>
      </c>
      <c r="E3403">
        <v>2014</v>
      </c>
      <c r="F3403" t="s">
        <v>30</v>
      </c>
      <c r="G3403">
        <v>19193</v>
      </c>
      <c r="H3403">
        <v>17304</v>
      </c>
      <c r="I3403">
        <v>17340</v>
      </c>
      <c r="J3403">
        <v>15037</v>
      </c>
      <c r="K3403">
        <v>13993</v>
      </c>
      <c r="L3403">
        <v>13900</v>
      </c>
      <c r="M3403">
        <v>13827</v>
      </c>
      <c r="N3403">
        <v>11421</v>
      </c>
      <c r="O3403">
        <v>16946</v>
      </c>
      <c r="P3403">
        <v>16454</v>
      </c>
      <c r="Q3403">
        <v>13793</v>
      </c>
      <c r="R3403">
        <v>15229</v>
      </c>
    </row>
    <row r="3404" spans="4:19" x14ac:dyDescent="0.25">
      <c r="D3404" t="s">
        <v>96</v>
      </c>
      <c r="E3404">
        <v>2015</v>
      </c>
      <c r="F3404" t="s">
        <v>30</v>
      </c>
      <c r="G3404">
        <v>15530</v>
      </c>
      <c r="H3404">
        <v>15032</v>
      </c>
      <c r="I3404">
        <v>15638</v>
      </c>
      <c r="J3404">
        <v>14125</v>
      </c>
      <c r="K3404">
        <v>11467</v>
      </c>
      <c r="L3404">
        <v>13407</v>
      </c>
      <c r="M3404">
        <v>11363</v>
      </c>
    </row>
    <row r="3405" spans="4:19" x14ac:dyDescent="0.25">
      <c r="D3405" t="s">
        <v>96</v>
      </c>
      <c r="E3405">
        <v>2013</v>
      </c>
      <c r="F3405" t="s">
        <v>31</v>
      </c>
      <c r="S3405">
        <v>0.88606790874487562</v>
      </c>
    </row>
    <row r="3406" spans="4:19" x14ac:dyDescent="0.25">
      <c r="D3406" t="s">
        <v>96</v>
      </c>
      <c r="E3406">
        <v>2014</v>
      </c>
      <c r="F3406" t="s">
        <v>31</v>
      </c>
      <c r="S3406">
        <v>0.90913932378806872</v>
      </c>
    </row>
    <row r="3407" spans="4:19" x14ac:dyDescent="0.25">
      <c r="D3407" t="s">
        <v>96</v>
      </c>
      <c r="E3407">
        <v>2015</v>
      </c>
      <c r="F3407" t="s">
        <v>31</v>
      </c>
      <c r="S3407">
        <v>0.91077693427676509</v>
      </c>
    </row>
    <row r="3408" spans="4:19" x14ac:dyDescent="0.25">
      <c r="D3408" t="s">
        <v>96</v>
      </c>
      <c r="E3408">
        <v>2013</v>
      </c>
      <c r="F3408" t="s">
        <v>32</v>
      </c>
      <c r="G3408">
        <v>0.85517627308337996</v>
      </c>
      <c r="H3408">
        <v>0.85288327929597041</v>
      </c>
      <c r="I3408">
        <v>0.90557842533467314</v>
      </c>
      <c r="J3408">
        <v>0.89221283398036078</v>
      </c>
      <c r="K3408">
        <v>0.88572510412722449</v>
      </c>
      <c r="L3408">
        <v>0.87517671517671514</v>
      </c>
      <c r="M3408">
        <v>0.95169478871136326</v>
      </c>
      <c r="N3408">
        <v>0.96127106476233659</v>
      </c>
      <c r="O3408">
        <v>0.94715974878074449</v>
      </c>
      <c r="P3408">
        <v>0.95943753380205521</v>
      </c>
      <c r="Q3408">
        <v>0.93262359632492342</v>
      </c>
      <c r="R3408">
        <v>0.95049891694186994</v>
      </c>
    </row>
    <row r="3409" spans="4:19" x14ac:dyDescent="0.25">
      <c r="D3409" t="s">
        <v>96</v>
      </c>
      <c r="E3409">
        <v>2014</v>
      </c>
      <c r="F3409" t="s">
        <v>32</v>
      </c>
      <c r="G3409">
        <v>0.92493493581308306</v>
      </c>
      <c r="H3409">
        <v>0.92927999046739551</v>
      </c>
      <c r="I3409">
        <v>0.9514285714285714</v>
      </c>
      <c r="J3409">
        <v>0.94778833308594335</v>
      </c>
      <c r="K3409">
        <v>0.88183799074888181</v>
      </c>
      <c r="L3409">
        <v>0.84447610325294253</v>
      </c>
      <c r="M3409">
        <v>0.87802333920073017</v>
      </c>
      <c r="N3409">
        <v>0.91851029891115887</v>
      </c>
      <c r="O3409">
        <v>0.9274410909187949</v>
      </c>
      <c r="P3409">
        <v>0.92458982631976383</v>
      </c>
      <c r="Q3409">
        <v>0.92704591212348508</v>
      </c>
      <c r="R3409">
        <v>0.92091623474335393</v>
      </c>
    </row>
    <row r="3410" spans="4:19" x14ac:dyDescent="0.25">
      <c r="D3410" t="s">
        <v>96</v>
      </c>
      <c r="E3410">
        <v>2015</v>
      </c>
      <c r="F3410" t="s">
        <v>32</v>
      </c>
      <c r="G3410">
        <v>0.92306424498137585</v>
      </c>
      <c r="H3410">
        <v>0.92772238583543276</v>
      </c>
      <c r="I3410">
        <v>0.89645000857485857</v>
      </c>
      <c r="J3410">
        <v>0.91642041370497562</v>
      </c>
      <c r="K3410">
        <v>0.91422536504729546</v>
      </c>
      <c r="L3410">
        <v>0.89524640901515751</v>
      </c>
      <c r="M3410">
        <v>0.90102905569007263</v>
      </c>
    </row>
    <row r="3411" spans="4:19" x14ac:dyDescent="0.25">
      <c r="D3411" t="s">
        <v>96</v>
      </c>
      <c r="E3411">
        <v>2013</v>
      </c>
      <c r="F3411" t="s">
        <v>33</v>
      </c>
      <c r="S3411">
        <v>0.91364003228410007</v>
      </c>
    </row>
    <row r="3412" spans="4:19" x14ac:dyDescent="0.25">
      <c r="D3412" t="s">
        <v>96</v>
      </c>
      <c r="E3412">
        <v>2014</v>
      </c>
      <c r="F3412" t="s">
        <v>33</v>
      </c>
      <c r="S3412">
        <v>0.8987001873736703</v>
      </c>
    </row>
    <row r="3413" spans="4:19" x14ac:dyDescent="0.25">
      <c r="D3413" t="s">
        <v>96</v>
      </c>
      <c r="E3413">
        <v>2015</v>
      </c>
      <c r="F3413" t="s">
        <v>33</v>
      </c>
      <c r="S3413">
        <v>0.92407102671686669</v>
      </c>
    </row>
    <row r="3414" spans="4:19" x14ac:dyDescent="0.25">
      <c r="D3414" t="s">
        <v>96</v>
      </c>
      <c r="E3414">
        <v>2013</v>
      </c>
      <c r="F3414" t="s">
        <v>34</v>
      </c>
      <c r="G3414">
        <v>0.85953776041666663</v>
      </c>
      <c r="H3414">
        <v>0.8709634785673378</v>
      </c>
      <c r="I3414">
        <v>0.95466949666464529</v>
      </c>
      <c r="J3414">
        <v>0.93477014788490198</v>
      </c>
      <c r="K3414">
        <v>0.92618669089257322</v>
      </c>
      <c r="L3414">
        <v>0.9241879494173072</v>
      </c>
      <c r="M3414">
        <v>0.95392803681321725</v>
      </c>
      <c r="N3414">
        <v>0.94175334323922733</v>
      </c>
      <c r="O3414">
        <v>0.92640692640692646</v>
      </c>
      <c r="P3414">
        <v>0.94724616734630673</v>
      </c>
      <c r="Q3414">
        <v>0.90493512134209242</v>
      </c>
      <c r="R3414">
        <v>0.92881121116854048</v>
      </c>
    </row>
    <row r="3415" spans="4:19" x14ac:dyDescent="0.25">
      <c r="D3415" t="s">
        <v>96</v>
      </c>
      <c r="E3415">
        <v>2014</v>
      </c>
      <c r="F3415" t="s">
        <v>34</v>
      </c>
      <c r="G3415">
        <v>0.89135771119011342</v>
      </c>
      <c r="H3415">
        <v>0.89639069523851089</v>
      </c>
      <c r="I3415">
        <v>0.92593136534978215</v>
      </c>
      <c r="J3415">
        <v>0.925441153092046</v>
      </c>
      <c r="K3415">
        <v>0.84958938013274832</v>
      </c>
      <c r="L3415">
        <v>0.89755011135857465</v>
      </c>
      <c r="M3415">
        <v>0.90219400961419949</v>
      </c>
      <c r="N3415">
        <v>0.95833333333333337</v>
      </c>
      <c r="O3415">
        <v>0.9381611953320973</v>
      </c>
      <c r="P3415">
        <v>0.94718063077413184</v>
      </c>
      <c r="Q3415">
        <v>0.94022063208109719</v>
      </c>
      <c r="R3415">
        <v>0.92734866756868051</v>
      </c>
    </row>
    <row r="3416" spans="4:19" x14ac:dyDescent="0.25">
      <c r="D3416" t="s">
        <v>96</v>
      </c>
      <c r="E3416">
        <v>2015</v>
      </c>
      <c r="F3416" t="s">
        <v>34</v>
      </c>
      <c r="G3416">
        <v>0.93385792109172949</v>
      </c>
      <c r="H3416">
        <v>0.94516602665461935</v>
      </c>
      <c r="I3416">
        <v>0.91393661295486073</v>
      </c>
      <c r="J3416">
        <v>0.94309623430962342</v>
      </c>
      <c r="K3416">
        <v>0.92558139534883721</v>
      </c>
      <c r="L3416">
        <v>0.89923919094451665</v>
      </c>
      <c r="M3416">
        <v>0.90703129822828565</v>
      </c>
    </row>
    <row r="3417" spans="4:19" x14ac:dyDescent="0.25">
      <c r="D3417" t="s">
        <v>97</v>
      </c>
      <c r="E3417">
        <v>2013</v>
      </c>
      <c r="F3417" t="s">
        <v>17</v>
      </c>
      <c r="S3417">
        <v>0.86811542852643597</v>
      </c>
    </row>
    <row r="3418" spans="4:19" x14ac:dyDescent="0.25">
      <c r="D3418" t="s">
        <v>97</v>
      </c>
      <c r="E3418">
        <v>2014</v>
      </c>
      <c r="F3418" t="s">
        <v>17</v>
      </c>
      <c r="S3418">
        <v>0.81456082293369481</v>
      </c>
    </row>
    <row r="3419" spans="4:19" x14ac:dyDescent="0.25">
      <c r="D3419" t="s">
        <v>97</v>
      </c>
      <c r="E3419">
        <v>2015</v>
      </c>
      <c r="F3419" t="s">
        <v>17</v>
      </c>
      <c r="S3419">
        <v>0.92148632527725005</v>
      </c>
    </row>
    <row r="3420" spans="4:19" x14ac:dyDescent="0.25">
      <c r="D3420" t="s">
        <v>97</v>
      </c>
      <c r="E3420">
        <v>2013</v>
      </c>
      <c r="F3420" t="s">
        <v>18</v>
      </c>
      <c r="G3420">
        <v>0.84634309997763368</v>
      </c>
      <c r="H3420">
        <v>0.73072123783379084</v>
      </c>
      <c r="I3420">
        <v>0.84071789119461582</v>
      </c>
      <c r="J3420">
        <v>0.90559623430962344</v>
      </c>
      <c r="K3420">
        <v>0.8854961832061069</v>
      </c>
      <c r="L3420">
        <v>0.98484848484848486</v>
      </c>
      <c r="M3420">
        <v>0.93632075471698117</v>
      </c>
      <c r="N3420">
        <v>0.95162635529608008</v>
      </c>
      <c r="O3420">
        <v>0.89578630549285176</v>
      </c>
      <c r="P3420">
        <v>0.92747766907698848</v>
      </c>
      <c r="Q3420">
        <v>0.9187203791469194</v>
      </c>
      <c r="R3420">
        <v>0.90756526371870005</v>
      </c>
    </row>
    <row r="3421" spans="4:19" x14ac:dyDescent="0.25">
      <c r="D3421" t="s">
        <v>97</v>
      </c>
      <c r="E3421">
        <v>2014</v>
      </c>
      <c r="F3421" t="s">
        <v>18</v>
      </c>
      <c r="G3421">
        <v>0.79376601195559349</v>
      </c>
      <c r="H3421">
        <v>0.8198077949813134</v>
      </c>
      <c r="I3421">
        <v>0.84746778543602042</v>
      </c>
      <c r="J3421">
        <v>0.86003031834259724</v>
      </c>
      <c r="K3421">
        <v>0.87361923326835611</v>
      </c>
      <c r="L3421">
        <v>0.66327108092812681</v>
      </c>
      <c r="M3421">
        <v>0.86588921282798836</v>
      </c>
      <c r="N3421">
        <v>0.87834474175482269</v>
      </c>
      <c r="O3421">
        <v>0.85637927027655125</v>
      </c>
      <c r="P3421">
        <v>0.87288796464777751</v>
      </c>
      <c r="Q3421">
        <v>0.85635996538794346</v>
      </c>
      <c r="R3421">
        <v>0.75554879902705985</v>
      </c>
    </row>
    <row r="3422" spans="4:19" x14ac:dyDescent="0.25">
      <c r="D3422" t="s">
        <v>97</v>
      </c>
      <c r="E3422">
        <v>2015</v>
      </c>
      <c r="F3422" t="s">
        <v>18</v>
      </c>
      <c r="G3422">
        <v>0.8820826952526799</v>
      </c>
      <c r="H3422">
        <v>0.90566549200325286</v>
      </c>
      <c r="I3422">
        <v>0.92221135029354206</v>
      </c>
      <c r="J3422">
        <v>0.9475138121546961</v>
      </c>
      <c r="K3422">
        <v>0.91666666666666663</v>
      </c>
      <c r="L3422">
        <v>0.9723429474516001</v>
      </c>
      <c r="M3422">
        <v>0.92626308602639962</v>
      </c>
    </row>
    <row r="3423" spans="4:19" x14ac:dyDescent="0.25">
      <c r="D3423" t="s">
        <v>97</v>
      </c>
      <c r="E3423">
        <v>2013</v>
      </c>
      <c r="F3423" t="s">
        <v>19</v>
      </c>
      <c r="S3423">
        <v>0.8486636599747297</v>
      </c>
    </row>
    <row r="3424" spans="4:19" x14ac:dyDescent="0.25">
      <c r="D3424" t="s">
        <v>97</v>
      </c>
      <c r="E3424">
        <v>2014</v>
      </c>
      <c r="F3424" t="s">
        <v>19</v>
      </c>
      <c r="S3424">
        <v>0.98168171501402768</v>
      </c>
    </row>
    <row r="3425" spans="4:19" x14ac:dyDescent="0.25">
      <c r="D3425" t="s">
        <v>97</v>
      </c>
      <c r="E3425">
        <v>2015</v>
      </c>
      <c r="F3425" t="s">
        <v>19</v>
      </c>
      <c r="S3425">
        <v>0.98691042047531996</v>
      </c>
    </row>
    <row r="3426" spans="4:19" x14ac:dyDescent="0.25">
      <c r="D3426" t="s">
        <v>97</v>
      </c>
      <c r="E3426">
        <v>2013</v>
      </c>
      <c r="F3426" t="s">
        <v>20</v>
      </c>
      <c r="G3426">
        <v>0.71195985109090054</v>
      </c>
      <c r="H3426">
        <v>0.85677051392125603</v>
      </c>
      <c r="I3426">
        <v>0.86503167126847491</v>
      </c>
      <c r="J3426">
        <v>0.80208549851035815</v>
      </c>
      <c r="K3426">
        <v>0.75130018722696068</v>
      </c>
      <c r="L3426">
        <v>0.99255970989120923</v>
      </c>
      <c r="M3426">
        <v>0.99012376161229587</v>
      </c>
      <c r="N3426">
        <v>0.99766167056388244</v>
      </c>
      <c r="O3426">
        <v>0.99993800371977681</v>
      </c>
      <c r="P3426">
        <v>0.99865457444688066</v>
      </c>
      <c r="Q3426">
        <v>0.98601714027965714</v>
      </c>
      <c r="R3426">
        <v>0.79005291600990768</v>
      </c>
    </row>
    <row r="3427" spans="4:19" x14ac:dyDescent="0.25">
      <c r="D3427" t="s">
        <v>97</v>
      </c>
      <c r="E3427">
        <v>2014</v>
      </c>
      <c r="F3427" t="s">
        <v>20</v>
      </c>
      <c r="G3427">
        <v>0.91506032883906063</v>
      </c>
      <c r="H3427">
        <v>0.99747789911596463</v>
      </c>
      <c r="I3427">
        <v>0.99648740639891087</v>
      </c>
      <c r="J3427">
        <v>0.99737358577695678</v>
      </c>
      <c r="K3427">
        <v>0.99616487694257316</v>
      </c>
      <c r="L3427">
        <v>0.99538401977426372</v>
      </c>
      <c r="M3427">
        <v>0.9969160565640357</v>
      </c>
      <c r="N3427">
        <v>0.99831035046601624</v>
      </c>
      <c r="O3427">
        <v>0.99825553416746871</v>
      </c>
      <c r="P3427">
        <v>0.99451321815625993</v>
      </c>
      <c r="Q3427">
        <v>0.99799569223405526</v>
      </c>
      <c r="R3427">
        <v>0.99727347663432886</v>
      </c>
    </row>
    <row r="3428" spans="4:19" x14ac:dyDescent="0.25">
      <c r="D3428" t="s">
        <v>97</v>
      </c>
      <c r="E3428">
        <v>2015</v>
      </c>
      <c r="F3428" t="s">
        <v>20</v>
      </c>
      <c r="G3428">
        <v>0.99906484453040323</v>
      </c>
      <c r="H3428">
        <v>0.9988343135696498</v>
      </c>
      <c r="I3428">
        <v>0.99541423925504779</v>
      </c>
      <c r="J3428">
        <v>0.99660346750481599</v>
      </c>
      <c r="K3428">
        <v>0.98716356107660452</v>
      </c>
      <c r="L3428">
        <v>0.94179560260586315</v>
      </c>
      <c r="M3428">
        <v>0.9973862421290246</v>
      </c>
    </row>
    <row r="3429" spans="4:19" x14ac:dyDescent="0.25">
      <c r="D3429" t="s">
        <v>97</v>
      </c>
      <c r="E3429">
        <v>2013</v>
      </c>
      <c r="F3429" t="s">
        <v>21</v>
      </c>
      <c r="S3429">
        <v>0.91910204857043343</v>
      </c>
    </row>
    <row r="3430" spans="4:19" x14ac:dyDescent="0.25">
      <c r="D3430" t="s">
        <v>97</v>
      </c>
      <c r="E3430">
        <v>2014</v>
      </c>
      <c r="F3430" t="s">
        <v>21</v>
      </c>
      <c r="S3430">
        <v>0.99624039959181476</v>
      </c>
    </row>
    <row r="3431" spans="4:19" x14ac:dyDescent="0.25">
      <c r="D3431" t="s">
        <v>97</v>
      </c>
      <c r="E3431">
        <v>2015</v>
      </c>
      <c r="F3431" t="s">
        <v>21</v>
      </c>
      <c r="S3431">
        <v>0.99809722705650306</v>
      </c>
    </row>
    <row r="3432" spans="4:19" x14ac:dyDescent="0.25">
      <c r="D3432" t="s">
        <v>97</v>
      </c>
      <c r="E3432">
        <v>2013</v>
      </c>
      <c r="F3432" t="s">
        <v>22</v>
      </c>
      <c r="G3432">
        <v>0.85679923027581784</v>
      </c>
      <c r="H3432">
        <v>0.93105629348513597</v>
      </c>
      <c r="I3432">
        <v>0.96606083086053407</v>
      </c>
      <c r="J3432">
        <v>0.91966654035619555</v>
      </c>
      <c r="K3432">
        <v>0.85397849462365594</v>
      </c>
      <c r="L3432">
        <v>0.99091425326519023</v>
      </c>
      <c r="M3432">
        <v>0</v>
      </c>
      <c r="N3432">
        <v>1</v>
      </c>
      <c r="O3432">
        <v>1</v>
      </c>
      <c r="P3432">
        <v>1</v>
      </c>
      <c r="Q3432">
        <v>0.99894179894179891</v>
      </c>
      <c r="R3432">
        <v>0.99698138520878754</v>
      </c>
    </row>
    <row r="3433" spans="4:19" x14ac:dyDescent="0.25">
      <c r="D3433" t="s">
        <v>97</v>
      </c>
      <c r="E3433">
        <v>2014</v>
      </c>
      <c r="F3433" t="s">
        <v>22</v>
      </c>
      <c r="G3433">
        <v>0.9955299206921413</v>
      </c>
      <c r="H3433">
        <v>0.99519134441995594</v>
      </c>
      <c r="I3433">
        <v>0.99501820272082775</v>
      </c>
      <c r="J3433">
        <v>0.99883427239168443</v>
      </c>
      <c r="K3433">
        <v>0.9942952222486332</v>
      </c>
      <c r="L3433">
        <v>0.99815259560317748</v>
      </c>
      <c r="M3433">
        <v>0.99643259481787461</v>
      </c>
      <c r="N3433">
        <v>0.99933303690529129</v>
      </c>
      <c r="O3433">
        <v>0.9986712224753227</v>
      </c>
      <c r="P3433">
        <v>0.99878451119986111</v>
      </c>
      <c r="Q3433">
        <v>0.9987742594484168</v>
      </c>
      <c r="R3433">
        <v>0.99868651488616467</v>
      </c>
    </row>
    <row r="3434" spans="4:19" x14ac:dyDescent="0.25">
      <c r="D3434" t="s">
        <v>97</v>
      </c>
      <c r="E3434">
        <v>2015</v>
      </c>
      <c r="F3434" t="s">
        <v>22</v>
      </c>
      <c r="G3434">
        <v>0.99766355140186913</v>
      </c>
      <c r="H3434">
        <v>0.99608510638297876</v>
      </c>
      <c r="I3434">
        <v>0.99843215507411631</v>
      </c>
      <c r="J3434">
        <v>0.99896049896049899</v>
      </c>
      <c r="K3434">
        <v>0.9985404503753128</v>
      </c>
      <c r="L3434">
        <v>0.99817961165048541</v>
      </c>
      <c r="M3434">
        <v>0.99887023886378312</v>
      </c>
    </row>
    <row r="3435" spans="4:19" x14ac:dyDescent="0.25">
      <c r="D3435" t="s">
        <v>97</v>
      </c>
      <c r="E3435">
        <v>2013</v>
      </c>
      <c r="F3435" t="s">
        <v>23</v>
      </c>
      <c r="S3435">
        <v>69454</v>
      </c>
    </row>
    <row r="3436" spans="4:19" x14ac:dyDescent="0.25">
      <c r="D3436" t="s">
        <v>97</v>
      </c>
      <c r="E3436">
        <v>2014</v>
      </c>
      <c r="F3436" t="s">
        <v>23</v>
      </c>
      <c r="S3436">
        <v>75525</v>
      </c>
    </row>
    <row r="3437" spans="4:19" x14ac:dyDescent="0.25">
      <c r="D3437" t="s">
        <v>97</v>
      </c>
      <c r="E3437">
        <v>2015</v>
      </c>
      <c r="F3437" t="s">
        <v>23</v>
      </c>
      <c r="S3437">
        <v>70014</v>
      </c>
    </row>
    <row r="3438" spans="4:19" x14ac:dyDescent="0.25">
      <c r="D3438" t="s">
        <v>97</v>
      </c>
      <c r="E3438">
        <v>2013</v>
      </c>
      <c r="F3438" t="s">
        <v>24</v>
      </c>
      <c r="G3438">
        <v>13749</v>
      </c>
      <c r="H3438">
        <v>10698</v>
      </c>
      <c r="I3438">
        <v>9815</v>
      </c>
      <c r="J3438">
        <v>9116</v>
      </c>
      <c r="K3438">
        <v>8807</v>
      </c>
      <c r="L3438">
        <v>8118</v>
      </c>
      <c r="M3438">
        <v>9151</v>
      </c>
      <c r="N3438">
        <v>8761</v>
      </c>
      <c r="O3438">
        <v>9789</v>
      </c>
      <c r="P3438">
        <v>9354</v>
      </c>
      <c r="Q3438">
        <v>9124</v>
      </c>
      <c r="R3438">
        <v>10175</v>
      </c>
    </row>
    <row r="3439" spans="4:19" x14ac:dyDescent="0.25">
      <c r="D3439" t="s">
        <v>97</v>
      </c>
      <c r="E3439">
        <v>2014</v>
      </c>
      <c r="F3439" t="s">
        <v>24</v>
      </c>
      <c r="G3439">
        <v>12407</v>
      </c>
      <c r="H3439">
        <v>11507</v>
      </c>
      <c r="I3439">
        <v>10278</v>
      </c>
      <c r="J3439">
        <v>10466</v>
      </c>
      <c r="K3439">
        <v>9259</v>
      </c>
      <c r="L3439">
        <v>10140</v>
      </c>
      <c r="M3439">
        <v>11468</v>
      </c>
      <c r="N3439">
        <v>11473</v>
      </c>
      <c r="O3439">
        <v>12900</v>
      </c>
      <c r="P3439">
        <v>11683</v>
      </c>
      <c r="Q3439">
        <v>10368</v>
      </c>
      <c r="R3439">
        <v>11650</v>
      </c>
    </row>
    <row r="3440" spans="4:19" x14ac:dyDescent="0.25">
      <c r="D3440" t="s">
        <v>97</v>
      </c>
      <c r="E3440">
        <v>2015</v>
      </c>
      <c r="F3440" t="s">
        <v>24</v>
      </c>
      <c r="G3440">
        <v>10643</v>
      </c>
      <c r="H3440">
        <v>10556</v>
      </c>
      <c r="I3440">
        <v>10258</v>
      </c>
      <c r="J3440">
        <v>9186</v>
      </c>
      <c r="K3440">
        <v>8174</v>
      </c>
      <c r="L3440">
        <v>10428</v>
      </c>
      <c r="M3440">
        <v>10769</v>
      </c>
    </row>
    <row r="3441" spans="4:19" x14ac:dyDescent="0.25">
      <c r="D3441" t="s">
        <v>97</v>
      </c>
      <c r="E3441">
        <v>2013</v>
      </c>
      <c r="F3441" t="s">
        <v>25</v>
      </c>
      <c r="S3441">
        <v>192995</v>
      </c>
    </row>
    <row r="3442" spans="4:19" x14ac:dyDescent="0.25">
      <c r="D3442" t="s">
        <v>97</v>
      </c>
      <c r="E3442">
        <v>2014</v>
      </c>
      <c r="F3442" t="s">
        <v>25</v>
      </c>
      <c r="S3442">
        <v>170319</v>
      </c>
    </row>
    <row r="3443" spans="4:19" x14ac:dyDescent="0.25">
      <c r="D3443" t="s">
        <v>97</v>
      </c>
      <c r="E3443">
        <v>2015</v>
      </c>
      <c r="F3443" t="s">
        <v>25</v>
      </c>
      <c r="S3443">
        <v>212726</v>
      </c>
    </row>
    <row r="3444" spans="4:19" x14ac:dyDescent="0.25">
      <c r="D3444" t="s">
        <v>97</v>
      </c>
      <c r="E3444">
        <v>2013</v>
      </c>
      <c r="F3444" t="s">
        <v>26</v>
      </c>
      <c r="G3444">
        <v>32281</v>
      </c>
      <c r="H3444">
        <v>27570</v>
      </c>
      <c r="I3444">
        <v>27090</v>
      </c>
      <c r="J3444">
        <v>26675</v>
      </c>
      <c r="K3444">
        <v>24750</v>
      </c>
      <c r="L3444">
        <v>26495</v>
      </c>
      <c r="M3444">
        <v>28134</v>
      </c>
      <c r="N3444">
        <v>25364</v>
      </c>
      <c r="O3444">
        <v>35917</v>
      </c>
      <c r="P3444">
        <v>34900</v>
      </c>
      <c r="Q3444">
        <v>31133</v>
      </c>
      <c r="R3444">
        <v>29858</v>
      </c>
    </row>
    <row r="3445" spans="4:19" x14ac:dyDescent="0.25">
      <c r="D3445" t="s">
        <v>97</v>
      </c>
      <c r="E3445">
        <v>2014</v>
      </c>
      <c r="F3445" t="s">
        <v>26</v>
      </c>
      <c r="G3445">
        <v>36137</v>
      </c>
      <c r="H3445">
        <v>29948</v>
      </c>
      <c r="I3445">
        <v>27363</v>
      </c>
      <c r="J3445">
        <v>28012</v>
      </c>
      <c r="K3445">
        <v>23249</v>
      </c>
      <c r="L3445">
        <v>25610</v>
      </c>
      <c r="N3445">
        <v>26336</v>
      </c>
      <c r="O3445">
        <v>34903</v>
      </c>
      <c r="P3445">
        <v>32555</v>
      </c>
      <c r="Q3445">
        <v>31954</v>
      </c>
      <c r="R3445">
        <v>38684</v>
      </c>
    </row>
    <row r="3446" spans="4:19" x14ac:dyDescent="0.25">
      <c r="D3446" t="s">
        <v>97</v>
      </c>
      <c r="E3446">
        <v>2015</v>
      </c>
      <c r="F3446" t="s">
        <v>26</v>
      </c>
      <c r="G3446">
        <v>33646</v>
      </c>
      <c r="H3446">
        <v>27500</v>
      </c>
      <c r="I3446">
        <v>30621</v>
      </c>
      <c r="J3446">
        <v>28960</v>
      </c>
      <c r="K3446">
        <v>24435</v>
      </c>
      <c r="L3446">
        <v>33050</v>
      </c>
      <c r="M3446">
        <v>34514</v>
      </c>
    </row>
    <row r="3447" spans="4:19" x14ac:dyDescent="0.25">
      <c r="D3447" t="s">
        <v>97</v>
      </c>
      <c r="E3447">
        <v>2013</v>
      </c>
      <c r="F3447" t="s">
        <v>27</v>
      </c>
      <c r="S3447">
        <v>338324</v>
      </c>
    </row>
    <row r="3448" spans="4:19" x14ac:dyDescent="0.25">
      <c r="D3448" t="s">
        <v>97</v>
      </c>
      <c r="E3448">
        <v>2014</v>
      </c>
      <c r="F3448" t="s">
        <v>27</v>
      </c>
      <c r="S3448">
        <v>346982</v>
      </c>
    </row>
    <row r="3449" spans="4:19" x14ac:dyDescent="0.25">
      <c r="D3449" t="s">
        <v>97</v>
      </c>
      <c r="E3449">
        <v>2015</v>
      </c>
      <c r="F3449" t="s">
        <v>27</v>
      </c>
      <c r="S3449">
        <v>382241</v>
      </c>
    </row>
    <row r="3450" spans="4:19" x14ac:dyDescent="0.25">
      <c r="D3450" t="s">
        <v>97</v>
      </c>
      <c r="E3450">
        <v>2013</v>
      </c>
      <c r="F3450" t="s">
        <v>28</v>
      </c>
      <c r="G3450">
        <v>53789</v>
      </c>
      <c r="H3450">
        <v>50335</v>
      </c>
      <c r="I3450">
        <v>47258</v>
      </c>
      <c r="J3450">
        <v>46910</v>
      </c>
      <c r="K3450">
        <v>42560</v>
      </c>
      <c r="L3450">
        <v>46428</v>
      </c>
      <c r="M3450">
        <v>51044</v>
      </c>
      <c r="N3450">
        <v>44547</v>
      </c>
      <c r="O3450">
        <v>59185</v>
      </c>
      <c r="P3450">
        <v>59859</v>
      </c>
      <c r="Q3450">
        <v>51780</v>
      </c>
      <c r="R3450">
        <v>51073</v>
      </c>
    </row>
    <row r="3451" spans="4:19" x14ac:dyDescent="0.25">
      <c r="D3451" t="s">
        <v>97</v>
      </c>
      <c r="E3451">
        <v>2014</v>
      </c>
      <c r="F3451" t="s">
        <v>28</v>
      </c>
      <c r="G3451">
        <v>61890</v>
      </c>
      <c r="H3451">
        <v>54596</v>
      </c>
      <c r="I3451">
        <v>48212</v>
      </c>
      <c r="J3451">
        <v>49246</v>
      </c>
      <c r="K3451">
        <v>40761</v>
      </c>
      <c r="L3451">
        <v>43470</v>
      </c>
      <c r="M3451">
        <v>48807</v>
      </c>
      <c r="N3451">
        <v>44556</v>
      </c>
      <c r="O3451">
        <v>56974</v>
      </c>
      <c r="P3451">
        <v>55352</v>
      </c>
      <c r="Q3451">
        <v>52890</v>
      </c>
      <c r="R3451">
        <v>65130</v>
      </c>
    </row>
    <row r="3452" spans="4:19" x14ac:dyDescent="0.25">
      <c r="D3452" t="s">
        <v>97</v>
      </c>
      <c r="E3452">
        <v>2015</v>
      </c>
      <c r="F3452" t="s">
        <v>28</v>
      </c>
      <c r="G3452">
        <v>58892</v>
      </c>
      <c r="H3452">
        <v>49193</v>
      </c>
      <c r="I3452">
        <v>55430</v>
      </c>
      <c r="J3452">
        <v>50747</v>
      </c>
      <c r="K3452">
        <v>45414</v>
      </c>
      <c r="L3452">
        <v>60479</v>
      </c>
      <c r="M3452">
        <v>62086</v>
      </c>
    </row>
    <row r="3453" spans="4:19" x14ac:dyDescent="0.25">
      <c r="D3453" t="s">
        <v>97</v>
      </c>
      <c r="E3453">
        <v>2013</v>
      </c>
      <c r="F3453" t="s">
        <v>29</v>
      </c>
      <c r="S3453">
        <v>25401</v>
      </c>
    </row>
    <row r="3454" spans="4:19" x14ac:dyDescent="0.25">
      <c r="D3454" t="s">
        <v>97</v>
      </c>
      <c r="E3454">
        <v>2014</v>
      </c>
      <c r="F3454" t="s">
        <v>29</v>
      </c>
      <c r="S3454">
        <v>25081</v>
      </c>
    </row>
    <row r="3455" spans="4:19" x14ac:dyDescent="0.25">
      <c r="D3455" t="s">
        <v>97</v>
      </c>
      <c r="E3455">
        <v>2015</v>
      </c>
      <c r="F3455" t="s">
        <v>29</v>
      </c>
      <c r="S3455">
        <v>22633</v>
      </c>
    </row>
    <row r="3456" spans="4:19" x14ac:dyDescent="0.25">
      <c r="D3456" t="s">
        <v>97</v>
      </c>
      <c r="E3456">
        <v>2013</v>
      </c>
      <c r="F3456" t="s">
        <v>30</v>
      </c>
      <c r="G3456">
        <v>4471</v>
      </c>
      <c r="H3456">
        <v>4007</v>
      </c>
      <c r="I3456">
        <v>3566</v>
      </c>
      <c r="J3456">
        <v>3824</v>
      </c>
      <c r="K3456">
        <v>3275</v>
      </c>
      <c r="L3456">
        <v>2442</v>
      </c>
      <c r="M3456">
        <v>3816</v>
      </c>
      <c r="N3456">
        <v>3597</v>
      </c>
      <c r="O3456">
        <v>5316</v>
      </c>
      <c r="P3456">
        <v>4702</v>
      </c>
      <c r="Q3456">
        <v>4220</v>
      </c>
      <c r="R3456">
        <v>3754</v>
      </c>
    </row>
    <row r="3457" spans="4:19" x14ac:dyDescent="0.25">
      <c r="D3457" t="s">
        <v>97</v>
      </c>
      <c r="E3457">
        <v>2014</v>
      </c>
      <c r="F3457" t="s">
        <v>30</v>
      </c>
      <c r="G3457">
        <v>4684</v>
      </c>
      <c r="H3457">
        <v>3746</v>
      </c>
      <c r="I3457">
        <v>3337</v>
      </c>
      <c r="J3457">
        <v>3958</v>
      </c>
      <c r="K3457">
        <v>3078</v>
      </c>
      <c r="L3457">
        <v>3534</v>
      </c>
      <c r="M3457">
        <v>2744</v>
      </c>
      <c r="N3457">
        <v>3214</v>
      </c>
      <c r="O3457">
        <v>4303</v>
      </c>
      <c r="P3457">
        <v>3847</v>
      </c>
      <c r="Q3457">
        <v>3467</v>
      </c>
      <c r="R3457">
        <v>3289</v>
      </c>
    </row>
    <row r="3458" spans="4:19" x14ac:dyDescent="0.25">
      <c r="D3458" t="s">
        <v>97</v>
      </c>
      <c r="E3458">
        <v>2015</v>
      </c>
      <c r="F3458" t="s">
        <v>30</v>
      </c>
      <c r="G3458">
        <v>3918</v>
      </c>
      <c r="H3458">
        <v>3689</v>
      </c>
      <c r="I3458">
        <v>4088</v>
      </c>
      <c r="J3458">
        <v>3258</v>
      </c>
      <c r="K3458">
        <v>2952</v>
      </c>
      <c r="L3458">
        <v>2531</v>
      </c>
      <c r="M3458">
        <v>2197</v>
      </c>
    </row>
    <row r="3459" spans="4:19" x14ac:dyDescent="0.25">
      <c r="D3459" t="s">
        <v>97</v>
      </c>
      <c r="E3459">
        <v>2013</v>
      </c>
      <c r="F3459" t="s">
        <v>31</v>
      </c>
      <c r="S3459">
        <v>0.88992714602470702</v>
      </c>
    </row>
    <row r="3460" spans="4:19" x14ac:dyDescent="0.25">
      <c r="D3460" t="s">
        <v>97</v>
      </c>
      <c r="E3460">
        <v>2014</v>
      </c>
      <c r="F3460" t="s">
        <v>31</v>
      </c>
      <c r="S3460">
        <v>0.94029791459781531</v>
      </c>
    </row>
    <row r="3461" spans="4:19" x14ac:dyDescent="0.25">
      <c r="D3461" t="s">
        <v>97</v>
      </c>
      <c r="E3461">
        <v>2015</v>
      </c>
      <c r="F3461" t="s">
        <v>31</v>
      </c>
      <c r="S3461">
        <v>0.90047704744765333</v>
      </c>
    </row>
    <row r="3462" spans="4:19" x14ac:dyDescent="0.25">
      <c r="D3462" t="s">
        <v>97</v>
      </c>
      <c r="E3462">
        <v>2013</v>
      </c>
      <c r="F3462" t="s">
        <v>32</v>
      </c>
      <c r="G3462">
        <v>0.79380318568623176</v>
      </c>
      <c r="H3462">
        <v>0.8970835670218732</v>
      </c>
      <c r="I3462">
        <v>0.88140601120733575</v>
      </c>
      <c r="J3462">
        <v>0.90971917507678801</v>
      </c>
      <c r="K3462">
        <v>0.92562734188713525</v>
      </c>
      <c r="L3462">
        <v>0.90404040404040409</v>
      </c>
      <c r="M3462">
        <v>0.96852802972352747</v>
      </c>
      <c r="N3462">
        <v>0.98744435566716127</v>
      </c>
      <c r="O3462">
        <v>0.95923996322402694</v>
      </c>
      <c r="P3462">
        <v>0.93884968997220442</v>
      </c>
      <c r="Q3462">
        <v>0.95670758439281012</v>
      </c>
      <c r="R3462">
        <v>0.95272727272727276</v>
      </c>
    </row>
    <row r="3463" spans="4:19" x14ac:dyDescent="0.25">
      <c r="D3463" t="s">
        <v>97</v>
      </c>
      <c r="E3463">
        <v>2014</v>
      </c>
      <c r="F3463" t="s">
        <v>32</v>
      </c>
      <c r="G3463">
        <v>0.95744337873780927</v>
      </c>
      <c r="H3463">
        <v>0.94681498218475713</v>
      </c>
      <c r="I3463">
        <v>0.97100603230200433</v>
      </c>
      <c r="J3463">
        <v>0.95117523409134341</v>
      </c>
      <c r="K3463">
        <v>0.9571227994383843</v>
      </c>
      <c r="L3463">
        <v>0.88372781065088757</v>
      </c>
      <c r="M3463">
        <v>0.91419602371817232</v>
      </c>
      <c r="N3463">
        <v>0.89348906127429617</v>
      </c>
      <c r="O3463">
        <v>0.90612403100775196</v>
      </c>
      <c r="P3463">
        <v>0.90678764016091762</v>
      </c>
      <c r="Q3463">
        <v>0.89718364197530864</v>
      </c>
      <c r="R3463">
        <v>0.92231759656652357</v>
      </c>
    </row>
    <row r="3464" spans="4:19" x14ac:dyDescent="0.25">
      <c r="D3464" t="s">
        <v>97</v>
      </c>
      <c r="E3464">
        <v>2015</v>
      </c>
      <c r="F3464" t="s">
        <v>32</v>
      </c>
      <c r="G3464">
        <v>0.89551818096401392</v>
      </c>
      <c r="H3464">
        <v>0.87087912087912089</v>
      </c>
      <c r="I3464">
        <v>0.88750243712224608</v>
      </c>
      <c r="J3464">
        <v>0.91323753537992602</v>
      </c>
      <c r="K3464">
        <v>0.91986787374602397</v>
      </c>
      <c r="L3464">
        <v>0.90889911775987731</v>
      </c>
      <c r="M3464">
        <v>0.91299099266412853</v>
      </c>
    </row>
    <row r="3465" spans="4:19" x14ac:dyDescent="0.25">
      <c r="D3465" t="s">
        <v>97</v>
      </c>
      <c r="E3465">
        <v>2013</v>
      </c>
      <c r="F3465" t="s">
        <v>33</v>
      </c>
      <c r="S3465">
        <v>0.91337590685955083</v>
      </c>
    </row>
    <row r="3466" spans="4:19" x14ac:dyDescent="0.25">
      <c r="D3466" t="s">
        <v>97</v>
      </c>
      <c r="E3466">
        <v>2014</v>
      </c>
      <c r="F3466" t="s">
        <v>33</v>
      </c>
      <c r="S3466">
        <v>0.94296465415186881</v>
      </c>
    </row>
    <row r="3467" spans="4:19" x14ac:dyDescent="0.25">
      <c r="D3467" t="s">
        <v>97</v>
      </c>
      <c r="E3467">
        <v>2015</v>
      </c>
      <c r="F3467" t="s">
        <v>33</v>
      </c>
      <c r="S3467">
        <v>0.9136034596220739</v>
      </c>
    </row>
    <row r="3468" spans="4:19" x14ac:dyDescent="0.25">
      <c r="D3468" t="s">
        <v>97</v>
      </c>
      <c r="E3468">
        <v>2013</v>
      </c>
      <c r="F3468" t="s">
        <v>34</v>
      </c>
      <c r="G3468">
        <v>0.7683093411789429</v>
      </c>
      <c r="H3468">
        <v>0.91413088786994579</v>
      </c>
      <c r="I3468">
        <v>0.93678908027299312</v>
      </c>
      <c r="J3468">
        <v>0.94802020531204167</v>
      </c>
      <c r="K3468">
        <v>0.97869415807560134</v>
      </c>
      <c r="L3468">
        <v>0.9693545297835664</v>
      </c>
      <c r="M3468">
        <v>0.97112817089452608</v>
      </c>
      <c r="N3468">
        <v>0.98014798772784695</v>
      </c>
      <c r="O3468">
        <v>0.9403141361256544</v>
      </c>
      <c r="P3468">
        <v>0.90975071000315555</v>
      </c>
      <c r="Q3468">
        <v>0.93400167084377606</v>
      </c>
      <c r="R3468">
        <v>0.9268774703557312</v>
      </c>
    </row>
    <row r="3469" spans="4:19" x14ac:dyDescent="0.25">
      <c r="D3469" t="s">
        <v>97</v>
      </c>
      <c r="E3469">
        <v>2014</v>
      </c>
      <c r="F3469" t="s">
        <v>34</v>
      </c>
      <c r="G3469">
        <v>0.93743334518307853</v>
      </c>
      <c r="H3469">
        <v>0.92110351940183055</v>
      </c>
      <c r="I3469">
        <v>0.95703575547866204</v>
      </c>
      <c r="J3469">
        <v>0.93005748699698876</v>
      </c>
      <c r="K3469">
        <v>0.93263193619548612</v>
      </c>
      <c r="L3469">
        <v>0.95851608187134507</v>
      </c>
      <c r="M3469">
        <v>0.977276858752954</v>
      </c>
      <c r="N3469">
        <v>0.91582302212223476</v>
      </c>
      <c r="O3469">
        <v>0.89915092704903832</v>
      </c>
      <c r="P3469">
        <v>0.92723043694965945</v>
      </c>
      <c r="Q3469">
        <v>0.88989637305699487</v>
      </c>
      <c r="R3469">
        <v>0.94079672492520861</v>
      </c>
    </row>
    <row r="3470" spans="4:19" x14ac:dyDescent="0.25">
      <c r="D3470" t="s">
        <v>97</v>
      </c>
      <c r="E3470">
        <v>2015</v>
      </c>
      <c r="F3470" t="s">
        <v>34</v>
      </c>
      <c r="G3470">
        <v>0.89138879896406609</v>
      </c>
      <c r="H3470">
        <v>0.8590839694656488</v>
      </c>
      <c r="I3470">
        <v>0.90057391034589729</v>
      </c>
      <c r="J3470">
        <v>0.94215318693090522</v>
      </c>
      <c r="K3470">
        <v>0.9447004608294931</v>
      </c>
      <c r="L3470">
        <v>0.9330218068535826</v>
      </c>
      <c r="M3470">
        <v>0.93538751768589845</v>
      </c>
    </row>
    <row r="3471" spans="4:19" x14ac:dyDescent="0.25">
      <c r="D3471" t="s">
        <v>98</v>
      </c>
      <c r="E3471">
        <v>2013</v>
      </c>
      <c r="F3471" t="s">
        <v>17</v>
      </c>
      <c r="S3471">
        <v>0.92333381890379773</v>
      </c>
    </row>
    <row r="3472" spans="4:19" x14ac:dyDescent="0.25">
      <c r="D3472" t="s">
        <v>98</v>
      </c>
      <c r="E3472">
        <v>2014</v>
      </c>
      <c r="F3472" t="s">
        <v>17</v>
      </c>
      <c r="S3472">
        <v>0.92775872775872781</v>
      </c>
    </row>
    <row r="3473" spans="4:19" x14ac:dyDescent="0.25">
      <c r="D3473" t="s">
        <v>98</v>
      </c>
      <c r="E3473">
        <v>2015</v>
      </c>
      <c r="F3473" t="s">
        <v>17</v>
      </c>
      <c r="S3473">
        <v>0.90431901254921532</v>
      </c>
    </row>
    <row r="3474" spans="4:19" x14ac:dyDescent="0.25">
      <c r="D3474" t="s">
        <v>98</v>
      </c>
      <c r="E3474">
        <v>2013</v>
      </c>
      <c r="F3474" t="s">
        <v>18</v>
      </c>
      <c r="G3474">
        <v>0.89829431438127094</v>
      </c>
      <c r="H3474">
        <v>0.88311930715245635</v>
      </c>
      <c r="I3474">
        <v>0.9209350040301898</v>
      </c>
      <c r="J3474">
        <v>0.9321743108772732</v>
      </c>
      <c r="K3474">
        <v>0.92235718975705838</v>
      </c>
      <c r="L3474">
        <v>0.96019369665134602</v>
      </c>
      <c r="M3474">
        <v>0.953071736989622</v>
      </c>
      <c r="N3474">
        <v>0.9595476470349803</v>
      </c>
      <c r="O3474">
        <v>0.96023250643204272</v>
      </c>
      <c r="P3474">
        <v>0.94951803637086352</v>
      </c>
      <c r="Q3474">
        <v>0.95118672709117447</v>
      </c>
      <c r="R3474">
        <v>0.96764543808549164</v>
      </c>
    </row>
    <row r="3475" spans="4:19" x14ac:dyDescent="0.25">
      <c r="D3475" t="s">
        <v>98</v>
      </c>
      <c r="E3475">
        <v>2014</v>
      </c>
      <c r="F3475" t="s">
        <v>18</v>
      </c>
      <c r="G3475">
        <v>0.94672209176873767</v>
      </c>
      <c r="H3475">
        <v>0.96078914919852032</v>
      </c>
      <c r="I3475">
        <v>0.94872362402242882</v>
      </c>
      <c r="J3475">
        <v>0.91018311056169354</v>
      </c>
      <c r="K3475">
        <v>0.93709437963944853</v>
      </c>
      <c r="L3475">
        <v>0.91049283298437755</v>
      </c>
      <c r="M3475">
        <v>0.86746786147983757</v>
      </c>
      <c r="N3475">
        <v>0.87565092476207573</v>
      </c>
      <c r="O3475">
        <v>0.88962108731466227</v>
      </c>
      <c r="P3475">
        <v>0.91817757632315689</v>
      </c>
      <c r="Q3475">
        <v>0.90859274804710277</v>
      </c>
      <c r="R3475">
        <v>0.89957154465538891</v>
      </c>
    </row>
    <row r="3476" spans="4:19" x14ac:dyDescent="0.25">
      <c r="D3476" t="s">
        <v>98</v>
      </c>
      <c r="E3476">
        <v>2015</v>
      </c>
      <c r="F3476" t="s">
        <v>18</v>
      </c>
      <c r="G3476">
        <v>0.91103069202144005</v>
      </c>
      <c r="H3476">
        <v>0.91284711195794077</v>
      </c>
      <c r="I3476">
        <v>0.9053599306157849</v>
      </c>
      <c r="J3476">
        <v>0.88550499621800227</v>
      </c>
      <c r="K3476">
        <v>0.88945295820088244</v>
      </c>
      <c r="L3476">
        <v>0.91682070240295743</v>
      </c>
      <c r="M3476">
        <v>0.90348710056295811</v>
      </c>
    </row>
    <row r="3477" spans="4:19" x14ac:dyDescent="0.25">
      <c r="D3477" t="s">
        <v>98</v>
      </c>
      <c r="E3477">
        <v>2013</v>
      </c>
      <c r="F3477" t="s">
        <v>19</v>
      </c>
      <c r="S3477">
        <v>0.71972916818546329</v>
      </c>
    </row>
    <row r="3478" spans="4:19" x14ac:dyDescent="0.25">
      <c r="D3478" t="s">
        <v>98</v>
      </c>
      <c r="E3478">
        <v>2014</v>
      </c>
      <c r="F3478" t="s">
        <v>19</v>
      </c>
      <c r="S3478">
        <v>0.96672251069916126</v>
      </c>
    </row>
    <row r="3479" spans="4:19" x14ac:dyDescent="0.25">
      <c r="D3479" t="s">
        <v>98</v>
      </c>
      <c r="E3479">
        <v>2015</v>
      </c>
      <c r="F3479" t="s">
        <v>19</v>
      </c>
      <c r="S3479">
        <v>0.99400434286967776</v>
      </c>
    </row>
    <row r="3480" spans="4:19" x14ac:dyDescent="0.25">
      <c r="D3480" t="s">
        <v>98</v>
      </c>
      <c r="E3480">
        <v>2013</v>
      </c>
      <c r="F3480" t="s">
        <v>20</v>
      </c>
      <c r="G3480">
        <v>0.54162541323354196</v>
      </c>
      <c r="H3480">
        <v>0.54315889418543395</v>
      </c>
      <c r="I3480">
        <v>0.69077997952943127</v>
      </c>
      <c r="J3480">
        <v>0.62841254156358417</v>
      </c>
      <c r="K3480">
        <v>0.64758087603778991</v>
      </c>
      <c r="L3480">
        <v>0.99612868156417178</v>
      </c>
      <c r="M3480">
        <v>0.99720685689249133</v>
      </c>
      <c r="N3480">
        <v>0.99708644758899878</v>
      </c>
      <c r="O3480">
        <v>0.99771052785347381</v>
      </c>
      <c r="P3480">
        <v>0.99337719827066506</v>
      </c>
      <c r="Q3480">
        <v>0.98749327737295556</v>
      </c>
      <c r="R3480">
        <v>0.98381069731184145</v>
      </c>
    </row>
    <row r="3481" spans="4:19" x14ac:dyDescent="0.25">
      <c r="D3481" t="s">
        <v>98</v>
      </c>
      <c r="E3481">
        <v>2014</v>
      </c>
      <c r="F3481" t="s">
        <v>20</v>
      </c>
      <c r="G3481">
        <v>0.99607623318385652</v>
      </c>
      <c r="H3481">
        <v>0.99570481956428469</v>
      </c>
      <c r="I3481">
        <v>0.99460852881435868</v>
      </c>
      <c r="J3481">
        <v>0.90182798490766158</v>
      </c>
      <c r="K3481">
        <v>0.86025686593847317</v>
      </c>
      <c r="L3481">
        <v>0.99815036504600962</v>
      </c>
      <c r="M3481">
        <v>0.99918141260897442</v>
      </c>
      <c r="N3481">
        <v>0.99888330831597705</v>
      </c>
      <c r="O3481">
        <v>0.99923774407700561</v>
      </c>
      <c r="P3481">
        <v>0.99916165575116922</v>
      </c>
      <c r="Q3481">
        <v>0.99886663347774052</v>
      </c>
      <c r="R3481">
        <v>0.99799144064904033</v>
      </c>
    </row>
    <row r="3482" spans="4:19" x14ac:dyDescent="0.25">
      <c r="D3482" t="s">
        <v>98</v>
      </c>
      <c r="E3482">
        <v>2015</v>
      </c>
      <c r="F3482" t="s">
        <v>20</v>
      </c>
      <c r="G3482">
        <v>0.99880119664335065</v>
      </c>
      <c r="H3482">
        <v>0.99950971851359616</v>
      </c>
      <c r="I3482">
        <v>0.99787821967827894</v>
      </c>
      <c r="J3482">
        <v>0.99501240290267579</v>
      </c>
      <c r="K3482">
        <v>0.97249466427888032</v>
      </c>
      <c r="L3482">
        <v>0.99438971648246033</v>
      </c>
      <c r="M3482">
        <v>0.9956058839020353</v>
      </c>
    </row>
    <row r="3483" spans="4:19" x14ac:dyDescent="0.25">
      <c r="D3483" t="s">
        <v>98</v>
      </c>
      <c r="E3483">
        <v>2013</v>
      </c>
      <c r="F3483" t="s">
        <v>21</v>
      </c>
      <c r="S3483">
        <v>0.98345195984361355</v>
      </c>
    </row>
    <row r="3484" spans="4:19" x14ac:dyDescent="0.25">
      <c r="D3484" t="s">
        <v>98</v>
      </c>
      <c r="E3484">
        <v>2014</v>
      </c>
      <c r="F3484" t="s">
        <v>21</v>
      </c>
      <c r="S3484">
        <v>0.98447247860279929</v>
      </c>
    </row>
    <row r="3485" spans="4:19" x14ac:dyDescent="0.25">
      <c r="D3485" t="s">
        <v>98</v>
      </c>
      <c r="E3485">
        <v>2015</v>
      </c>
      <c r="F3485" t="s">
        <v>21</v>
      </c>
      <c r="S3485">
        <v>0.94174040779605983</v>
      </c>
    </row>
    <row r="3486" spans="4:19" x14ac:dyDescent="0.25">
      <c r="D3486" t="s">
        <v>98</v>
      </c>
      <c r="E3486">
        <v>2013</v>
      </c>
      <c r="F3486" t="s">
        <v>22</v>
      </c>
      <c r="G3486">
        <v>0.98693274328894087</v>
      </c>
      <c r="H3486">
        <v>0.98337864874570358</v>
      </c>
      <c r="I3486">
        <v>0.98497713912475504</v>
      </c>
      <c r="J3486">
        <v>0.98414801727522572</v>
      </c>
      <c r="K3486">
        <v>0.9648131501219982</v>
      </c>
      <c r="L3486">
        <v>0.98864468864468869</v>
      </c>
      <c r="M3486">
        <v>0.98638918159466105</v>
      </c>
      <c r="N3486">
        <v>0.98931143114311426</v>
      </c>
      <c r="O3486">
        <v>0.99099237108980054</v>
      </c>
      <c r="P3486">
        <v>0.98754176340676147</v>
      </c>
      <c r="Q3486">
        <v>0.97055199605717102</v>
      </c>
      <c r="R3486">
        <v>0.98057807004129072</v>
      </c>
    </row>
    <row r="3487" spans="4:19" x14ac:dyDescent="0.25">
      <c r="D3487" t="s">
        <v>98</v>
      </c>
      <c r="E3487">
        <v>2014</v>
      </c>
      <c r="F3487" t="s">
        <v>22</v>
      </c>
      <c r="G3487">
        <v>0.99925607736795374</v>
      </c>
      <c r="H3487">
        <v>0.99904844033423534</v>
      </c>
      <c r="I3487">
        <v>0.99897162233525116</v>
      </c>
      <c r="J3487">
        <v>0.99918621999186219</v>
      </c>
      <c r="K3487">
        <v>0.99962774537783849</v>
      </c>
      <c r="L3487">
        <v>0.96781583505615465</v>
      </c>
      <c r="M3487">
        <v>0.92909496066797326</v>
      </c>
      <c r="N3487">
        <v>0.9601101409369226</v>
      </c>
      <c r="O3487">
        <v>0.95932249692664939</v>
      </c>
      <c r="P3487">
        <v>0.96876203046801956</v>
      </c>
      <c r="Q3487">
        <v>0.92607881521831648</v>
      </c>
      <c r="R3487">
        <v>0.94968034159805614</v>
      </c>
    </row>
    <row r="3488" spans="4:19" x14ac:dyDescent="0.25">
      <c r="D3488" t="s">
        <v>98</v>
      </c>
      <c r="E3488">
        <v>2015</v>
      </c>
      <c r="F3488" t="s">
        <v>22</v>
      </c>
      <c r="G3488">
        <v>0.96059911567932954</v>
      </c>
      <c r="H3488">
        <v>0.94515101312603544</v>
      </c>
      <c r="I3488">
        <v>0.93410896579822988</v>
      </c>
      <c r="J3488">
        <v>0.93908910293488923</v>
      </c>
      <c r="K3488">
        <v>0.94303891547997742</v>
      </c>
      <c r="L3488">
        <v>0.93639551985518721</v>
      </c>
      <c r="M3488">
        <v>0.93397442252404084</v>
      </c>
    </row>
    <row r="3489" spans="4:19" x14ac:dyDescent="0.25">
      <c r="D3489" t="s">
        <v>98</v>
      </c>
      <c r="E3489">
        <v>2013</v>
      </c>
      <c r="F3489" t="s">
        <v>23</v>
      </c>
      <c r="S3489">
        <v>609126</v>
      </c>
    </row>
    <row r="3490" spans="4:19" x14ac:dyDescent="0.25">
      <c r="D3490" t="s">
        <v>98</v>
      </c>
      <c r="E3490">
        <v>2014</v>
      </c>
      <c r="F3490" t="s">
        <v>23</v>
      </c>
      <c r="S3490">
        <v>483878</v>
      </c>
    </row>
    <row r="3491" spans="4:19" x14ac:dyDescent="0.25">
      <c r="D3491" t="s">
        <v>98</v>
      </c>
      <c r="E3491">
        <v>2015</v>
      </c>
      <c r="F3491" t="s">
        <v>23</v>
      </c>
      <c r="S3491">
        <v>456388</v>
      </c>
    </row>
    <row r="3492" spans="4:19" x14ac:dyDescent="0.25">
      <c r="D3492" t="s">
        <v>98</v>
      </c>
      <c r="E3492">
        <v>2013</v>
      </c>
      <c r="F3492" t="s">
        <v>24</v>
      </c>
      <c r="G3492">
        <v>85959</v>
      </c>
      <c r="H3492">
        <v>151755</v>
      </c>
      <c r="I3492">
        <v>104074</v>
      </c>
      <c r="J3492">
        <v>77725</v>
      </c>
      <c r="K3492">
        <v>70231</v>
      </c>
      <c r="L3492">
        <v>57977</v>
      </c>
      <c r="M3492">
        <v>61405</v>
      </c>
      <c r="N3492">
        <v>56923</v>
      </c>
      <c r="O3492">
        <v>68777</v>
      </c>
      <c r="P3492">
        <v>67484</v>
      </c>
      <c r="Q3492">
        <v>64725</v>
      </c>
      <c r="R3492">
        <v>65424</v>
      </c>
    </row>
    <row r="3493" spans="4:19" x14ac:dyDescent="0.25">
      <c r="D3493" t="s">
        <v>98</v>
      </c>
      <c r="E3493">
        <v>2014</v>
      </c>
      <c r="F3493" t="s">
        <v>24</v>
      </c>
      <c r="G3493">
        <v>78873</v>
      </c>
      <c r="H3493">
        <v>73176</v>
      </c>
      <c r="I3493">
        <v>70737</v>
      </c>
      <c r="J3493">
        <v>62004</v>
      </c>
      <c r="K3493">
        <v>58695</v>
      </c>
      <c r="L3493">
        <v>68674</v>
      </c>
      <c r="M3493">
        <v>71719</v>
      </c>
      <c r="N3493">
        <v>67879</v>
      </c>
      <c r="O3493">
        <v>85385</v>
      </c>
      <c r="P3493">
        <v>74214</v>
      </c>
      <c r="Q3493">
        <v>65130</v>
      </c>
      <c r="R3493">
        <v>69098</v>
      </c>
    </row>
    <row r="3494" spans="4:19" x14ac:dyDescent="0.25">
      <c r="D3494" t="s">
        <v>98</v>
      </c>
      <c r="E3494">
        <v>2015</v>
      </c>
      <c r="F3494" t="s">
        <v>24</v>
      </c>
      <c r="G3494">
        <v>70227</v>
      </c>
      <c r="H3494">
        <v>66207</v>
      </c>
      <c r="I3494">
        <v>68746</v>
      </c>
      <c r="J3494">
        <v>61268</v>
      </c>
      <c r="K3494">
        <v>57761</v>
      </c>
      <c r="L3494">
        <v>65387</v>
      </c>
      <c r="M3494">
        <v>66792</v>
      </c>
    </row>
    <row r="3495" spans="4:19" x14ac:dyDescent="0.25">
      <c r="D3495" t="s">
        <v>98</v>
      </c>
      <c r="E3495">
        <v>2013</v>
      </c>
      <c r="F3495" t="s">
        <v>25</v>
      </c>
      <c r="S3495">
        <v>1123704</v>
      </c>
    </row>
    <row r="3496" spans="4:19" x14ac:dyDescent="0.25">
      <c r="D3496" t="s">
        <v>98</v>
      </c>
      <c r="E3496">
        <v>2014</v>
      </c>
      <c r="F3496" t="s">
        <v>25</v>
      </c>
      <c r="S3496">
        <v>1105663</v>
      </c>
    </row>
    <row r="3497" spans="4:19" x14ac:dyDescent="0.25">
      <c r="D3497" t="s">
        <v>98</v>
      </c>
      <c r="E3497">
        <v>2015</v>
      </c>
      <c r="F3497" t="s">
        <v>25</v>
      </c>
      <c r="S3497">
        <v>1276808</v>
      </c>
    </row>
    <row r="3498" spans="4:19" x14ac:dyDescent="0.25">
      <c r="D3498" t="s">
        <v>98</v>
      </c>
      <c r="E3498">
        <v>2013</v>
      </c>
      <c r="F3498" t="s">
        <v>26</v>
      </c>
      <c r="G3498">
        <v>186304</v>
      </c>
      <c r="H3498">
        <v>160151</v>
      </c>
      <c r="I3498">
        <v>171985</v>
      </c>
      <c r="J3498">
        <v>147162</v>
      </c>
      <c r="K3498">
        <v>140262</v>
      </c>
      <c r="L3498">
        <v>150260</v>
      </c>
      <c r="M3498">
        <v>167580</v>
      </c>
      <c r="N3498">
        <v>145587</v>
      </c>
      <c r="O3498">
        <v>177939</v>
      </c>
      <c r="P3498">
        <v>182920</v>
      </c>
      <c r="Q3498">
        <v>188362</v>
      </c>
      <c r="R3498">
        <v>182657</v>
      </c>
    </row>
    <row r="3499" spans="4:19" x14ac:dyDescent="0.25">
      <c r="D3499" t="s">
        <v>98</v>
      </c>
      <c r="E3499">
        <v>2014</v>
      </c>
      <c r="F3499" t="s">
        <v>26</v>
      </c>
      <c r="G3499">
        <v>196135</v>
      </c>
      <c r="H3499">
        <v>160208</v>
      </c>
      <c r="I3499">
        <v>152234</v>
      </c>
      <c r="J3499">
        <v>143058</v>
      </c>
      <c r="K3499">
        <v>138338</v>
      </c>
      <c r="L3499">
        <v>151876</v>
      </c>
      <c r="M3499">
        <v>163814</v>
      </c>
      <c r="N3499">
        <v>158716</v>
      </c>
      <c r="O3499">
        <v>180461</v>
      </c>
      <c r="P3499">
        <v>187739</v>
      </c>
      <c r="Q3499">
        <v>171649</v>
      </c>
      <c r="R3499">
        <v>212322</v>
      </c>
    </row>
    <row r="3500" spans="4:19" x14ac:dyDescent="0.25">
      <c r="D3500" t="s">
        <v>98</v>
      </c>
      <c r="E3500">
        <v>2015</v>
      </c>
      <c r="F3500" t="s">
        <v>26</v>
      </c>
      <c r="G3500">
        <v>198943</v>
      </c>
      <c r="H3500">
        <v>173075</v>
      </c>
      <c r="I3500">
        <v>181319</v>
      </c>
      <c r="J3500">
        <v>175513</v>
      </c>
      <c r="K3500">
        <v>158101</v>
      </c>
      <c r="L3500">
        <v>186742</v>
      </c>
      <c r="M3500">
        <v>203115</v>
      </c>
    </row>
    <row r="3501" spans="4:19" x14ac:dyDescent="0.25">
      <c r="D3501" t="s">
        <v>98</v>
      </c>
      <c r="E3501">
        <v>2013</v>
      </c>
      <c r="F3501" t="s">
        <v>27</v>
      </c>
      <c r="S3501">
        <v>1885863</v>
      </c>
    </row>
    <row r="3502" spans="4:19" x14ac:dyDescent="0.25">
      <c r="D3502" t="s">
        <v>98</v>
      </c>
      <c r="E3502">
        <v>2014</v>
      </c>
      <c r="F3502" t="s">
        <v>27</v>
      </c>
      <c r="S3502">
        <v>1861686</v>
      </c>
    </row>
    <row r="3503" spans="4:19" x14ac:dyDescent="0.25">
      <c r="D3503" t="s">
        <v>98</v>
      </c>
      <c r="E3503">
        <v>2015</v>
      </c>
      <c r="F3503" t="s">
        <v>27</v>
      </c>
      <c r="S3503">
        <v>2144050</v>
      </c>
    </row>
    <row r="3504" spans="4:19" x14ac:dyDescent="0.25">
      <c r="D3504" t="s">
        <v>98</v>
      </c>
      <c r="E3504">
        <v>2013</v>
      </c>
      <c r="F3504" t="s">
        <v>28</v>
      </c>
      <c r="G3504">
        <v>309167</v>
      </c>
      <c r="H3504">
        <v>269438</v>
      </c>
      <c r="I3504">
        <v>280691</v>
      </c>
      <c r="J3504">
        <v>249810</v>
      </c>
      <c r="K3504">
        <v>238276</v>
      </c>
      <c r="L3504">
        <v>256478</v>
      </c>
      <c r="M3504">
        <v>282003</v>
      </c>
      <c r="N3504">
        <v>243392</v>
      </c>
      <c r="O3504">
        <v>287801</v>
      </c>
      <c r="P3504">
        <v>309925</v>
      </c>
      <c r="Q3504">
        <v>299899</v>
      </c>
      <c r="R3504">
        <v>296700</v>
      </c>
    </row>
    <row r="3505" spans="4:19" x14ac:dyDescent="0.25">
      <c r="D3505" t="s">
        <v>98</v>
      </c>
      <c r="E3505">
        <v>2014</v>
      </c>
      <c r="F3505" t="s">
        <v>28</v>
      </c>
      <c r="G3505">
        <v>329906</v>
      </c>
      <c r="H3505">
        <v>276929</v>
      </c>
      <c r="I3505">
        <v>257284</v>
      </c>
      <c r="J3505">
        <v>241247</v>
      </c>
      <c r="K3505">
        <v>229753</v>
      </c>
      <c r="L3505">
        <v>256523</v>
      </c>
      <c r="M3505">
        <v>270044</v>
      </c>
      <c r="N3505">
        <v>256182</v>
      </c>
      <c r="O3505">
        <v>306291</v>
      </c>
      <c r="P3505">
        <v>317856</v>
      </c>
      <c r="Q3505">
        <v>284332</v>
      </c>
      <c r="R3505">
        <v>344336</v>
      </c>
    </row>
    <row r="3506" spans="4:19" x14ac:dyDescent="0.25">
      <c r="D3506" t="s">
        <v>98</v>
      </c>
      <c r="E3506">
        <v>2015</v>
      </c>
      <c r="F3506" t="s">
        <v>28</v>
      </c>
      <c r="G3506">
        <v>344231</v>
      </c>
      <c r="H3506">
        <v>302566</v>
      </c>
      <c r="I3506">
        <v>314781</v>
      </c>
      <c r="J3506">
        <v>291269</v>
      </c>
      <c r="K3506">
        <v>256397</v>
      </c>
      <c r="L3506">
        <v>308237</v>
      </c>
      <c r="M3506">
        <v>326569</v>
      </c>
    </row>
    <row r="3507" spans="4:19" x14ac:dyDescent="0.25">
      <c r="D3507" t="s">
        <v>98</v>
      </c>
      <c r="E3507">
        <v>2013</v>
      </c>
      <c r="F3507" t="s">
        <v>29</v>
      </c>
      <c r="S3507">
        <v>185349</v>
      </c>
    </row>
    <row r="3508" spans="4:19" x14ac:dyDescent="0.25">
      <c r="D3508" t="s">
        <v>98</v>
      </c>
      <c r="E3508">
        <v>2014</v>
      </c>
      <c r="F3508" t="s">
        <v>29</v>
      </c>
      <c r="S3508">
        <v>185185</v>
      </c>
    </row>
    <row r="3509" spans="4:19" x14ac:dyDescent="0.25">
      <c r="D3509" t="s">
        <v>98</v>
      </c>
      <c r="E3509">
        <v>2015</v>
      </c>
      <c r="F3509" t="s">
        <v>29</v>
      </c>
      <c r="S3509">
        <v>184394</v>
      </c>
    </row>
    <row r="3510" spans="4:19" x14ac:dyDescent="0.25">
      <c r="D3510" t="s">
        <v>98</v>
      </c>
      <c r="E3510">
        <v>2013</v>
      </c>
      <c r="F3510" t="s">
        <v>30</v>
      </c>
      <c r="G3510">
        <v>29900</v>
      </c>
      <c r="H3510">
        <v>26788</v>
      </c>
      <c r="I3510">
        <v>27294</v>
      </c>
      <c r="J3510">
        <v>26229</v>
      </c>
      <c r="K3510">
        <v>24368</v>
      </c>
      <c r="L3510">
        <v>24368</v>
      </c>
      <c r="M3510">
        <v>26402</v>
      </c>
      <c r="N3510">
        <v>24671</v>
      </c>
      <c r="O3510">
        <v>31483</v>
      </c>
      <c r="P3510">
        <v>30189</v>
      </c>
      <c r="Q3510">
        <v>26038</v>
      </c>
      <c r="R3510">
        <v>25406</v>
      </c>
    </row>
    <row r="3511" spans="4:19" x14ac:dyDescent="0.25">
      <c r="D3511" t="s">
        <v>98</v>
      </c>
      <c r="E3511">
        <v>2014</v>
      </c>
      <c r="F3511" t="s">
        <v>30</v>
      </c>
      <c r="G3511">
        <v>31514</v>
      </c>
      <c r="H3511">
        <v>28385</v>
      </c>
      <c r="I3511">
        <v>27108</v>
      </c>
      <c r="J3511">
        <v>25886</v>
      </c>
      <c r="K3511">
        <v>23575</v>
      </c>
      <c r="L3511">
        <v>24836</v>
      </c>
      <c r="M3511">
        <v>23881</v>
      </c>
      <c r="N3511">
        <v>22276</v>
      </c>
      <c r="O3511">
        <v>30957</v>
      </c>
      <c r="P3511">
        <v>30004</v>
      </c>
      <c r="Q3511">
        <v>25731</v>
      </c>
      <c r="R3511">
        <v>27074</v>
      </c>
    </row>
    <row r="3512" spans="4:19" x14ac:dyDescent="0.25">
      <c r="D3512" t="s">
        <v>98</v>
      </c>
      <c r="E3512">
        <v>2015</v>
      </c>
      <c r="F3512" t="s">
        <v>30</v>
      </c>
      <c r="G3512">
        <v>29291</v>
      </c>
      <c r="H3512">
        <v>28341</v>
      </c>
      <c r="I3512">
        <v>28825</v>
      </c>
      <c r="J3512">
        <v>25119</v>
      </c>
      <c r="K3512">
        <v>21077</v>
      </c>
      <c r="L3512">
        <v>27050</v>
      </c>
      <c r="M3512">
        <v>24691</v>
      </c>
    </row>
    <row r="3513" spans="4:19" x14ac:dyDescent="0.25">
      <c r="D3513" t="s">
        <v>98</v>
      </c>
      <c r="E3513">
        <v>2013</v>
      </c>
      <c r="F3513" t="s">
        <v>31</v>
      </c>
      <c r="S3513">
        <v>0.68701549433122211</v>
      </c>
    </row>
    <row r="3514" spans="4:19" x14ac:dyDescent="0.25">
      <c r="D3514" t="s">
        <v>98</v>
      </c>
      <c r="E3514">
        <v>2014</v>
      </c>
      <c r="F3514" t="s">
        <v>31</v>
      </c>
      <c r="S3514">
        <v>0.92310045094011295</v>
      </c>
    </row>
    <row r="3515" spans="4:19" x14ac:dyDescent="0.25">
      <c r="D3515" t="s">
        <v>98</v>
      </c>
      <c r="E3515">
        <v>2015</v>
      </c>
      <c r="F3515" t="s">
        <v>31</v>
      </c>
      <c r="S3515">
        <v>0.90897438144736498</v>
      </c>
    </row>
    <row r="3516" spans="4:19" x14ac:dyDescent="0.25">
      <c r="D3516" t="s">
        <v>98</v>
      </c>
      <c r="E3516">
        <v>2013</v>
      </c>
      <c r="F3516" t="s">
        <v>32</v>
      </c>
      <c r="G3516">
        <v>0.84058679137728454</v>
      </c>
      <c r="H3516">
        <v>0.4326051859905769</v>
      </c>
      <c r="I3516">
        <v>0.60098583700059571</v>
      </c>
      <c r="J3516">
        <v>0.69936313927307814</v>
      </c>
      <c r="K3516">
        <v>0.77830302857712408</v>
      </c>
      <c r="L3516">
        <v>0.87900374286354932</v>
      </c>
      <c r="M3516">
        <v>0.94528132888201288</v>
      </c>
      <c r="N3516">
        <v>0.95119723134760992</v>
      </c>
      <c r="O3516">
        <v>0.93173590008287654</v>
      </c>
      <c r="P3516">
        <v>0.94886195246280602</v>
      </c>
      <c r="Q3516">
        <v>0.92437234453456929</v>
      </c>
      <c r="R3516">
        <v>0.95613230618733192</v>
      </c>
    </row>
    <row r="3517" spans="4:19" x14ac:dyDescent="0.25">
      <c r="D3517" t="s">
        <v>98</v>
      </c>
      <c r="E3517">
        <v>2014</v>
      </c>
      <c r="F3517" t="s">
        <v>32</v>
      </c>
      <c r="G3517">
        <v>0.94396054416593767</v>
      </c>
      <c r="H3517">
        <v>0.95363233847163009</v>
      </c>
      <c r="I3517">
        <v>0.93489969888460067</v>
      </c>
      <c r="J3517">
        <v>0.94293916521514742</v>
      </c>
      <c r="K3517">
        <v>0.94384530198483685</v>
      </c>
      <c r="L3517">
        <v>0.84563299065148378</v>
      </c>
      <c r="M3517">
        <v>0.89741909396394259</v>
      </c>
      <c r="N3517">
        <v>0.92379086315355263</v>
      </c>
      <c r="O3517">
        <v>0.93256426772852374</v>
      </c>
      <c r="P3517">
        <v>0.93136065971380066</v>
      </c>
      <c r="Q3517">
        <v>0.92920313219714412</v>
      </c>
      <c r="R3517">
        <v>0.89753683174621557</v>
      </c>
    </row>
    <row r="3518" spans="4:19" x14ac:dyDescent="0.25">
      <c r="D3518" t="s">
        <v>98</v>
      </c>
      <c r="E3518">
        <v>2015</v>
      </c>
      <c r="F3518" t="s">
        <v>32</v>
      </c>
      <c r="G3518">
        <v>0.92742107736340729</v>
      </c>
      <c r="H3518">
        <v>0.92763605056867093</v>
      </c>
      <c r="I3518">
        <v>0.87785471154685368</v>
      </c>
      <c r="J3518">
        <v>0.91124241039368026</v>
      </c>
      <c r="K3518">
        <v>0.91236301310572876</v>
      </c>
      <c r="L3518">
        <v>0.90227415235444353</v>
      </c>
      <c r="M3518">
        <v>0.90465924062762004</v>
      </c>
    </row>
    <row r="3519" spans="4:19" x14ac:dyDescent="0.25">
      <c r="D3519" t="s">
        <v>98</v>
      </c>
      <c r="E3519">
        <v>2013</v>
      </c>
      <c r="F3519" t="s">
        <v>33</v>
      </c>
      <c r="S3519">
        <v>0.60384502790668659</v>
      </c>
    </row>
    <row r="3520" spans="4:19" x14ac:dyDescent="0.25">
      <c r="D3520" t="s">
        <v>98</v>
      </c>
      <c r="E3520">
        <v>2014</v>
      </c>
      <c r="F3520" t="s">
        <v>33</v>
      </c>
      <c r="S3520">
        <v>0.9170873225020687</v>
      </c>
    </row>
    <row r="3521" spans="4:19" x14ac:dyDescent="0.25">
      <c r="D3521" t="s">
        <v>98</v>
      </c>
      <c r="E3521">
        <v>2015</v>
      </c>
      <c r="F3521" t="s">
        <v>33</v>
      </c>
      <c r="S3521">
        <v>0.91656480920766659</v>
      </c>
    </row>
    <row r="3522" spans="4:19" x14ac:dyDescent="0.25">
      <c r="D3522" t="s">
        <v>98</v>
      </c>
      <c r="E3522">
        <v>2013</v>
      </c>
      <c r="F3522" t="s">
        <v>34</v>
      </c>
      <c r="G3522">
        <v>0.82511692919735502</v>
      </c>
      <c r="H3522">
        <v>0.26789452405552311</v>
      </c>
      <c r="I3522">
        <v>0.48081016039061303</v>
      </c>
      <c r="J3522">
        <v>0.63485770655350193</v>
      </c>
      <c r="K3522">
        <v>0.75770064154310235</v>
      </c>
      <c r="L3522">
        <v>0.92054413769142374</v>
      </c>
      <c r="M3522">
        <v>0.93600283307616416</v>
      </c>
      <c r="N3522">
        <v>0.9230279016929428</v>
      </c>
      <c r="O3522">
        <v>0.89523129449043803</v>
      </c>
      <c r="P3522">
        <v>0.92363354724496571</v>
      </c>
      <c r="Q3522">
        <v>0.88464167039803931</v>
      </c>
      <c r="R3522">
        <v>0.9314069931406993</v>
      </c>
    </row>
    <row r="3523" spans="4:19" x14ac:dyDescent="0.25">
      <c r="D3523" t="s">
        <v>98</v>
      </c>
      <c r="E3523">
        <v>2014</v>
      </c>
      <c r="F3523" t="s">
        <v>34</v>
      </c>
      <c r="G3523">
        <v>0.91513545686692399</v>
      </c>
      <c r="H3523">
        <v>0.9310267721017218</v>
      </c>
      <c r="I3523">
        <v>0.89774392681085402</v>
      </c>
      <c r="J3523">
        <v>0.91718746342719382</v>
      </c>
      <c r="K3523">
        <v>0.92996800568787774</v>
      </c>
      <c r="L3523">
        <v>0.90293261573946948</v>
      </c>
      <c r="M3523">
        <v>0.92515102809953997</v>
      </c>
      <c r="N3523">
        <v>0.96525512581547068</v>
      </c>
      <c r="O3523">
        <v>0.93154916486700745</v>
      </c>
      <c r="P3523">
        <v>0.94424724438869467</v>
      </c>
      <c r="Q3523">
        <v>0.93071144498453384</v>
      </c>
      <c r="R3523">
        <v>0.88256281407035175</v>
      </c>
    </row>
    <row r="3524" spans="4:19" x14ac:dyDescent="0.25">
      <c r="D3524" t="s">
        <v>98</v>
      </c>
      <c r="E3524">
        <v>2015</v>
      </c>
      <c r="F3524" t="s">
        <v>34</v>
      </c>
      <c r="G3524">
        <v>0.9355624006359301</v>
      </c>
      <c r="H3524">
        <v>0.93838383838383843</v>
      </c>
      <c r="I3524">
        <v>0.88644143825105648</v>
      </c>
      <c r="J3524">
        <v>0.92907329767240132</v>
      </c>
      <c r="K3524">
        <v>0.9168360074004428</v>
      </c>
      <c r="L3524">
        <v>0.90429180089369221</v>
      </c>
      <c r="M3524">
        <v>0.9071828597852335</v>
      </c>
    </row>
    <row r="3525" spans="4:19" x14ac:dyDescent="0.25">
      <c r="D3525" t="s">
        <v>99</v>
      </c>
      <c r="E3525">
        <v>2013</v>
      </c>
      <c r="F3525" t="s">
        <v>17</v>
      </c>
      <c r="S3525">
        <v>0.91487315394644042</v>
      </c>
    </row>
    <row r="3526" spans="4:19" x14ac:dyDescent="0.25">
      <c r="D3526" t="s">
        <v>99</v>
      </c>
      <c r="E3526">
        <v>2014</v>
      </c>
      <c r="F3526" t="s">
        <v>17</v>
      </c>
      <c r="S3526">
        <v>0.98848809509413882</v>
      </c>
    </row>
    <row r="3527" spans="4:19" x14ac:dyDescent="0.25">
      <c r="D3527" t="s">
        <v>99</v>
      </c>
      <c r="E3527">
        <v>2015</v>
      </c>
      <c r="F3527" t="s">
        <v>17</v>
      </c>
      <c r="S3527">
        <v>0.97180578911588966</v>
      </c>
    </row>
    <row r="3528" spans="4:19" x14ac:dyDescent="0.25">
      <c r="D3528" t="s">
        <v>99</v>
      </c>
      <c r="E3528">
        <v>2013</v>
      </c>
      <c r="F3528" t="s">
        <v>18</v>
      </c>
      <c r="G3528">
        <v>0.88515972503032758</v>
      </c>
      <c r="H3528">
        <v>0.86374399567011706</v>
      </c>
      <c r="I3528">
        <v>0.88846632048562857</v>
      </c>
      <c r="J3528">
        <v>0.91359349842827575</v>
      </c>
      <c r="K3528">
        <v>0.92500000000000004</v>
      </c>
      <c r="L3528">
        <v>0.97461050201961918</v>
      </c>
      <c r="M3528">
        <v>0.99357644035971937</v>
      </c>
      <c r="N3528">
        <v>0.99341874341874337</v>
      </c>
      <c r="O3528">
        <v>0.99175312583133812</v>
      </c>
      <c r="P3528">
        <v>0.99231762427372494</v>
      </c>
      <c r="Q3528">
        <v>0.99163408913213447</v>
      </c>
      <c r="R3528">
        <v>0.99027919894752225</v>
      </c>
    </row>
    <row r="3529" spans="4:19" x14ac:dyDescent="0.25">
      <c r="D3529" t="s">
        <v>99</v>
      </c>
      <c r="E3529">
        <v>2014</v>
      </c>
      <c r="F3529" t="s">
        <v>18</v>
      </c>
      <c r="G3529">
        <v>0.99092546411748406</v>
      </c>
      <c r="H3529">
        <v>0.98948452092065597</v>
      </c>
      <c r="I3529">
        <v>0.98930608365019013</v>
      </c>
      <c r="J3529">
        <v>0.99028716216216217</v>
      </c>
      <c r="K3529">
        <v>0.98964338055691259</v>
      </c>
      <c r="L3529">
        <v>0.98690080683436165</v>
      </c>
      <c r="M3529">
        <v>0.98048366567670764</v>
      </c>
      <c r="N3529">
        <v>0.98162816281628162</v>
      </c>
      <c r="O3529">
        <v>0.98266202301635375</v>
      </c>
      <c r="P3529">
        <v>0.98411552346570397</v>
      </c>
      <c r="Q3529">
        <v>0.97579487179487179</v>
      </c>
      <c r="R3529">
        <v>0.98022144411848211</v>
      </c>
    </row>
    <row r="3530" spans="4:19" x14ac:dyDescent="0.25">
      <c r="D3530" t="s">
        <v>99</v>
      </c>
      <c r="E3530">
        <v>2015</v>
      </c>
      <c r="F3530" t="s">
        <v>18</v>
      </c>
      <c r="G3530">
        <v>0.98331284033023014</v>
      </c>
      <c r="H3530">
        <v>0.99001347388444161</v>
      </c>
      <c r="I3530">
        <v>0.98817140306502005</v>
      </c>
      <c r="J3530">
        <v>0.95117557830868416</v>
      </c>
      <c r="K3530">
        <v>0.9580183048149622</v>
      </c>
      <c r="L3530">
        <v>0.9620864149474504</v>
      </c>
      <c r="M3530">
        <v>0.96411206297754115</v>
      </c>
    </row>
    <row r="3531" spans="4:19" x14ac:dyDescent="0.25">
      <c r="D3531" t="s">
        <v>99</v>
      </c>
      <c r="E3531">
        <v>2013</v>
      </c>
      <c r="F3531" t="s">
        <v>19</v>
      </c>
      <c r="S3531">
        <v>0.6183461739091235</v>
      </c>
    </row>
    <row r="3532" spans="4:19" x14ac:dyDescent="0.25">
      <c r="D3532" t="s">
        <v>99</v>
      </c>
      <c r="E3532">
        <v>2014</v>
      </c>
      <c r="F3532" t="s">
        <v>19</v>
      </c>
      <c r="S3532">
        <v>0.6870786313001197</v>
      </c>
    </row>
    <row r="3533" spans="4:19" x14ac:dyDescent="0.25">
      <c r="D3533" t="s">
        <v>99</v>
      </c>
      <c r="E3533">
        <v>2015</v>
      </c>
      <c r="F3533" t="s">
        <v>19</v>
      </c>
      <c r="S3533">
        <v>0.97535269492867771</v>
      </c>
    </row>
    <row r="3534" spans="4:19" x14ac:dyDescent="0.25">
      <c r="D3534" t="s">
        <v>99</v>
      </c>
      <c r="E3534">
        <v>2013</v>
      </c>
      <c r="F3534" t="s">
        <v>20</v>
      </c>
      <c r="G3534">
        <v>0.5552947826300656</v>
      </c>
      <c r="H3534">
        <v>0.53244251342378157</v>
      </c>
      <c r="I3534">
        <v>0.49559149748687276</v>
      </c>
      <c r="J3534">
        <v>0.54609768703966921</v>
      </c>
      <c r="K3534">
        <v>0.45189890617569128</v>
      </c>
      <c r="L3534">
        <v>0.93742832684573518</v>
      </c>
      <c r="M3534">
        <v>0.87434819762473626</v>
      </c>
      <c r="N3534">
        <v>0.64362387290682699</v>
      </c>
      <c r="O3534">
        <v>0.67598841330005244</v>
      </c>
      <c r="P3534">
        <v>0.47212476404139037</v>
      </c>
      <c r="Q3534">
        <v>0.46919872130803897</v>
      </c>
      <c r="R3534">
        <v>0.67003574374484465</v>
      </c>
    </row>
    <row r="3535" spans="4:19" x14ac:dyDescent="0.25">
      <c r="D3535" t="s">
        <v>99</v>
      </c>
      <c r="E3535">
        <v>2014</v>
      </c>
      <c r="F3535" t="s">
        <v>20</v>
      </c>
      <c r="G3535">
        <v>0.6248544116031205</v>
      </c>
      <c r="H3535">
        <v>0.63893717739562994</v>
      </c>
      <c r="I3535">
        <v>0.61906491016572496</v>
      </c>
      <c r="J3535">
        <v>0.62155087459965508</v>
      </c>
      <c r="K3535">
        <v>0.66698115787458634</v>
      </c>
      <c r="L3535">
        <v>0.77044387876859444</v>
      </c>
      <c r="M3535">
        <v>0.83198746999088491</v>
      </c>
      <c r="N3535">
        <v>0.77011494252873558</v>
      </c>
      <c r="O3535">
        <v>0.64771253545332819</v>
      </c>
      <c r="P3535">
        <v>0.90342623989268545</v>
      </c>
      <c r="Q3535">
        <v>0.97997898601761946</v>
      </c>
      <c r="R3535">
        <v>0.98570046366686348</v>
      </c>
    </row>
    <row r="3536" spans="4:19" x14ac:dyDescent="0.25">
      <c r="D3536" t="s">
        <v>99</v>
      </c>
      <c r="E3536">
        <v>2015</v>
      </c>
      <c r="F3536" t="s">
        <v>20</v>
      </c>
      <c r="G3536">
        <v>0.92547418576475504</v>
      </c>
      <c r="H3536">
        <v>0.97317358865320469</v>
      </c>
      <c r="I3536">
        <v>0.98009401847949429</v>
      </c>
      <c r="J3536">
        <v>0.98477389811104754</v>
      </c>
      <c r="K3536">
        <v>0.98003187400393743</v>
      </c>
      <c r="L3536">
        <v>0.99604154205861561</v>
      </c>
      <c r="M3536">
        <v>0.99766914451304023</v>
      </c>
    </row>
    <row r="3537" spans="4:19" x14ac:dyDescent="0.25">
      <c r="D3537" t="s">
        <v>99</v>
      </c>
      <c r="E3537">
        <v>2013</v>
      </c>
      <c r="F3537" t="s">
        <v>21</v>
      </c>
      <c r="S3537">
        <v>0.92499220889989664</v>
      </c>
    </row>
    <row r="3538" spans="4:19" x14ac:dyDescent="0.25">
      <c r="D3538" t="s">
        <v>99</v>
      </c>
      <c r="E3538">
        <v>2014</v>
      </c>
      <c r="F3538" t="s">
        <v>21</v>
      </c>
      <c r="S3538">
        <v>0.94312461889788257</v>
      </c>
    </row>
    <row r="3539" spans="4:19" x14ac:dyDescent="0.25">
      <c r="D3539" t="s">
        <v>99</v>
      </c>
      <c r="E3539">
        <v>2015</v>
      </c>
      <c r="F3539" t="s">
        <v>21</v>
      </c>
      <c r="S3539">
        <v>0.95107672779796038</v>
      </c>
    </row>
    <row r="3540" spans="4:19" x14ac:dyDescent="0.25">
      <c r="D3540" t="s">
        <v>99</v>
      </c>
      <c r="E3540">
        <v>2013</v>
      </c>
      <c r="F3540" t="s">
        <v>22</v>
      </c>
      <c r="G3540">
        <v>0.91925856110587501</v>
      </c>
      <c r="H3540">
        <v>0.92914197371811391</v>
      </c>
      <c r="I3540">
        <v>0.92216438687810187</v>
      </c>
      <c r="J3540">
        <v>0.92240521719907154</v>
      </c>
      <c r="K3540">
        <v>0.894604064470918</v>
      </c>
      <c r="L3540">
        <v>0.92742870391838628</v>
      </c>
      <c r="M3540">
        <v>0.95003305941248706</v>
      </c>
      <c r="N3540">
        <v>0.93230730730730726</v>
      </c>
      <c r="O3540">
        <v>0.92496487119437942</v>
      </c>
      <c r="P3540">
        <v>0.92867249271743657</v>
      </c>
      <c r="Q3540">
        <v>0.90459253059943512</v>
      </c>
      <c r="R3540">
        <v>0.93682460515378219</v>
      </c>
    </row>
    <row r="3541" spans="4:19" x14ac:dyDescent="0.25">
      <c r="D3541" t="s">
        <v>99</v>
      </c>
      <c r="E3541">
        <v>2014</v>
      </c>
      <c r="F3541" t="s">
        <v>22</v>
      </c>
      <c r="G3541">
        <v>0.93391264578092847</v>
      </c>
      <c r="H3541">
        <v>0.94560423404880922</v>
      </c>
      <c r="I3541">
        <v>0.92760957975598735</v>
      </c>
      <c r="J3541">
        <v>0.95936670632378507</v>
      </c>
      <c r="K3541">
        <v>0.92252650176678441</v>
      </c>
      <c r="L3541">
        <v>0.96361363794180954</v>
      </c>
      <c r="M3541">
        <v>0.9453348143446525</v>
      </c>
      <c r="N3541">
        <v>0.93176322153296187</v>
      </c>
      <c r="O3541">
        <v>0.92483688560243582</v>
      </c>
      <c r="P3541">
        <v>0.93505751815289218</v>
      </c>
      <c r="Q3541">
        <v>0.94676032905074403</v>
      </c>
      <c r="R3541">
        <v>0.9796838005040861</v>
      </c>
    </row>
    <row r="3542" spans="4:19" x14ac:dyDescent="0.25">
      <c r="D3542" t="s">
        <v>99</v>
      </c>
      <c r="E3542">
        <v>2015</v>
      </c>
      <c r="F3542" t="s">
        <v>22</v>
      </c>
      <c r="G3542">
        <v>0.84460384740789041</v>
      </c>
      <c r="H3542">
        <v>0.96492411467116357</v>
      </c>
      <c r="I3542">
        <v>0.95280850452521193</v>
      </c>
      <c r="J3542">
        <v>0.96342158859470473</v>
      </c>
      <c r="K3542">
        <v>0.95150577745428078</v>
      </c>
      <c r="L3542">
        <v>0.99816124469589818</v>
      </c>
      <c r="M3542">
        <v>0.99945588806840269</v>
      </c>
    </row>
    <row r="3543" spans="4:19" x14ac:dyDescent="0.25">
      <c r="D3543" t="s">
        <v>99</v>
      </c>
      <c r="E3543">
        <v>2013</v>
      </c>
      <c r="F3543" t="s">
        <v>23</v>
      </c>
      <c r="S3543">
        <v>161435</v>
      </c>
    </row>
    <row r="3544" spans="4:19" x14ac:dyDescent="0.25">
      <c r="D3544" t="s">
        <v>99</v>
      </c>
      <c r="E3544">
        <v>2014</v>
      </c>
      <c r="F3544" t="s">
        <v>23</v>
      </c>
      <c r="S3544">
        <v>158028</v>
      </c>
    </row>
    <row r="3545" spans="4:19" x14ac:dyDescent="0.25">
      <c r="D3545" t="s">
        <v>99</v>
      </c>
      <c r="E3545">
        <v>2015</v>
      </c>
      <c r="F3545" t="s">
        <v>23</v>
      </c>
      <c r="S3545">
        <v>136571</v>
      </c>
    </row>
    <row r="3546" spans="4:19" x14ac:dyDescent="0.25">
      <c r="D3546" t="s">
        <v>99</v>
      </c>
      <c r="E3546">
        <v>2013</v>
      </c>
      <c r="F3546" t="s">
        <v>24</v>
      </c>
      <c r="G3546">
        <v>33759</v>
      </c>
      <c r="H3546">
        <v>26176</v>
      </c>
      <c r="I3546">
        <v>22201</v>
      </c>
      <c r="J3546">
        <v>20122</v>
      </c>
      <c r="K3546">
        <v>19385</v>
      </c>
      <c r="L3546">
        <v>18169</v>
      </c>
      <c r="M3546">
        <v>21623</v>
      </c>
      <c r="N3546">
        <v>23527</v>
      </c>
      <c r="O3546">
        <v>26256</v>
      </c>
      <c r="P3546">
        <v>25909</v>
      </c>
      <c r="Q3546">
        <v>24749</v>
      </c>
      <c r="R3546">
        <v>23715</v>
      </c>
    </row>
    <row r="3547" spans="4:19" x14ac:dyDescent="0.25">
      <c r="D3547" t="s">
        <v>99</v>
      </c>
      <c r="E3547">
        <v>2014</v>
      </c>
      <c r="F3547" t="s">
        <v>24</v>
      </c>
      <c r="G3547">
        <v>27829</v>
      </c>
      <c r="H3547">
        <v>25598</v>
      </c>
      <c r="I3547">
        <v>22598</v>
      </c>
      <c r="J3547">
        <v>19960</v>
      </c>
      <c r="K3547">
        <v>19600</v>
      </c>
      <c r="L3547">
        <v>19669</v>
      </c>
      <c r="M3547">
        <v>22774</v>
      </c>
      <c r="N3547">
        <v>21638</v>
      </c>
      <c r="O3547">
        <v>29754</v>
      </c>
      <c r="P3547">
        <v>23886</v>
      </c>
      <c r="Q3547">
        <v>20592</v>
      </c>
      <c r="R3547">
        <v>20150</v>
      </c>
    </row>
    <row r="3548" spans="4:19" x14ac:dyDescent="0.25">
      <c r="D3548" t="s">
        <v>99</v>
      </c>
      <c r="E3548">
        <v>2015</v>
      </c>
      <c r="F3548" t="s">
        <v>24</v>
      </c>
      <c r="G3548">
        <v>21007</v>
      </c>
      <c r="H3548">
        <v>22139</v>
      </c>
      <c r="I3548">
        <v>21010</v>
      </c>
      <c r="J3548">
        <v>18002</v>
      </c>
      <c r="K3548">
        <v>15236</v>
      </c>
      <c r="L3548">
        <v>18708</v>
      </c>
      <c r="M3548">
        <v>20469</v>
      </c>
    </row>
    <row r="3549" spans="4:19" x14ac:dyDescent="0.25">
      <c r="D3549" t="s">
        <v>99</v>
      </c>
      <c r="E3549">
        <v>2013</v>
      </c>
      <c r="F3549" t="s">
        <v>25</v>
      </c>
      <c r="S3549">
        <v>408574</v>
      </c>
    </row>
    <row r="3550" spans="4:19" x14ac:dyDescent="0.25">
      <c r="D3550" t="s">
        <v>99</v>
      </c>
      <c r="E3550">
        <v>2014</v>
      </c>
      <c r="F3550" t="s">
        <v>25</v>
      </c>
      <c r="S3550">
        <v>423588</v>
      </c>
    </row>
    <row r="3551" spans="4:19" x14ac:dyDescent="0.25">
      <c r="D3551" t="s">
        <v>99</v>
      </c>
      <c r="E3551">
        <v>2015</v>
      </c>
      <c r="F3551" t="s">
        <v>25</v>
      </c>
      <c r="S3551">
        <v>443796</v>
      </c>
    </row>
    <row r="3552" spans="4:19" x14ac:dyDescent="0.25">
      <c r="D3552" t="s">
        <v>99</v>
      </c>
      <c r="E3552">
        <v>2013</v>
      </c>
      <c r="F3552" t="s">
        <v>26</v>
      </c>
      <c r="G3552">
        <v>74106</v>
      </c>
      <c r="H3552">
        <v>60355</v>
      </c>
      <c r="I3552">
        <v>56957</v>
      </c>
      <c r="J3552">
        <v>57097</v>
      </c>
      <c r="K3552">
        <v>47279</v>
      </c>
      <c r="L3552">
        <v>56008</v>
      </c>
      <c r="M3552">
        <v>56772</v>
      </c>
      <c r="N3552">
        <v>51548</v>
      </c>
      <c r="O3552">
        <v>71162</v>
      </c>
      <c r="P3552">
        <v>86348</v>
      </c>
      <c r="Q3552">
        <v>74131</v>
      </c>
      <c r="R3552">
        <v>81751</v>
      </c>
    </row>
    <row r="3553" spans="4:19" x14ac:dyDescent="0.25">
      <c r="D3553" t="s">
        <v>99</v>
      </c>
      <c r="E3553">
        <v>2014</v>
      </c>
      <c r="F3553" t="s">
        <v>26</v>
      </c>
      <c r="G3553">
        <v>67357</v>
      </c>
      <c r="H3553">
        <v>58206</v>
      </c>
      <c r="I3553">
        <v>48723</v>
      </c>
      <c r="J3553">
        <v>56747</v>
      </c>
      <c r="K3553">
        <v>54496</v>
      </c>
      <c r="L3553">
        <v>71660</v>
      </c>
      <c r="M3553">
        <v>66399</v>
      </c>
      <c r="N3553">
        <v>57549</v>
      </c>
      <c r="O3553">
        <v>74702</v>
      </c>
      <c r="P3553">
        <v>78644</v>
      </c>
      <c r="Q3553">
        <v>81921</v>
      </c>
      <c r="R3553">
        <v>73549</v>
      </c>
    </row>
    <row r="3554" spans="4:19" x14ac:dyDescent="0.25">
      <c r="D3554" t="s">
        <v>99</v>
      </c>
      <c r="E3554">
        <v>2015</v>
      </c>
      <c r="F3554" t="s">
        <v>26</v>
      </c>
      <c r="G3554">
        <v>71763</v>
      </c>
      <c r="H3554">
        <v>60985</v>
      </c>
      <c r="I3554">
        <v>65775</v>
      </c>
      <c r="J3554">
        <v>57427</v>
      </c>
      <c r="K3554">
        <v>51905</v>
      </c>
      <c r="L3554">
        <v>68781</v>
      </c>
      <c r="M3554">
        <v>67160</v>
      </c>
    </row>
    <row r="3555" spans="4:19" x14ac:dyDescent="0.25">
      <c r="D3555" t="s">
        <v>99</v>
      </c>
      <c r="E3555">
        <v>2013</v>
      </c>
      <c r="F3555" t="s">
        <v>27</v>
      </c>
      <c r="S3555">
        <v>706490</v>
      </c>
    </row>
    <row r="3556" spans="4:19" x14ac:dyDescent="0.25">
      <c r="D3556" t="s">
        <v>99</v>
      </c>
      <c r="E3556">
        <v>2014</v>
      </c>
      <c r="F3556" t="s">
        <v>27</v>
      </c>
      <c r="S3556">
        <v>742629</v>
      </c>
    </row>
    <row r="3557" spans="4:19" x14ac:dyDescent="0.25">
      <c r="D3557" t="s">
        <v>99</v>
      </c>
      <c r="E3557">
        <v>2015</v>
      </c>
      <c r="F3557" t="s">
        <v>27</v>
      </c>
      <c r="S3557">
        <v>754049</v>
      </c>
    </row>
    <row r="3558" spans="4:19" x14ac:dyDescent="0.25">
      <c r="D3558" t="s">
        <v>99</v>
      </c>
      <c r="E3558">
        <v>2013</v>
      </c>
      <c r="F3558" t="s">
        <v>28</v>
      </c>
      <c r="G3558">
        <v>125102</v>
      </c>
      <c r="H3558">
        <v>108349</v>
      </c>
      <c r="I3558">
        <v>99293</v>
      </c>
      <c r="J3558">
        <v>100875</v>
      </c>
      <c r="K3558">
        <v>81141</v>
      </c>
      <c r="L3558">
        <v>93772</v>
      </c>
      <c r="M3558">
        <v>97958</v>
      </c>
      <c r="N3558">
        <v>84309</v>
      </c>
      <c r="O3558">
        <v>124016</v>
      </c>
      <c r="P3558">
        <v>162269</v>
      </c>
      <c r="Q3558">
        <v>122448</v>
      </c>
      <c r="R3558">
        <v>142691</v>
      </c>
    </row>
    <row r="3559" spans="4:19" x14ac:dyDescent="0.25">
      <c r="D3559" t="s">
        <v>99</v>
      </c>
      <c r="E3559">
        <v>2014</v>
      </c>
      <c r="F3559" t="s">
        <v>28</v>
      </c>
      <c r="G3559">
        <v>115147</v>
      </c>
      <c r="H3559">
        <v>104934</v>
      </c>
      <c r="I3559">
        <v>83615</v>
      </c>
      <c r="J3559">
        <v>103360</v>
      </c>
      <c r="K3559">
        <v>97077</v>
      </c>
      <c r="L3559">
        <v>122343</v>
      </c>
      <c r="M3559">
        <v>116153</v>
      </c>
      <c r="N3559">
        <v>94901</v>
      </c>
      <c r="O3559">
        <v>128397</v>
      </c>
      <c r="P3559">
        <v>141360</v>
      </c>
      <c r="Q3559">
        <v>131705</v>
      </c>
      <c r="R3559">
        <v>130676</v>
      </c>
    </row>
    <row r="3560" spans="4:19" x14ac:dyDescent="0.25">
      <c r="D3560" t="s">
        <v>99</v>
      </c>
      <c r="E3560">
        <v>2015</v>
      </c>
      <c r="F3560" t="s">
        <v>28</v>
      </c>
      <c r="G3560">
        <v>123968</v>
      </c>
      <c r="H3560">
        <v>106519</v>
      </c>
      <c r="I3560">
        <v>113461</v>
      </c>
      <c r="J3560">
        <v>96565</v>
      </c>
      <c r="K3560">
        <v>85118</v>
      </c>
      <c r="L3560">
        <v>114930</v>
      </c>
      <c r="M3560">
        <v>113488</v>
      </c>
    </row>
    <row r="3561" spans="4:19" x14ac:dyDescent="0.25">
      <c r="D3561" t="s">
        <v>99</v>
      </c>
      <c r="E3561">
        <v>2013</v>
      </c>
      <c r="F3561" t="s">
        <v>29</v>
      </c>
      <c r="S3561">
        <v>93578</v>
      </c>
    </row>
    <row r="3562" spans="4:19" x14ac:dyDescent="0.25">
      <c r="D3562" t="s">
        <v>99</v>
      </c>
      <c r="E3562">
        <v>2014</v>
      </c>
      <c r="F3562" t="s">
        <v>29</v>
      </c>
      <c r="S3562">
        <v>82697</v>
      </c>
    </row>
    <row r="3563" spans="4:19" x14ac:dyDescent="0.25">
      <c r="D3563" t="s">
        <v>99</v>
      </c>
      <c r="E3563">
        <v>2015</v>
      </c>
      <c r="F3563" t="s">
        <v>29</v>
      </c>
      <c r="S3563">
        <v>83847</v>
      </c>
    </row>
    <row r="3564" spans="4:19" x14ac:dyDescent="0.25">
      <c r="D3564" t="s">
        <v>99</v>
      </c>
      <c r="E3564">
        <v>2013</v>
      </c>
      <c r="F3564" t="s">
        <v>30</v>
      </c>
      <c r="G3564">
        <v>17311</v>
      </c>
      <c r="H3564">
        <v>14781</v>
      </c>
      <c r="I3564">
        <v>13673</v>
      </c>
      <c r="J3564">
        <v>13043</v>
      </c>
      <c r="K3564">
        <v>12520</v>
      </c>
      <c r="L3564">
        <v>12131</v>
      </c>
      <c r="M3564">
        <v>10119</v>
      </c>
      <c r="N3564">
        <v>11396</v>
      </c>
      <c r="O3564">
        <v>15036</v>
      </c>
      <c r="P3564">
        <v>15490</v>
      </c>
      <c r="Q3564">
        <v>12790</v>
      </c>
      <c r="R3564">
        <v>13682</v>
      </c>
    </row>
    <row r="3565" spans="4:19" x14ac:dyDescent="0.25">
      <c r="D3565" t="s">
        <v>99</v>
      </c>
      <c r="E3565">
        <v>2014</v>
      </c>
      <c r="F3565" t="s">
        <v>30</v>
      </c>
      <c r="G3565">
        <v>14436</v>
      </c>
      <c r="H3565">
        <v>13599</v>
      </c>
      <c r="I3565">
        <v>12624</v>
      </c>
      <c r="J3565">
        <v>11840</v>
      </c>
      <c r="K3565">
        <v>10235</v>
      </c>
      <c r="L3565">
        <v>10535</v>
      </c>
      <c r="M3565">
        <v>9428</v>
      </c>
      <c r="N3565">
        <v>9090</v>
      </c>
      <c r="O3565">
        <v>13208</v>
      </c>
      <c r="P3565">
        <v>11080</v>
      </c>
      <c r="Q3565">
        <v>9750</v>
      </c>
      <c r="R3565">
        <v>10567</v>
      </c>
    </row>
    <row r="3566" spans="4:19" x14ac:dyDescent="0.25">
      <c r="D3566" t="s">
        <v>99</v>
      </c>
      <c r="E3566">
        <v>2015</v>
      </c>
      <c r="F3566" t="s">
        <v>30</v>
      </c>
      <c r="G3566">
        <v>11386</v>
      </c>
      <c r="H3566">
        <v>12617</v>
      </c>
      <c r="I3566">
        <v>13442</v>
      </c>
      <c r="J3566">
        <v>10548</v>
      </c>
      <c r="K3566">
        <v>10052</v>
      </c>
      <c r="L3566">
        <v>12845</v>
      </c>
      <c r="M3566">
        <v>12957</v>
      </c>
    </row>
    <row r="3567" spans="4:19" x14ac:dyDescent="0.25">
      <c r="D3567" t="s">
        <v>99</v>
      </c>
      <c r="E3567">
        <v>2013</v>
      </c>
      <c r="F3567" t="s">
        <v>31</v>
      </c>
      <c r="S3567">
        <v>0.79156936228203301</v>
      </c>
    </row>
    <row r="3568" spans="4:19" x14ac:dyDescent="0.25">
      <c r="D3568" t="s">
        <v>99</v>
      </c>
      <c r="E3568">
        <v>2014</v>
      </c>
      <c r="F3568" t="s">
        <v>31</v>
      </c>
      <c r="S3568">
        <v>0.91937504745994381</v>
      </c>
    </row>
    <row r="3569" spans="4:19" x14ac:dyDescent="0.25">
      <c r="D3569" t="s">
        <v>99</v>
      </c>
      <c r="E3569">
        <v>2015</v>
      </c>
      <c r="F3569" t="s">
        <v>31</v>
      </c>
      <c r="S3569">
        <v>0.90889720365231275</v>
      </c>
    </row>
    <row r="3570" spans="4:19" x14ac:dyDescent="0.25">
      <c r="D3570" t="s">
        <v>99</v>
      </c>
      <c r="E3570">
        <v>2013</v>
      </c>
      <c r="F3570" t="s">
        <v>32</v>
      </c>
      <c r="G3570">
        <v>0.71278770105749578</v>
      </c>
      <c r="H3570">
        <v>0.7797600855745721</v>
      </c>
      <c r="I3570">
        <v>0.75226341155803789</v>
      </c>
      <c r="J3570">
        <v>0.81458105556107741</v>
      </c>
      <c r="K3570">
        <v>0.80722207892700537</v>
      </c>
      <c r="L3570">
        <v>0.83389289449061588</v>
      </c>
      <c r="M3570">
        <v>0.8982102390972575</v>
      </c>
      <c r="N3570">
        <v>0.95405279041101709</v>
      </c>
      <c r="O3570">
        <v>0.91304844606946989</v>
      </c>
      <c r="P3570">
        <v>0.95345246825427454</v>
      </c>
      <c r="Q3570">
        <v>0.83142753242555256</v>
      </c>
      <c r="R3570">
        <v>0.91165928737086233</v>
      </c>
    </row>
    <row r="3571" spans="4:19" x14ac:dyDescent="0.25">
      <c r="D3571" t="s">
        <v>99</v>
      </c>
      <c r="E3571">
        <v>2014</v>
      </c>
      <c r="F3571" t="s">
        <v>32</v>
      </c>
      <c r="G3571">
        <v>0.909518847245679</v>
      </c>
      <c r="H3571">
        <v>0.90475818423314325</v>
      </c>
      <c r="I3571">
        <v>0.94203026816532431</v>
      </c>
      <c r="J3571">
        <v>0.93647294589178354</v>
      </c>
      <c r="K3571">
        <v>0.91035714285714286</v>
      </c>
      <c r="L3571">
        <v>0.93619401088006504</v>
      </c>
      <c r="M3571">
        <v>0.9036181610608589</v>
      </c>
      <c r="N3571">
        <v>0.92041778352897685</v>
      </c>
      <c r="O3571">
        <v>0.93116891846474426</v>
      </c>
      <c r="P3571">
        <v>0.92681905718831115</v>
      </c>
      <c r="Q3571">
        <v>0.94221056721056717</v>
      </c>
      <c r="R3571">
        <v>0.9387593052109181</v>
      </c>
    </row>
    <row r="3572" spans="4:19" x14ac:dyDescent="0.25">
      <c r="D3572" t="s">
        <v>99</v>
      </c>
      <c r="E3572">
        <v>2015</v>
      </c>
      <c r="F3572" t="s">
        <v>32</v>
      </c>
      <c r="G3572">
        <v>0.92850002380158991</v>
      </c>
      <c r="H3572">
        <v>0.9303943267536926</v>
      </c>
      <c r="I3572">
        <v>0.89819133745835311</v>
      </c>
      <c r="J3572">
        <v>0.9015109432285302</v>
      </c>
      <c r="K3572">
        <v>0.90804673142557102</v>
      </c>
      <c r="L3572">
        <v>0.90811417575368825</v>
      </c>
      <c r="M3572">
        <v>0.88436171771947825</v>
      </c>
    </row>
    <row r="3573" spans="4:19" x14ac:dyDescent="0.25">
      <c r="D3573" t="s">
        <v>99</v>
      </c>
      <c r="E3573">
        <v>2013</v>
      </c>
      <c r="F3573" t="s">
        <v>33</v>
      </c>
      <c r="S3573">
        <v>0.78059885421860153</v>
      </c>
    </row>
    <row r="3574" spans="4:19" x14ac:dyDescent="0.25">
      <c r="D3574" t="s">
        <v>99</v>
      </c>
      <c r="E3574">
        <v>2014</v>
      </c>
      <c r="F3574" t="s">
        <v>33</v>
      </c>
      <c r="S3574">
        <v>0.89221861876845032</v>
      </c>
    </row>
    <row r="3575" spans="4:19" x14ac:dyDescent="0.25">
      <c r="D3575" t="s">
        <v>99</v>
      </c>
      <c r="E3575">
        <v>2015</v>
      </c>
      <c r="F3575" t="s">
        <v>33</v>
      </c>
      <c r="S3575">
        <v>0.92480479054553133</v>
      </c>
    </row>
    <row r="3576" spans="4:19" x14ac:dyDescent="0.25">
      <c r="D3576" t="s">
        <v>99</v>
      </c>
      <c r="E3576">
        <v>2013</v>
      </c>
      <c r="F3576" t="s">
        <v>34</v>
      </c>
      <c r="G3576">
        <v>0.67843603984836465</v>
      </c>
      <c r="H3576">
        <v>0.77189959216497217</v>
      </c>
      <c r="I3576">
        <v>0.72902557014512781</v>
      </c>
      <c r="J3576">
        <v>0.82021204601849762</v>
      </c>
      <c r="K3576">
        <v>0.81541802388707929</v>
      </c>
      <c r="L3576">
        <v>0.87121212121212122</v>
      </c>
      <c r="M3576">
        <v>0.86576792056244112</v>
      </c>
      <c r="N3576">
        <v>0.91776966377605351</v>
      </c>
      <c r="O3576">
        <v>0.86815661815661815</v>
      </c>
      <c r="P3576">
        <v>0.92573434324773696</v>
      </c>
      <c r="Q3576">
        <v>0.7481740810044063</v>
      </c>
      <c r="R3576">
        <v>0.8667133223056368</v>
      </c>
    </row>
    <row r="3577" spans="4:19" x14ac:dyDescent="0.25">
      <c r="D3577" t="s">
        <v>99</v>
      </c>
      <c r="E3577">
        <v>2014</v>
      </c>
      <c r="F3577" t="s">
        <v>34</v>
      </c>
      <c r="G3577">
        <v>0.85895137799686305</v>
      </c>
      <c r="H3577">
        <v>0.84918965730545592</v>
      </c>
      <c r="I3577">
        <v>0.90967386058056954</v>
      </c>
      <c r="J3577">
        <v>0.90288734012407135</v>
      </c>
      <c r="K3577">
        <v>0.8651366287995087</v>
      </c>
      <c r="L3577">
        <v>0.9353354743511848</v>
      </c>
      <c r="M3577">
        <v>0.9669544507293838</v>
      </c>
      <c r="N3577">
        <v>0.99100738678942302</v>
      </c>
      <c r="O3577">
        <v>0.9449697589232473</v>
      </c>
      <c r="P3577">
        <v>0.96030297499543715</v>
      </c>
      <c r="Q3577">
        <v>0.98048096624609082</v>
      </c>
      <c r="R3577">
        <v>0.97325378047525979</v>
      </c>
    </row>
    <row r="3578" spans="4:19" x14ac:dyDescent="0.25">
      <c r="D3578" t="s">
        <v>99</v>
      </c>
      <c r="E3578">
        <v>2015</v>
      </c>
      <c r="F3578" t="s">
        <v>34</v>
      </c>
      <c r="G3578">
        <v>0.95468516729603936</v>
      </c>
      <c r="H3578">
        <v>0.95112166366464712</v>
      </c>
      <c r="I3578">
        <v>0.9209133024487095</v>
      </c>
      <c r="J3578">
        <v>0.91299423393739698</v>
      </c>
      <c r="K3578">
        <v>0.92231574158325746</v>
      </c>
      <c r="L3578">
        <v>0.92760690172543137</v>
      </c>
      <c r="M3578">
        <v>0.87845606350944427</v>
      </c>
    </row>
    <row r="3579" spans="4:19" x14ac:dyDescent="0.25">
      <c r="D3579" t="s">
        <v>100</v>
      </c>
      <c r="E3579">
        <v>2013</v>
      </c>
      <c r="F3579" t="s">
        <v>17</v>
      </c>
      <c r="S3579">
        <v>0.86523637925685515</v>
      </c>
    </row>
    <row r="3580" spans="4:19" x14ac:dyDescent="0.25">
      <c r="D3580" t="s">
        <v>100</v>
      </c>
      <c r="E3580">
        <v>2014</v>
      </c>
      <c r="F3580" t="s">
        <v>17</v>
      </c>
      <c r="S3580">
        <v>0.8801571709233792</v>
      </c>
    </row>
    <row r="3581" spans="4:19" x14ac:dyDescent="0.25">
      <c r="D3581" t="s">
        <v>100</v>
      </c>
      <c r="E3581">
        <v>2015</v>
      </c>
      <c r="F3581" t="s">
        <v>17</v>
      </c>
      <c r="S3581">
        <v>0.9013924050632911</v>
      </c>
    </row>
    <row r="3582" spans="4:19" x14ac:dyDescent="0.25">
      <c r="D3582" t="s">
        <v>100</v>
      </c>
      <c r="E3582">
        <v>2013</v>
      </c>
      <c r="F3582" t="s">
        <v>18</v>
      </c>
      <c r="G3582">
        <v>0.77491661107404941</v>
      </c>
      <c r="H3582">
        <v>0.82683982683982682</v>
      </c>
      <c r="I3582">
        <v>0.91332665330661322</v>
      </c>
      <c r="J3582">
        <v>0.88458210763107803</v>
      </c>
      <c r="K3582">
        <v>0.86543778801843319</v>
      </c>
      <c r="L3582">
        <v>0.89271293981926547</v>
      </c>
      <c r="M3582">
        <v>0.93401838831800976</v>
      </c>
      <c r="N3582">
        <v>0.91873963515754564</v>
      </c>
      <c r="O3582">
        <v>0.89509842779759541</v>
      </c>
      <c r="P3582">
        <v>0.87755966671374097</v>
      </c>
      <c r="Q3582">
        <v>0.83028455284552849</v>
      </c>
      <c r="R3582">
        <v>0.87508406186953602</v>
      </c>
    </row>
    <row r="3583" spans="4:19" x14ac:dyDescent="0.25">
      <c r="D3583" t="s">
        <v>100</v>
      </c>
      <c r="E3583">
        <v>2014</v>
      </c>
      <c r="F3583" t="s">
        <v>18</v>
      </c>
      <c r="G3583">
        <v>0.85556453786041498</v>
      </c>
      <c r="H3583">
        <v>0.9128119800332779</v>
      </c>
      <c r="I3583">
        <v>0.89583333333333337</v>
      </c>
      <c r="J3583">
        <v>0.88097787294789431</v>
      </c>
      <c r="K3583">
        <v>0.87109586567972563</v>
      </c>
      <c r="L3583">
        <v>0.88903794557301652</v>
      </c>
      <c r="M3583">
        <v>0.85644661054497118</v>
      </c>
      <c r="N3583">
        <v>0.83897043182301634</v>
      </c>
      <c r="O3583">
        <v>0.85060639470782795</v>
      </c>
      <c r="P3583">
        <v>0.87670441414374856</v>
      </c>
      <c r="Q3583">
        <v>0.81418461075139281</v>
      </c>
      <c r="R3583">
        <v>0.92248860126489185</v>
      </c>
    </row>
    <row r="3584" spans="4:19" x14ac:dyDescent="0.25">
      <c r="D3584" t="s">
        <v>100</v>
      </c>
      <c r="E3584">
        <v>2015</v>
      </c>
      <c r="F3584" t="s">
        <v>18</v>
      </c>
      <c r="G3584">
        <v>0.85106668455655443</v>
      </c>
      <c r="H3584">
        <v>0.88845434449923477</v>
      </c>
      <c r="I3584">
        <v>0.866305904822537</v>
      </c>
      <c r="J3584">
        <v>0.92900856793145659</v>
      </c>
      <c r="K3584">
        <v>0.90122894856622671</v>
      </c>
      <c r="L3584">
        <v>0.96193525435787974</v>
      </c>
      <c r="M3584">
        <v>0.94334619093539052</v>
      </c>
    </row>
    <row r="3585" spans="4:19" x14ac:dyDescent="0.25">
      <c r="D3585" t="s">
        <v>100</v>
      </c>
      <c r="E3585">
        <v>2013</v>
      </c>
      <c r="F3585" t="s">
        <v>19</v>
      </c>
      <c r="S3585">
        <v>0.88316047701360156</v>
      </c>
    </row>
    <row r="3586" spans="4:19" x14ac:dyDescent="0.25">
      <c r="D3586" t="s">
        <v>100</v>
      </c>
      <c r="E3586">
        <v>2014</v>
      </c>
      <c r="F3586" t="s">
        <v>19</v>
      </c>
      <c r="S3586">
        <v>0.99112101806362152</v>
      </c>
    </row>
    <row r="3587" spans="4:19" x14ac:dyDescent="0.25">
      <c r="D3587" t="s">
        <v>100</v>
      </c>
      <c r="E3587">
        <v>2015</v>
      </c>
      <c r="F3587" t="s">
        <v>19</v>
      </c>
      <c r="S3587">
        <v>0.94378344772098355</v>
      </c>
    </row>
    <row r="3588" spans="4:19" x14ac:dyDescent="0.25">
      <c r="D3588" t="s">
        <v>100</v>
      </c>
      <c r="E3588">
        <v>2013</v>
      </c>
      <c r="F3588" t="s">
        <v>20</v>
      </c>
      <c r="G3588">
        <v>0.82423940149625941</v>
      </c>
      <c r="H3588">
        <v>0.88887163400316804</v>
      </c>
      <c r="I3588">
        <v>0.83934939005317488</v>
      </c>
      <c r="J3588">
        <v>0.86787521916040888</v>
      </c>
      <c r="K3588">
        <v>0.79492820042774215</v>
      </c>
      <c r="L3588">
        <v>0.99454985870004042</v>
      </c>
      <c r="M3588">
        <v>0.99573766411548748</v>
      </c>
      <c r="N3588">
        <v>0.99742841790128201</v>
      </c>
      <c r="O3588">
        <v>0.98885918003565065</v>
      </c>
      <c r="P3588">
        <v>0.9809572825527535</v>
      </c>
      <c r="Q3588">
        <v>0.92591733663162235</v>
      </c>
      <c r="R3588">
        <v>0.97788569703953687</v>
      </c>
    </row>
    <row r="3589" spans="4:19" x14ac:dyDescent="0.25">
      <c r="D3589" t="s">
        <v>100</v>
      </c>
      <c r="E3589">
        <v>2014</v>
      </c>
      <c r="F3589" t="s">
        <v>20</v>
      </c>
      <c r="G3589">
        <v>0.99205362224142657</v>
      </c>
      <c r="H3589">
        <v>0.99670660958123269</v>
      </c>
      <c r="I3589">
        <v>0.99252170275075824</v>
      </c>
      <c r="J3589">
        <v>0.99299968950235695</v>
      </c>
      <c r="K3589">
        <v>0.98294121186593653</v>
      </c>
      <c r="L3589">
        <v>0.98798389781773055</v>
      </c>
      <c r="M3589">
        <v>0.99089591886017869</v>
      </c>
      <c r="N3589">
        <v>0.99556166781271493</v>
      </c>
      <c r="O3589">
        <v>0.97660689248025978</v>
      </c>
      <c r="P3589">
        <v>0.89144609840847666</v>
      </c>
      <c r="Q3589">
        <v>0.87972866601842847</v>
      </c>
      <c r="R3589">
        <v>0.9633111571599956</v>
      </c>
    </row>
    <row r="3590" spans="4:19" x14ac:dyDescent="0.25">
      <c r="D3590" t="s">
        <v>100</v>
      </c>
      <c r="E3590">
        <v>2015</v>
      </c>
      <c r="F3590" t="s">
        <v>20</v>
      </c>
      <c r="G3590">
        <v>0.938542665388303</v>
      </c>
      <c r="H3590">
        <v>0.89403352479193532</v>
      </c>
      <c r="I3590">
        <v>0.93187728565623729</v>
      </c>
      <c r="J3590">
        <v>0.915299421313856</v>
      </c>
      <c r="K3590">
        <v>0.99095717454359322</v>
      </c>
      <c r="L3590">
        <v>0.99253714618677302</v>
      </c>
      <c r="M3590">
        <v>0.95769854503094953</v>
      </c>
    </row>
    <row r="3591" spans="4:19" x14ac:dyDescent="0.25">
      <c r="D3591" t="s">
        <v>100</v>
      </c>
      <c r="E3591">
        <v>2013</v>
      </c>
      <c r="F3591" t="s">
        <v>21</v>
      </c>
      <c r="S3591">
        <v>0.96348456487506318</v>
      </c>
    </row>
    <row r="3592" spans="4:19" x14ac:dyDescent="0.25">
      <c r="D3592" t="s">
        <v>100</v>
      </c>
      <c r="E3592">
        <v>2014</v>
      </c>
      <c r="F3592" t="s">
        <v>21</v>
      </c>
      <c r="S3592">
        <v>0.9976031185797819</v>
      </c>
    </row>
    <row r="3593" spans="4:19" x14ac:dyDescent="0.25">
      <c r="D3593" t="s">
        <v>100</v>
      </c>
      <c r="E3593">
        <v>2015</v>
      </c>
      <c r="F3593" t="s">
        <v>21</v>
      </c>
      <c r="S3593">
        <v>0.99648456725022849</v>
      </c>
    </row>
    <row r="3594" spans="4:19" x14ac:dyDescent="0.25">
      <c r="D3594" t="s">
        <v>100</v>
      </c>
      <c r="E3594">
        <v>2013</v>
      </c>
      <c r="F3594" t="s">
        <v>22</v>
      </c>
      <c r="G3594">
        <v>0.94173171174441828</v>
      </c>
      <c r="H3594">
        <v>0.94960520204366006</v>
      </c>
      <c r="I3594">
        <v>0.97008547008547008</v>
      </c>
      <c r="J3594">
        <v>0.95789043336058877</v>
      </c>
      <c r="K3594">
        <v>0.93340987370838113</v>
      </c>
      <c r="L3594">
        <v>0.99468424409951095</v>
      </c>
      <c r="M3594">
        <v>0.99320602276900483</v>
      </c>
      <c r="N3594">
        <v>0.98862536302032911</v>
      </c>
      <c r="O3594">
        <v>0.9674977738201247</v>
      </c>
      <c r="P3594">
        <v>0.97937783991611327</v>
      </c>
      <c r="Q3594">
        <v>0.96875</v>
      </c>
      <c r="R3594">
        <v>0.95729013254786455</v>
      </c>
    </row>
    <row r="3595" spans="4:19" x14ac:dyDescent="0.25">
      <c r="D3595" t="s">
        <v>100</v>
      </c>
      <c r="E3595">
        <v>2014</v>
      </c>
      <c r="F3595" t="s">
        <v>22</v>
      </c>
      <c r="G3595">
        <v>0.99806607574536665</v>
      </c>
      <c r="H3595">
        <v>0.99621530698065597</v>
      </c>
      <c r="I3595">
        <v>0.9987094395280236</v>
      </c>
      <c r="J3595">
        <v>0.99806030682419322</v>
      </c>
      <c r="K3595">
        <v>0.99806368330464712</v>
      </c>
      <c r="L3595">
        <v>0.99832526981764047</v>
      </c>
      <c r="M3595">
        <v>0.99575407608695654</v>
      </c>
      <c r="N3595">
        <v>0.99954306602695908</v>
      </c>
      <c r="O3595">
        <v>0.99554655870445341</v>
      </c>
      <c r="P3595">
        <v>0.99633379888268159</v>
      </c>
      <c r="Q3595">
        <v>0.99674465920651067</v>
      </c>
      <c r="R3595">
        <v>0.99915314043754411</v>
      </c>
    </row>
    <row r="3596" spans="4:19" x14ac:dyDescent="0.25">
      <c r="D3596" t="s">
        <v>100</v>
      </c>
      <c r="E3596">
        <v>2015</v>
      </c>
      <c r="F3596" t="s">
        <v>22</v>
      </c>
      <c r="G3596">
        <v>0.99266431924882625</v>
      </c>
      <c r="H3596">
        <v>0.99630931458699468</v>
      </c>
      <c r="I3596">
        <v>0.99702567313713208</v>
      </c>
      <c r="J3596">
        <v>0.99619771863117867</v>
      </c>
      <c r="K3596">
        <v>0.99806576402321079</v>
      </c>
      <c r="L3596">
        <v>0.99789507772020725</v>
      </c>
      <c r="M3596">
        <v>0.99778270509977829</v>
      </c>
    </row>
    <row r="3597" spans="4:19" x14ac:dyDescent="0.25">
      <c r="D3597" t="s">
        <v>100</v>
      </c>
      <c r="E3597">
        <v>2013</v>
      </c>
      <c r="F3597" t="s">
        <v>23</v>
      </c>
      <c r="S3597">
        <v>110570</v>
      </c>
    </row>
    <row r="3598" spans="4:19" x14ac:dyDescent="0.25">
      <c r="D3598" t="s">
        <v>100</v>
      </c>
      <c r="E3598">
        <v>2014</v>
      </c>
      <c r="F3598" t="s">
        <v>23</v>
      </c>
      <c r="S3598">
        <v>91755</v>
      </c>
    </row>
    <row r="3599" spans="4:19" x14ac:dyDescent="0.25">
      <c r="D3599" t="s">
        <v>100</v>
      </c>
      <c r="E3599">
        <v>2015</v>
      </c>
      <c r="F3599" t="s">
        <v>23</v>
      </c>
      <c r="S3599">
        <v>95533</v>
      </c>
    </row>
    <row r="3600" spans="4:19" x14ac:dyDescent="0.25">
      <c r="D3600" t="s">
        <v>100</v>
      </c>
      <c r="E3600">
        <v>2013</v>
      </c>
      <c r="F3600" t="s">
        <v>24</v>
      </c>
      <c r="G3600">
        <v>18970</v>
      </c>
      <c r="H3600">
        <v>17550</v>
      </c>
      <c r="I3600">
        <v>16234</v>
      </c>
      <c r="J3600">
        <v>15504</v>
      </c>
      <c r="K3600">
        <v>14140</v>
      </c>
      <c r="L3600">
        <v>13741</v>
      </c>
      <c r="M3600">
        <v>14431</v>
      </c>
      <c r="N3600">
        <v>13721</v>
      </c>
      <c r="O3600">
        <v>17425</v>
      </c>
      <c r="P3600">
        <v>16949</v>
      </c>
      <c r="Q3600">
        <v>15402</v>
      </c>
      <c r="R3600">
        <v>14688</v>
      </c>
    </row>
    <row r="3601" spans="4:19" x14ac:dyDescent="0.25">
      <c r="D3601" t="s">
        <v>100</v>
      </c>
      <c r="E3601">
        <v>2014</v>
      </c>
      <c r="F3601" t="s">
        <v>24</v>
      </c>
      <c r="G3601">
        <v>17235</v>
      </c>
      <c r="H3601">
        <v>12801</v>
      </c>
      <c r="I3601">
        <v>11074</v>
      </c>
      <c r="J3601">
        <v>12409</v>
      </c>
      <c r="K3601">
        <v>12498</v>
      </c>
      <c r="L3601">
        <v>12823</v>
      </c>
      <c r="M3601">
        <v>12915</v>
      </c>
      <c r="N3601">
        <v>12666</v>
      </c>
      <c r="O3601">
        <v>16783</v>
      </c>
      <c r="P3601">
        <v>16259</v>
      </c>
      <c r="Q3601">
        <v>12983</v>
      </c>
      <c r="R3601">
        <v>14779</v>
      </c>
    </row>
    <row r="3602" spans="4:19" x14ac:dyDescent="0.25">
      <c r="D3602" t="s">
        <v>100</v>
      </c>
      <c r="E3602">
        <v>2015</v>
      </c>
      <c r="F3602" t="s">
        <v>24</v>
      </c>
      <c r="G3602">
        <v>14276</v>
      </c>
      <c r="H3602">
        <v>16027</v>
      </c>
      <c r="I3602">
        <v>14733</v>
      </c>
      <c r="J3602">
        <v>12286</v>
      </c>
      <c r="K3602">
        <v>12044</v>
      </c>
      <c r="L3602">
        <v>13381</v>
      </c>
      <c r="M3602">
        <v>12786</v>
      </c>
    </row>
    <row r="3603" spans="4:19" x14ac:dyDescent="0.25">
      <c r="D3603" t="s">
        <v>100</v>
      </c>
      <c r="E3603">
        <v>2013</v>
      </c>
      <c r="F3603" t="s">
        <v>25</v>
      </c>
      <c r="S3603">
        <v>199678</v>
      </c>
    </row>
    <row r="3604" spans="4:19" x14ac:dyDescent="0.25">
      <c r="D3604" t="s">
        <v>100</v>
      </c>
      <c r="E3604">
        <v>2014</v>
      </c>
      <c r="F3604" t="s">
        <v>25</v>
      </c>
      <c r="S3604">
        <v>197762</v>
      </c>
    </row>
    <row r="3605" spans="4:19" x14ac:dyDescent="0.25">
      <c r="D3605" t="s">
        <v>100</v>
      </c>
      <c r="E3605">
        <v>2015</v>
      </c>
      <c r="F3605" t="s">
        <v>25</v>
      </c>
      <c r="S3605">
        <v>232416</v>
      </c>
    </row>
    <row r="3606" spans="4:19" x14ac:dyDescent="0.25">
      <c r="D3606" t="s">
        <v>100</v>
      </c>
      <c r="E3606">
        <v>2013</v>
      </c>
      <c r="F3606" t="s">
        <v>26</v>
      </c>
      <c r="G3606">
        <v>33810</v>
      </c>
      <c r="H3606">
        <v>28545</v>
      </c>
      <c r="I3606">
        <v>27389</v>
      </c>
      <c r="J3606">
        <v>27680</v>
      </c>
      <c r="K3606">
        <v>25424</v>
      </c>
      <c r="L3606">
        <v>27096</v>
      </c>
      <c r="M3606">
        <v>29734</v>
      </c>
      <c r="N3606">
        <v>25949</v>
      </c>
      <c r="O3606">
        <v>42114</v>
      </c>
      <c r="P3606">
        <v>38827</v>
      </c>
      <c r="Q3606">
        <v>35291</v>
      </c>
      <c r="R3606">
        <v>37190</v>
      </c>
    </row>
    <row r="3607" spans="4:19" x14ac:dyDescent="0.25">
      <c r="D3607" t="s">
        <v>100</v>
      </c>
      <c r="E3607">
        <v>2014</v>
      </c>
      <c r="F3607" t="s">
        <v>26</v>
      </c>
      <c r="G3607">
        <v>35204</v>
      </c>
      <c r="H3607">
        <v>28311</v>
      </c>
      <c r="I3607">
        <v>28350</v>
      </c>
      <c r="J3607">
        <v>26287</v>
      </c>
      <c r="K3607">
        <v>24874</v>
      </c>
      <c r="L3607">
        <v>25755</v>
      </c>
      <c r="M3607">
        <v>28981</v>
      </c>
      <c r="N3607">
        <v>26344</v>
      </c>
      <c r="O3607">
        <v>39020</v>
      </c>
      <c r="P3607">
        <v>38850</v>
      </c>
      <c r="Q3607">
        <v>33530</v>
      </c>
      <c r="R3607">
        <v>41437</v>
      </c>
    </row>
    <row r="3608" spans="4:19" x14ac:dyDescent="0.25">
      <c r="D3608" t="s">
        <v>100</v>
      </c>
      <c r="E3608">
        <v>2015</v>
      </c>
      <c r="F3608" t="s">
        <v>26</v>
      </c>
      <c r="G3608">
        <v>38083</v>
      </c>
      <c r="H3608">
        <v>32769</v>
      </c>
      <c r="I3608">
        <v>33587</v>
      </c>
      <c r="J3608">
        <v>31571</v>
      </c>
      <c r="K3608">
        <v>28453</v>
      </c>
      <c r="L3608">
        <v>33406</v>
      </c>
      <c r="M3608">
        <v>34547</v>
      </c>
    </row>
    <row r="3609" spans="4:19" x14ac:dyDescent="0.25">
      <c r="D3609" t="s">
        <v>100</v>
      </c>
      <c r="E3609">
        <v>2013</v>
      </c>
      <c r="F3609" t="s">
        <v>27</v>
      </c>
      <c r="S3609">
        <v>349814</v>
      </c>
    </row>
    <row r="3610" spans="4:19" x14ac:dyDescent="0.25">
      <c r="D3610" t="s">
        <v>100</v>
      </c>
      <c r="E3610">
        <v>2014</v>
      </c>
      <c r="F3610" t="s">
        <v>27</v>
      </c>
      <c r="S3610">
        <v>342176</v>
      </c>
    </row>
    <row r="3611" spans="4:19" x14ac:dyDescent="0.25">
      <c r="D3611" t="s">
        <v>100</v>
      </c>
      <c r="E3611">
        <v>2015</v>
      </c>
      <c r="F3611" t="s">
        <v>27</v>
      </c>
      <c r="S3611">
        <v>407965</v>
      </c>
    </row>
    <row r="3612" spans="4:19" x14ac:dyDescent="0.25">
      <c r="D3612" t="s">
        <v>100</v>
      </c>
      <c r="E3612">
        <v>2013</v>
      </c>
      <c r="F3612" t="s">
        <v>28</v>
      </c>
      <c r="G3612">
        <v>58143</v>
      </c>
      <c r="H3612">
        <v>51105</v>
      </c>
      <c r="I3612">
        <v>48018</v>
      </c>
      <c r="J3612">
        <v>49928</v>
      </c>
      <c r="K3612">
        <v>44805</v>
      </c>
      <c r="L3612">
        <v>46679</v>
      </c>
      <c r="M3612">
        <v>51136</v>
      </c>
      <c r="N3612">
        <v>44548</v>
      </c>
      <c r="O3612">
        <v>69424</v>
      </c>
      <c r="P3612">
        <v>66382</v>
      </c>
      <c r="Q3612">
        <v>58194</v>
      </c>
      <c r="R3612">
        <v>60931</v>
      </c>
    </row>
    <row r="3613" spans="4:19" x14ac:dyDescent="0.25">
      <c r="D3613" t="s">
        <v>100</v>
      </c>
      <c r="E3613">
        <v>2014</v>
      </c>
      <c r="F3613" t="s">
        <v>28</v>
      </c>
      <c r="G3613">
        <v>59657</v>
      </c>
      <c r="H3613">
        <v>50292</v>
      </c>
      <c r="I3613">
        <v>49968</v>
      </c>
      <c r="J3613">
        <v>45516</v>
      </c>
      <c r="K3613">
        <v>42340</v>
      </c>
      <c r="L3613">
        <v>44471</v>
      </c>
      <c r="M3613">
        <v>49932</v>
      </c>
      <c r="N3613">
        <v>44820</v>
      </c>
      <c r="O3613">
        <v>65509</v>
      </c>
      <c r="P3613">
        <v>65734</v>
      </c>
      <c r="Q3613">
        <v>56892</v>
      </c>
      <c r="R3613">
        <v>70556</v>
      </c>
    </row>
    <row r="3614" spans="4:19" x14ac:dyDescent="0.25">
      <c r="D3614" t="s">
        <v>100</v>
      </c>
      <c r="E3614">
        <v>2015</v>
      </c>
      <c r="F3614" t="s">
        <v>28</v>
      </c>
      <c r="G3614">
        <v>66656</v>
      </c>
      <c r="H3614">
        <v>58581</v>
      </c>
      <c r="I3614">
        <v>62224</v>
      </c>
      <c r="J3614">
        <v>54440</v>
      </c>
      <c r="K3614">
        <v>49464</v>
      </c>
      <c r="L3614">
        <v>58505</v>
      </c>
      <c r="M3614">
        <v>58095</v>
      </c>
    </row>
    <row r="3615" spans="4:19" x14ac:dyDescent="0.25">
      <c r="D3615" t="s">
        <v>100</v>
      </c>
      <c r="E3615">
        <v>2013</v>
      </c>
      <c r="F3615" t="s">
        <v>29</v>
      </c>
      <c r="S3615">
        <v>41903</v>
      </c>
    </row>
    <row r="3616" spans="4:19" x14ac:dyDescent="0.25">
      <c r="D3616" t="s">
        <v>100</v>
      </c>
      <c r="E3616">
        <v>2014</v>
      </c>
      <c r="F3616" t="s">
        <v>29</v>
      </c>
      <c r="S3616">
        <v>40211</v>
      </c>
    </row>
    <row r="3617" spans="4:19" x14ac:dyDescent="0.25">
      <c r="D3617" t="s">
        <v>100</v>
      </c>
      <c r="E3617">
        <v>2015</v>
      </c>
      <c r="F3617" t="s">
        <v>29</v>
      </c>
      <c r="S3617">
        <v>39500</v>
      </c>
    </row>
    <row r="3618" spans="4:19" x14ac:dyDescent="0.25">
      <c r="D3618" t="s">
        <v>100</v>
      </c>
      <c r="E3618">
        <v>2013</v>
      </c>
      <c r="F3618" t="s">
        <v>30</v>
      </c>
      <c r="G3618">
        <v>7495</v>
      </c>
      <c r="H3618">
        <v>6468</v>
      </c>
      <c r="I3618">
        <v>5988</v>
      </c>
      <c r="J3618">
        <v>5779</v>
      </c>
      <c r="K3618">
        <v>5425</v>
      </c>
      <c r="L3618">
        <v>5201</v>
      </c>
      <c r="M3618">
        <v>5547</v>
      </c>
      <c r="N3618">
        <v>5427</v>
      </c>
      <c r="O3618">
        <v>7569</v>
      </c>
      <c r="P3618">
        <v>7081</v>
      </c>
      <c r="Q3618">
        <v>5904</v>
      </c>
      <c r="R3618">
        <v>5948</v>
      </c>
    </row>
    <row r="3619" spans="4:19" x14ac:dyDescent="0.25">
      <c r="D3619" t="s">
        <v>100</v>
      </c>
      <c r="E3619">
        <v>2014</v>
      </c>
      <c r="F3619" t="s">
        <v>30</v>
      </c>
      <c r="G3619">
        <v>7422</v>
      </c>
      <c r="H3619">
        <v>6010</v>
      </c>
      <c r="I3619">
        <v>5904</v>
      </c>
      <c r="J3619">
        <v>5604</v>
      </c>
      <c r="K3619">
        <v>5539</v>
      </c>
      <c r="L3619">
        <v>5218</v>
      </c>
      <c r="M3619">
        <v>4514</v>
      </c>
      <c r="N3619">
        <v>4701</v>
      </c>
      <c r="O3619">
        <v>7256</v>
      </c>
      <c r="P3619">
        <v>8654</v>
      </c>
      <c r="Q3619">
        <v>6641</v>
      </c>
      <c r="R3619">
        <v>6799</v>
      </c>
    </row>
    <row r="3620" spans="4:19" x14ac:dyDescent="0.25">
      <c r="D3620" t="s">
        <v>100</v>
      </c>
      <c r="E3620">
        <v>2015</v>
      </c>
      <c r="F3620" t="s">
        <v>30</v>
      </c>
      <c r="G3620">
        <v>7453</v>
      </c>
      <c r="H3620">
        <v>5881</v>
      </c>
      <c r="I3620">
        <v>6283</v>
      </c>
      <c r="J3620">
        <v>5719</v>
      </c>
      <c r="K3620">
        <v>4394</v>
      </c>
      <c r="L3620">
        <v>5622</v>
      </c>
      <c r="M3620">
        <v>4148</v>
      </c>
    </row>
    <row r="3621" spans="4:19" x14ac:dyDescent="0.25">
      <c r="D3621" t="s">
        <v>100</v>
      </c>
      <c r="E3621">
        <v>2013</v>
      </c>
      <c r="F3621" t="s">
        <v>31</v>
      </c>
      <c r="S3621">
        <v>0.92985439088360311</v>
      </c>
    </row>
    <row r="3622" spans="4:19" x14ac:dyDescent="0.25">
      <c r="D3622" t="s">
        <v>100</v>
      </c>
      <c r="E3622">
        <v>2014</v>
      </c>
      <c r="F3622" t="s">
        <v>31</v>
      </c>
      <c r="S3622">
        <v>0.94640074110402705</v>
      </c>
    </row>
    <row r="3623" spans="4:19" x14ac:dyDescent="0.25">
      <c r="D3623" t="s">
        <v>100</v>
      </c>
      <c r="E3623">
        <v>2015</v>
      </c>
      <c r="F3623" t="s">
        <v>31</v>
      </c>
      <c r="S3623">
        <v>0.94685606020956115</v>
      </c>
    </row>
    <row r="3624" spans="4:19" x14ac:dyDescent="0.25">
      <c r="D3624" t="s">
        <v>100</v>
      </c>
      <c r="E3624">
        <v>2013</v>
      </c>
      <c r="F3624" t="s">
        <v>32</v>
      </c>
      <c r="G3624">
        <v>0.92930943595150239</v>
      </c>
      <c r="H3624">
        <v>0.92381766381766384</v>
      </c>
      <c r="I3624">
        <v>0.9036589873105827</v>
      </c>
      <c r="J3624">
        <v>0.94362745098039214</v>
      </c>
      <c r="K3624">
        <v>0.92708628005657712</v>
      </c>
      <c r="L3624">
        <v>0.93202823666399826</v>
      </c>
      <c r="M3624">
        <v>0.95322569468505303</v>
      </c>
      <c r="N3624">
        <v>0.97011879600612205</v>
      </c>
      <c r="O3624">
        <v>0.96206599713055951</v>
      </c>
      <c r="P3624">
        <v>0.96926072334651014</v>
      </c>
      <c r="Q3624">
        <v>0.96084924035839503</v>
      </c>
      <c r="R3624">
        <v>0.9566993464052288</v>
      </c>
    </row>
    <row r="3625" spans="4:19" x14ac:dyDescent="0.25">
      <c r="D3625" t="s">
        <v>100</v>
      </c>
      <c r="E3625">
        <v>2014</v>
      </c>
      <c r="F3625" t="s">
        <v>32</v>
      </c>
      <c r="G3625">
        <v>0.95868871482448503</v>
      </c>
      <c r="H3625">
        <v>0.95922193578626669</v>
      </c>
      <c r="I3625">
        <v>0.94861838540726029</v>
      </c>
      <c r="J3625">
        <v>0.94326698364090578</v>
      </c>
      <c r="K3625">
        <v>0.95031204992798846</v>
      </c>
      <c r="L3625">
        <v>0.92404273570927242</v>
      </c>
      <c r="M3625">
        <v>0.93681765389082461</v>
      </c>
      <c r="N3625">
        <v>0.94583925469761565</v>
      </c>
      <c r="O3625">
        <v>0.89709825418578326</v>
      </c>
      <c r="P3625">
        <v>0.9115566763023556</v>
      </c>
      <c r="Q3625">
        <v>0.93191096048679045</v>
      </c>
      <c r="R3625">
        <v>0.9271939914743893</v>
      </c>
    </row>
    <row r="3626" spans="4:19" x14ac:dyDescent="0.25">
      <c r="D3626" t="s">
        <v>100</v>
      </c>
      <c r="E3626">
        <v>2015</v>
      </c>
      <c r="F3626" t="s">
        <v>32</v>
      </c>
      <c r="G3626">
        <v>0.94991594284113201</v>
      </c>
      <c r="H3626">
        <v>0.93629500218381478</v>
      </c>
      <c r="I3626">
        <v>0.94379963347587048</v>
      </c>
      <c r="J3626">
        <v>0.94489663031092297</v>
      </c>
      <c r="K3626">
        <v>0.95815343739621384</v>
      </c>
      <c r="L3626">
        <v>0.94424930872132129</v>
      </c>
      <c r="M3626">
        <v>0.95416862193023622</v>
      </c>
    </row>
    <row r="3627" spans="4:19" x14ac:dyDescent="0.25">
      <c r="D3627" t="s">
        <v>100</v>
      </c>
      <c r="E3627">
        <v>2013</v>
      </c>
      <c r="F3627" t="s">
        <v>33</v>
      </c>
      <c r="S3627">
        <v>0.94293324809546641</v>
      </c>
    </row>
    <row r="3628" spans="4:19" x14ac:dyDescent="0.25">
      <c r="D3628" t="s">
        <v>100</v>
      </c>
      <c r="E3628">
        <v>2014</v>
      </c>
      <c r="F3628" t="s">
        <v>33</v>
      </c>
      <c r="S3628">
        <v>0.93897368353090049</v>
      </c>
    </row>
    <row r="3629" spans="4:19" x14ac:dyDescent="0.25">
      <c r="D3629" t="s">
        <v>100</v>
      </c>
      <c r="E3629">
        <v>2015</v>
      </c>
      <c r="F3629" t="s">
        <v>33</v>
      </c>
      <c r="S3629">
        <v>0.95545967012318189</v>
      </c>
    </row>
    <row r="3630" spans="4:19" x14ac:dyDescent="0.25">
      <c r="D3630" t="s">
        <v>100</v>
      </c>
      <c r="E3630">
        <v>2013</v>
      </c>
      <c r="F3630" t="s">
        <v>34</v>
      </c>
      <c r="G3630">
        <v>0.94526043351666122</v>
      </c>
      <c r="H3630">
        <v>0.94069387471320309</v>
      </c>
      <c r="I3630">
        <v>0.91263824163594631</v>
      </c>
      <c r="J3630">
        <v>0.95964191370707363</v>
      </c>
      <c r="K3630">
        <v>0.94406951240087733</v>
      </c>
      <c r="L3630">
        <v>0.95072488058325655</v>
      </c>
      <c r="M3630">
        <v>0.95092024539877296</v>
      </c>
      <c r="N3630">
        <v>0.96504092769440653</v>
      </c>
      <c r="O3630">
        <v>0.95478796169630642</v>
      </c>
      <c r="P3630">
        <v>0.96434681448025728</v>
      </c>
      <c r="Q3630">
        <v>0.95521722985518009</v>
      </c>
      <c r="R3630">
        <v>0.94942345924453275</v>
      </c>
    </row>
    <row r="3631" spans="4:19" x14ac:dyDescent="0.25">
      <c r="D3631" t="s">
        <v>100</v>
      </c>
      <c r="E3631">
        <v>2014</v>
      </c>
      <c r="F3631" t="s">
        <v>34</v>
      </c>
      <c r="G3631">
        <v>0.95227882037533507</v>
      </c>
      <c r="H3631">
        <v>0.95259286168377078</v>
      </c>
      <c r="I3631">
        <v>0.93773254541475159</v>
      </c>
      <c r="J3631">
        <v>0.93471810089020768</v>
      </c>
      <c r="K3631">
        <v>0.94266457390822633</v>
      </c>
      <c r="L3631">
        <v>0.90924338427133811</v>
      </c>
      <c r="M3631">
        <v>0.93776181926989821</v>
      </c>
      <c r="N3631">
        <v>0.9756258234519104</v>
      </c>
      <c r="O3631">
        <v>0.88233719892952722</v>
      </c>
      <c r="P3631">
        <v>0.91049494219653182</v>
      </c>
      <c r="Q3631">
        <v>0.93676439118339394</v>
      </c>
      <c r="R3631">
        <v>0.92714433344815705</v>
      </c>
    </row>
    <row r="3632" spans="4:19" x14ac:dyDescent="0.25">
      <c r="D3632" t="s">
        <v>100</v>
      </c>
      <c r="E3632">
        <v>2015</v>
      </c>
      <c r="F3632" t="s">
        <v>34</v>
      </c>
      <c r="G3632">
        <v>0.95527589545014524</v>
      </c>
      <c r="H3632">
        <v>0.9371239208162554</v>
      </c>
      <c r="I3632">
        <v>0.95327967434545291</v>
      </c>
      <c r="J3632">
        <v>0.95608295441942992</v>
      </c>
      <c r="K3632">
        <v>0.96805214232289771</v>
      </c>
      <c r="L3632">
        <v>0.95508707607699361</v>
      </c>
      <c r="M3632">
        <v>0.96714558424595598</v>
      </c>
    </row>
    <row r="3633" spans="4:19" x14ac:dyDescent="0.25">
      <c r="D3633" t="s">
        <v>101</v>
      </c>
      <c r="E3633">
        <v>2013</v>
      </c>
      <c r="F3633" t="s">
        <v>17</v>
      </c>
      <c r="S3633">
        <v>0.91955619951174006</v>
      </c>
    </row>
    <row r="3634" spans="4:19" x14ac:dyDescent="0.25">
      <c r="D3634" t="s">
        <v>101</v>
      </c>
      <c r="E3634">
        <v>2014</v>
      </c>
      <c r="F3634" t="s">
        <v>17</v>
      </c>
      <c r="S3634">
        <v>0.92868252421144315</v>
      </c>
    </row>
    <row r="3635" spans="4:19" x14ac:dyDescent="0.25">
      <c r="D3635" t="s">
        <v>101</v>
      </c>
      <c r="E3635">
        <v>2015</v>
      </c>
      <c r="F3635" t="s">
        <v>17</v>
      </c>
      <c r="S3635">
        <v>0.99656080931598323</v>
      </c>
    </row>
    <row r="3636" spans="4:19" x14ac:dyDescent="0.25">
      <c r="D3636" t="s">
        <v>101</v>
      </c>
      <c r="E3636">
        <v>2013</v>
      </c>
      <c r="F3636" t="s">
        <v>18</v>
      </c>
      <c r="G3636">
        <v>0.96388587937883707</v>
      </c>
      <c r="H3636">
        <v>0.89140686402934244</v>
      </c>
      <c r="I3636">
        <v>0.91974000282605628</v>
      </c>
      <c r="J3636">
        <v>0.91095117132373693</v>
      </c>
      <c r="K3636">
        <v>0.91618811112835641</v>
      </c>
      <c r="L3636">
        <v>0.92948522692659152</v>
      </c>
      <c r="M3636">
        <v>0.90068775790921596</v>
      </c>
      <c r="N3636">
        <v>0.91007194244604317</v>
      </c>
      <c r="O3636">
        <v>0.91899472680354544</v>
      </c>
      <c r="P3636">
        <v>0.94058182635066834</v>
      </c>
      <c r="Q3636">
        <v>0.90824927456128235</v>
      </c>
      <c r="R3636">
        <v>0.92313228731826691</v>
      </c>
    </row>
    <row r="3637" spans="4:19" x14ac:dyDescent="0.25">
      <c r="D3637" t="s">
        <v>101</v>
      </c>
      <c r="E3637">
        <v>2014</v>
      </c>
      <c r="F3637" t="s">
        <v>18</v>
      </c>
      <c r="G3637">
        <v>0.90964689591507042</v>
      </c>
      <c r="H3637">
        <v>0.89671656812177636</v>
      </c>
      <c r="I3637">
        <v>0.92077087794432544</v>
      </c>
      <c r="J3637">
        <v>0.9216501439078989</v>
      </c>
      <c r="K3637">
        <v>0.90641468290023619</v>
      </c>
      <c r="L3637">
        <v>0.95820357318472382</v>
      </c>
      <c r="M3637">
        <v>0.99703396114489096</v>
      </c>
      <c r="N3637">
        <v>0.99861920834611839</v>
      </c>
      <c r="O3637">
        <v>0.99821388702835456</v>
      </c>
      <c r="P3637">
        <v>0.99745735777095035</v>
      </c>
      <c r="Q3637">
        <v>0.99800299550673988</v>
      </c>
      <c r="R3637">
        <v>0.99765135699373697</v>
      </c>
    </row>
    <row r="3638" spans="4:19" x14ac:dyDescent="0.25">
      <c r="D3638" t="s">
        <v>101</v>
      </c>
      <c r="E3638">
        <v>2015</v>
      </c>
      <c r="F3638" t="s">
        <v>18</v>
      </c>
      <c r="G3638">
        <v>0.99512130801687759</v>
      </c>
      <c r="H3638">
        <v>0.99725350178522387</v>
      </c>
      <c r="I3638">
        <v>0.9977970872598213</v>
      </c>
      <c r="J3638">
        <v>0.99563913872989918</v>
      </c>
      <c r="K3638">
        <v>0.99555707450444297</v>
      </c>
      <c r="L3638">
        <v>0.9975669099756691</v>
      </c>
      <c r="M3638">
        <v>0.99677270631627479</v>
      </c>
    </row>
    <row r="3639" spans="4:19" x14ac:dyDescent="0.25">
      <c r="D3639" t="s">
        <v>101</v>
      </c>
      <c r="E3639">
        <v>2013</v>
      </c>
      <c r="F3639" t="s">
        <v>19</v>
      </c>
      <c r="S3639">
        <v>0.86479436125991882</v>
      </c>
    </row>
    <row r="3640" spans="4:19" x14ac:dyDescent="0.25">
      <c r="D3640" t="s">
        <v>101</v>
      </c>
      <c r="E3640">
        <v>2014</v>
      </c>
      <c r="F3640" t="s">
        <v>19</v>
      </c>
      <c r="S3640">
        <v>0.97920685599058976</v>
      </c>
    </row>
    <row r="3641" spans="4:19" x14ac:dyDescent="0.25">
      <c r="D3641" t="s">
        <v>101</v>
      </c>
      <c r="E3641">
        <v>2015</v>
      </c>
      <c r="F3641" t="s">
        <v>19</v>
      </c>
      <c r="S3641">
        <v>0.88961523023109124</v>
      </c>
    </row>
    <row r="3642" spans="4:19" x14ac:dyDescent="0.25">
      <c r="D3642" t="s">
        <v>101</v>
      </c>
      <c r="E3642">
        <v>2013</v>
      </c>
      <c r="F3642" t="s">
        <v>20</v>
      </c>
      <c r="G3642">
        <v>0.81185371501577031</v>
      </c>
      <c r="H3642">
        <v>0.83941707469890703</v>
      </c>
      <c r="I3642">
        <v>0.79565403284625635</v>
      </c>
      <c r="J3642">
        <v>0.83502874834144181</v>
      </c>
      <c r="K3642">
        <v>0.81390087888085705</v>
      </c>
      <c r="L3642">
        <v>0.97872972170486139</v>
      </c>
      <c r="M3642">
        <v>0.98818754817938603</v>
      </c>
      <c r="N3642">
        <v>0.98492026808412292</v>
      </c>
      <c r="O3642">
        <v>0.98957499777718505</v>
      </c>
      <c r="P3642">
        <v>0.97428909049325307</v>
      </c>
      <c r="Q3642">
        <v>0.83072581443707294</v>
      </c>
      <c r="R3642">
        <v>0.86059695706948347</v>
      </c>
    </row>
    <row r="3643" spans="4:19" x14ac:dyDescent="0.25">
      <c r="D3643" t="s">
        <v>101</v>
      </c>
      <c r="E3643">
        <v>2014</v>
      </c>
      <c r="F3643" t="s">
        <v>20</v>
      </c>
      <c r="G3643">
        <v>0.99476762655803264</v>
      </c>
      <c r="H3643">
        <v>0.99559174234577119</v>
      </c>
      <c r="I3643">
        <v>0.98440207972270366</v>
      </c>
      <c r="J3643">
        <v>0.96241377437401554</v>
      </c>
      <c r="K3643">
        <v>0.9138281576382119</v>
      </c>
      <c r="L3643">
        <v>0.99160048134777379</v>
      </c>
      <c r="M3643">
        <v>0.99520216240567627</v>
      </c>
      <c r="N3643">
        <v>0.99270468211222251</v>
      </c>
      <c r="O3643">
        <v>0.94191500828359842</v>
      </c>
      <c r="P3643">
        <v>0.8441574750413362</v>
      </c>
      <c r="Q3643">
        <v>0.78544465545942654</v>
      </c>
      <c r="R3643">
        <v>0.88339735381988904</v>
      </c>
    </row>
    <row r="3644" spans="4:19" x14ac:dyDescent="0.25">
      <c r="D3644" t="s">
        <v>101</v>
      </c>
      <c r="E3644">
        <v>2015</v>
      </c>
      <c r="F3644" t="s">
        <v>20</v>
      </c>
      <c r="G3644">
        <v>0.85265531318859644</v>
      </c>
      <c r="H3644">
        <v>0.92999363378921251</v>
      </c>
      <c r="I3644">
        <v>0.81049544619070235</v>
      </c>
      <c r="J3644">
        <v>0.87699136276391554</v>
      </c>
      <c r="K3644">
        <v>0.83293934092950683</v>
      </c>
      <c r="L3644">
        <v>0.91236219926506279</v>
      </c>
      <c r="M3644">
        <v>0.99525545439557417</v>
      </c>
    </row>
    <row r="3645" spans="4:19" x14ac:dyDescent="0.25">
      <c r="D3645" t="s">
        <v>101</v>
      </c>
      <c r="E3645">
        <v>2013</v>
      </c>
      <c r="F3645" t="s">
        <v>21</v>
      </c>
      <c r="S3645">
        <v>0.95741742432961219</v>
      </c>
    </row>
    <row r="3646" spans="4:19" x14ac:dyDescent="0.25">
      <c r="D3646" t="s">
        <v>101</v>
      </c>
      <c r="E3646">
        <v>2014</v>
      </c>
      <c r="F3646" t="s">
        <v>21</v>
      </c>
      <c r="S3646">
        <v>0.99176683331560467</v>
      </c>
    </row>
    <row r="3647" spans="4:19" x14ac:dyDescent="0.25">
      <c r="D3647" t="s">
        <v>101</v>
      </c>
      <c r="E3647">
        <v>2015</v>
      </c>
      <c r="F3647" t="s">
        <v>21</v>
      </c>
      <c r="S3647">
        <v>0.94288259938200225</v>
      </c>
    </row>
    <row r="3648" spans="4:19" x14ac:dyDescent="0.25">
      <c r="D3648" t="s">
        <v>101</v>
      </c>
      <c r="E3648">
        <v>2013</v>
      </c>
      <c r="F3648" t="s">
        <v>22</v>
      </c>
      <c r="G3648">
        <v>0.9681919642857143</v>
      </c>
      <c r="H3648">
        <v>0.96686369335482714</v>
      </c>
      <c r="I3648">
        <v>0.94838709677419353</v>
      </c>
      <c r="J3648">
        <v>0.9457803645274927</v>
      </c>
      <c r="K3648">
        <v>0.89834254143646408</v>
      </c>
      <c r="L3648">
        <v>0.98393507784034451</v>
      </c>
      <c r="M3648">
        <v>0.98090201263405319</v>
      </c>
      <c r="N3648">
        <v>0.97132397803538739</v>
      </c>
      <c r="O3648">
        <v>0.97769174041297935</v>
      </c>
      <c r="P3648">
        <v>0.95130481571159542</v>
      </c>
      <c r="Q3648">
        <v>0.88773069036226926</v>
      </c>
      <c r="R3648">
        <v>0.88697212255037261</v>
      </c>
    </row>
    <row r="3649" spans="4:19" x14ac:dyDescent="0.25">
      <c r="D3649" t="s">
        <v>101</v>
      </c>
      <c r="E3649">
        <v>2014</v>
      </c>
      <c r="F3649" t="s">
        <v>22</v>
      </c>
      <c r="G3649">
        <v>0.99413880378313579</v>
      </c>
      <c r="H3649">
        <v>0.99018977163074939</v>
      </c>
      <c r="I3649">
        <v>0.98924577000286784</v>
      </c>
      <c r="J3649">
        <v>0.98729297544260419</v>
      </c>
      <c r="K3649">
        <v>0.9901889534883721</v>
      </c>
      <c r="L3649">
        <v>0.99669669669669669</v>
      </c>
      <c r="M3649">
        <v>0.99411599887923785</v>
      </c>
      <c r="N3649">
        <v>0.98698752228163988</v>
      </c>
      <c r="O3649">
        <v>0.98202386486905313</v>
      </c>
      <c r="P3649">
        <v>0.98814008650760432</v>
      </c>
      <c r="Q3649">
        <v>0.97427217332430605</v>
      </c>
      <c r="R3649">
        <v>0.98161508028857347</v>
      </c>
    </row>
    <row r="3650" spans="4:19" x14ac:dyDescent="0.25">
      <c r="D3650" t="s">
        <v>101</v>
      </c>
      <c r="E3650">
        <v>2015</v>
      </c>
      <c r="F3650" t="s">
        <v>22</v>
      </c>
      <c r="G3650">
        <v>0.98289230769230773</v>
      </c>
      <c r="H3650">
        <v>0.97524135783245092</v>
      </c>
      <c r="I3650">
        <v>0.8569428535064274</v>
      </c>
      <c r="J3650">
        <v>0.85770491803278692</v>
      </c>
      <c r="K3650">
        <v>0.95356986421375378</v>
      </c>
      <c r="L3650">
        <v>0.98050243719535057</v>
      </c>
      <c r="M3650">
        <v>0.99593495934959353</v>
      </c>
    </row>
    <row r="3651" spans="4:19" x14ac:dyDescent="0.25">
      <c r="D3651" t="s">
        <v>101</v>
      </c>
      <c r="E3651">
        <v>2013</v>
      </c>
      <c r="F3651" t="s">
        <v>23</v>
      </c>
      <c r="S3651">
        <v>84238</v>
      </c>
    </row>
    <row r="3652" spans="4:19" x14ac:dyDescent="0.25">
      <c r="D3652" t="s">
        <v>101</v>
      </c>
      <c r="E3652">
        <v>2014</v>
      </c>
      <c r="F3652" t="s">
        <v>23</v>
      </c>
      <c r="S3652">
        <v>81347</v>
      </c>
    </row>
    <row r="3653" spans="4:19" x14ac:dyDescent="0.25">
      <c r="D3653" t="s">
        <v>101</v>
      </c>
      <c r="E3653">
        <v>2015</v>
      </c>
      <c r="F3653" t="s">
        <v>23</v>
      </c>
      <c r="S3653">
        <v>84456</v>
      </c>
    </row>
    <row r="3654" spans="4:19" x14ac:dyDescent="0.25">
      <c r="D3654" t="s">
        <v>101</v>
      </c>
      <c r="E3654">
        <v>2013</v>
      </c>
      <c r="F3654" t="s">
        <v>24</v>
      </c>
      <c r="G3654">
        <v>15418</v>
      </c>
      <c r="H3654">
        <v>15557</v>
      </c>
      <c r="I3654">
        <v>12653</v>
      </c>
      <c r="J3654">
        <v>10632</v>
      </c>
      <c r="K3654">
        <v>10217</v>
      </c>
      <c r="L3654">
        <v>9506</v>
      </c>
      <c r="M3654">
        <v>10255</v>
      </c>
      <c r="N3654">
        <v>10642</v>
      </c>
      <c r="O3654">
        <v>12418</v>
      </c>
      <c r="P3654">
        <v>12072</v>
      </c>
      <c r="Q3654">
        <v>10762</v>
      </c>
      <c r="R3654">
        <v>10481</v>
      </c>
    </row>
    <row r="3655" spans="4:19" x14ac:dyDescent="0.25">
      <c r="D3655" t="s">
        <v>101</v>
      </c>
      <c r="E3655">
        <v>2014</v>
      </c>
      <c r="F3655" t="s">
        <v>24</v>
      </c>
      <c r="G3655">
        <v>13341</v>
      </c>
      <c r="H3655">
        <v>12194</v>
      </c>
      <c r="I3655">
        <v>11868</v>
      </c>
      <c r="J3655">
        <v>10427</v>
      </c>
      <c r="K3655">
        <v>10656</v>
      </c>
      <c r="L3655">
        <v>10340</v>
      </c>
      <c r="M3655">
        <v>12521</v>
      </c>
      <c r="N3655">
        <v>13191</v>
      </c>
      <c r="O3655">
        <v>18461</v>
      </c>
      <c r="P3655">
        <v>14502</v>
      </c>
      <c r="Q3655">
        <v>11942</v>
      </c>
      <c r="R3655">
        <v>13159</v>
      </c>
    </row>
    <row r="3656" spans="4:19" x14ac:dyDescent="0.25">
      <c r="D3656" t="s">
        <v>101</v>
      </c>
      <c r="E3656">
        <v>2015</v>
      </c>
      <c r="F3656" t="s">
        <v>24</v>
      </c>
      <c r="G3656">
        <v>13858</v>
      </c>
      <c r="H3656">
        <v>13102</v>
      </c>
      <c r="I3656">
        <v>12763</v>
      </c>
      <c r="J3656">
        <v>11005</v>
      </c>
      <c r="K3656">
        <v>10371</v>
      </c>
      <c r="L3656">
        <v>11822</v>
      </c>
      <c r="M3656">
        <v>11535</v>
      </c>
    </row>
    <row r="3657" spans="4:19" x14ac:dyDescent="0.25">
      <c r="D3657" t="s">
        <v>101</v>
      </c>
      <c r="E3657">
        <v>2013</v>
      </c>
      <c r="F3657" t="s">
        <v>25</v>
      </c>
      <c r="S3657">
        <v>225417</v>
      </c>
    </row>
    <row r="3658" spans="4:19" x14ac:dyDescent="0.25">
      <c r="D3658" t="s">
        <v>101</v>
      </c>
      <c r="E3658">
        <v>2014</v>
      </c>
      <c r="F3658" t="s">
        <v>25</v>
      </c>
      <c r="S3658">
        <v>236540</v>
      </c>
    </row>
    <row r="3659" spans="4:19" x14ac:dyDescent="0.25">
      <c r="D3659" t="s">
        <v>101</v>
      </c>
      <c r="E3659">
        <v>2015</v>
      </c>
      <c r="F3659" t="s">
        <v>25</v>
      </c>
      <c r="S3659">
        <v>265292</v>
      </c>
    </row>
    <row r="3660" spans="4:19" x14ac:dyDescent="0.25">
      <c r="D3660" t="s">
        <v>101</v>
      </c>
      <c r="E3660">
        <v>2013</v>
      </c>
      <c r="F3660" t="s">
        <v>26</v>
      </c>
      <c r="G3660">
        <v>40932</v>
      </c>
      <c r="H3660">
        <v>34220</v>
      </c>
      <c r="I3660">
        <v>29685</v>
      </c>
      <c r="J3660">
        <v>29680</v>
      </c>
      <c r="K3660">
        <v>27502</v>
      </c>
      <c r="L3660">
        <v>29883</v>
      </c>
      <c r="M3660">
        <v>33515</v>
      </c>
      <c r="N3660">
        <v>29879</v>
      </c>
      <c r="O3660">
        <v>45402</v>
      </c>
      <c r="P3660">
        <v>41832</v>
      </c>
      <c r="Q3660">
        <v>37633</v>
      </c>
      <c r="R3660">
        <v>42466</v>
      </c>
    </row>
    <row r="3661" spans="4:19" x14ac:dyDescent="0.25">
      <c r="D3661" t="s">
        <v>101</v>
      </c>
      <c r="E3661">
        <v>2014</v>
      </c>
      <c r="F3661" t="s">
        <v>26</v>
      </c>
      <c r="G3661">
        <v>43060</v>
      </c>
      <c r="H3661">
        <v>33935</v>
      </c>
      <c r="I3661">
        <v>32776</v>
      </c>
      <c r="J3661">
        <v>31557</v>
      </c>
      <c r="K3661">
        <v>28221</v>
      </c>
      <c r="L3661">
        <v>31806</v>
      </c>
      <c r="M3661">
        <v>35185</v>
      </c>
      <c r="N3661">
        <v>32767</v>
      </c>
      <c r="O3661">
        <v>46160</v>
      </c>
      <c r="P3661">
        <v>43547</v>
      </c>
      <c r="Q3661">
        <v>37820</v>
      </c>
      <c r="R3661">
        <v>47471</v>
      </c>
    </row>
    <row r="3662" spans="4:19" x14ac:dyDescent="0.25">
      <c r="D3662" t="s">
        <v>101</v>
      </c>
      <c r="E3662">
        <v>2015</v>
      </c>
      <c r="F3662" t="s">
        <v>26</v>
      </c>
      <c r="G3662">
        <v>45418</v>
      </c>
      <c r="H3662">
        <v>35626</v>
      </c>
      <c r="I3662">
        <v>36486</v>
      </c>
      <c r="J3662">
        <v>34234</v>
      </c>
      <c r="K3662">
        <v>31465</v>
      </c>
      <c r="L3662">
        <v>40132</v>
      </c>
      <c r="M3662">
        <v>41931</v>
      </c>
    </row>
    <row r="3663" spans="4:19" x14ac:dyDescent="0.25">
      <c r="D3663" t="s">
        <v>101</v>
      </c>
      <c r="E3663">
        <v>2013</v>
      </c>
      <c r="F3663" t="s">
        <v>27</v>
      </c>
      <c r="S3663">
        <v>392243</v>
      </c>
    </row>
    <row r="3664" spans="4:19" x14ac:dyDescent="0.25">
      <c r="D3664" t="s">
        <v>101</v>
      </c>
      <c r="E3664">
        <v>2014</v>
      </c>
      <c r="F3664" t="s">
        <v>27</v>
      </c>
      <c r="S3664">
        <v>405296</v>
      </c>
    </row>
    <row r="3665" spans="4:19" x14ac:dyDescent="0.25">
      <c r="D3665" t="s">
        <v>101</v>
      </c>
      <c r="E3665">
        <v>2015</v>
      </c>
      <c r="F3665" t="s">
        <v>27</v>
      </c>
      <c r="S3665">
        <v>460397</v>
      </c>
    </row>
    <row r="3666" spans="4:19" x14ac:dyDescent="0.25">
      <c r="D3666" t="s">
        <v>101</v>
      </c>
      <c r="E3666">
        <v>2013</v>
      </c>
      <c r="F3666" t="s">
        <v>28</v>
      </c>
      <c r="G3666">
        <v>68916</v>
      </c>
      <c r="H3666">
        <v>61289</v>
      </c>
      <c r="I3666">
        <v>52983</v>
      </c>
      <c r="J3666">
        <v>52497</v>
      </c>
      <c r="K3666">
        <v>47257</v>
      </c>
      <c r="L3666">
        <v>50657</v>
      </c>
      <c r="M3666">
        <v>58644</v>
      </c>
      <c r="N3666">
        <v>52385</v>
      </c>
      <c r="O3666">
        <v>77527</v>
      </c>
      <c r="P3666">
        <v>72287</v>
      </c>
      <c r="Q3666">
        <v>64642</v>
      </c>
      <c r="R3666">
        <v>68127</v>
      </c>
    </row>
    <row r="3667" spans="4:19" x14ac:dyDescent="0.25">
      <c r="D3667" t="s">
        <v>101</v>
      </c>
      <c r="E3667">
        <v>2014</v>
      </c>
      <c r="F3667" t="s">
        <v>28</v>
      </c>
      <c r="G3667">
        <v>73060</v>
      </c>
      <c r="H3667">
        <v>60436</v>
      </c>
      <c r="I3667">
        <v>57958</v>
      </c>
      <c r="J3667">
        <v>54626</v>
      </c>
      <c r="K3667">
        <v>46703</v>
      </c>
      <c r="L3667">
        <v>53742</v>
      </c>
      <c r="M3667">
        <v>58771</v>
      </c>
      <c r="N3667">
        <v>56999</v>
      </c>
      <c r="O3667">
        <v>77663</v>
      </c>
      <c r="P3667">
        <v>75367</v>
      </c>
      <c r="Q3667">
        <v>64866</v>
      </c>
      <c r="R3667">
        <v>77944</v>
      </c>
    </row>
    <row r="3668" spans="4:19" x14ac:dyDescent="0.25">
      <c r="D3668" t="s">
        <v>101</v>
      </c>
      <c r="E3668">
        <v>2015</v>
      </c>
      <c r="F3668" t="s">
        <v>28</v>
      </c>
      <c r="G3668">
        <v>76715</v>
      </c>
      <c r="H3668">
        <v>62656</v>
      </c>
      <c r="I3668">
        <v>66236</v>
      </c>
      <c r="J3668">
        <v>58317</v>
      </c>
      <c r="K3668">
        <v>53566</v>
      </c>
      <c r="L3668">
        <v>70228</v>
      </c>
      <c r="M3668">
        <v>72679</v>
      </c>
    </row>
    <row r="3669" spans="4:19" x14ac:dyDescent="0.25">
      <c r="D3669" t="s">
        <v>101</v>
      </c>
      <c r="E3669">
        <v>2013</v>
      </c>
      <c r="F3669" t="s">
        <v>29</v>
      </c>
      <c r="S3669">
        <v>50383</v>
      </c>
    </row>
    <row r="3670" spans="4:19" x14ac:dyDescent="0.25">
      <c r="D3670" t="s">
        <v>101</v>
      </c>
      <c r="E3670">
        <v>2014</v>
      </c>
      <c r="F3670" t="s">
        <v>29</v>
      </c>
      <c r="S3670">
        <v>48221</v>
      </c>
    </row>
    <row r="3671" spans="4:19" x14ac:dyDescent="0.25">
      <c r="D3671" t="s">
        <v>101</v>
      </c>
      <c r="E3671">
        <v>2015</v>
      </c>
      <c r="F3671" t="s">
        <v>29</v>
      </c>
      <c r="S3671">
        <v>49721</v>
      </c>
    </row>
    <row r="3672" spans="4:19" x14ac:dyDescent="0.25">
      <c r="D3672" t="s">
        <v>101</v>
      </c>
      <c r="E3672">
        <v>2013</v>
      </c>
      <c r="F3672" t="s">
        <v>30</v>
      </c>
      <c r="G3672">
        <v>8307</v>
      </c>
      <c r="H3672">
        <v>7634</v>
      </c>
      <c r="I3672">
        <v>7077</v>
      </c>
      <c r="J3672">
        <v>7086</v>
      </c>
      <c r="K3672">
        <v>6443</v>
      </c>
      <c r="L3672">
        <v>6566</v>
      </c>
      <c r="M3672">
        <v>7270</v>
      </c>
      <c r="N3672">
        <v>6394</v>
      </c>
      <c r="O3672">
        <v>8913</v>
      </c>
      <c r="P3672">
        <v>8903</v>
      </c>
      <c r="Q3672">
        <v>7237</v>
      </c>
      <c r="R3672">
        <v>6947</v>
      </c>
    </row>
    <row r="3673" spans="4:19" x14ac:dyDescent="0.25">
      <c r="D3673" t="s">
        <v>101</v>
      </c>
      <c r="E3673">
        <v>2014</v>
      </c>
      <c r="F3673" t="s">
        <v>30</v>
      </c>
      <c r="G3673">
        <v>8666</v>
      </c>
      <c r="H3673">
        <v>7949</v>
      </c>
      <c r="I3673">
        <v>7005</v>
      </c>
      <c r="J3673">
        <v>6254</v>
      </c>
      <c r="K3673">
        <v>5503</v>
      </c>
      <c r="L3673">
        <v>6101</v>
      </c>
      <c r="M3673">
        <v>6743</v>
      </c>
      <c r="N3673">
        <v>6518</v>
      </c>
      <c r="O3673">
        <v>8958</v>
      </c>
      <c r="P3673">
        <v>9439</v>
      </c>
      <c r="Q3673">
        <v>8012</v>
      </c>
      <c r="R3673">
        <v>7664</v>
      </c>
    </row>
    <row r="3674" spans="4:19" x14ac:dyDescent="0.25">
      <c r="D3674" t="s">
        <v>101</v>
      </c>
      <c r="E3674">
        <v>2015</v>
      </c>
      <c r="F3674" t="s">
        <v>30</v>
      </c>
      <c r="G3674">
        <v>7584</v>
      </c>
      <c r="H3674">
        <v>7282</v>
      </c>
      <c r="I3674">
        <v>8171</v>
      </c>
      <c r="J3674">
        <v>7338</v>
      </c>
      <c r="K3674">
        <v>5852</v>
      </c>
      <c r="L3674">
        <v>6987</v>
      </c>
      <c r="M3674">
        <v>6507</v>
      </c>
    </row>
    <row r="3675" spans="4:19" x14ac:dyDescent="0.25">
      <c r="D3675" t="s">
        <v>101</v>
      </c>
      <c r="E3675">
        <v>2013</v>
      </c>
      <c r="F3675" t="s">
        <v>31</v>
      </c>
      <c r="S3675">
        <v>0.81770697310002616</v>
      </c>
    </row>
    <row r="3676" spans="4:19" x14ac:dyDescent="0.25">
      <c r="D3676" t="s">
        <v>101</v>
      </c>
      <c r="E3676">
        <v>2014</v>
      </c>
      <c r="F3676" t="s">
        <v>31</v>
      </c>
      <c r="S3676">
        <v>0.93757606303858776</v>
      </c>
    </row>
    <row r="3677" spans="4:19" x14ac:dyDescent="0.25">
      <c r="D3677" t="s">
        <v>101</v>
      </c>
      <c r="E3677">
        <v>2015</v>
      </c>
      <c r="F3677" t="s">
        <v>31</v>
      </c>
      <c r="S3677">
        <v>0.89219238420005686</v>
      </c>
    </row>
    <row r="3678" spans="4:19" x14ac:dyDescent="0.25">
      <c r="D3678" t="s">
        <v>101</v>
      </c>
      <c r="E3678">
        <v>2013</v>
      </c>
      <c r="F3678" t="s">
        <v>32</v>
      </c>
      <c r="G3678">
        <v>0.78855882734466209</v>
      </c>
      <c r="H3678">
        <v>0.78459857298965097</v>
      </c>
      <c r="I3678">
        <v>0.75831818541057461</v>
      </c>
      <c r="J3678">
        <v>0.83878856282919489</v>
      </c>
      <c r="K3678">
        <v>0.86728002349026134</v>
      </c>
      <c r="L3678">
        <v>0.82937092362718279</v>
      </c>
      <c r="M3678">
        <v>0.90297415894685518</v>
      </c>
      <c r="N3678">
        <v>0.93337718473971054</v>
      </c>
      <c r="O3678">
        <v>0.93420840715090991</v>
      </c>
      <c r="P3678">
        <v>0.9280980781974818</v>
      </c>
      <c r="Q3678">
        <v>0.90308492845196064</v>
      </c>
      <c r="R3678">
        <v>0.96088159526762718</v>
      </c>
    </row>
    <row r="3679" spans="4:19" x14ac:dyDescent="0.25">
      <c r="D3679" t="s">
        <v>101</v>
      </c>
      <c r="E3679">
        <v>2014</v>
      </c>
      <c r="F3679" t="s">
        <v>32</v>
      </c>
      <c r="G3679">
        <v>0.96207180870999176</v>
      </c>
      <c r="H3679">
        <v>0.94694111858290964</v>
      </c>
      <c r="I3679">
        <v>0.95062352544657902</v>
      </c>
      <c r="J3679">
        <v>0.92423515872254725</v>
      </c>
      <c r="K3679">
        <v>0.93449699699699695</v>
      </c>
      <c r="L3679">
        <v>0.93916827852998064</v>
      </c>
      <c r="M3679">
        <v>0.9024039613449405</v>
      </c>
      <c r="N3679">
        <v>0.85982867106360394</v>
      </c>
      <c r="O3679">
        <v>0.90482639076973082</v>
      </c>
      <c r="P3679">
        <v>0.8904978623638119</v>
      </c>
      <c r="Q3679">
        <v>0.91408474292413333</v>
      </c>
      <c r="R3679">
        <v>0.89740861767611524</v>
      </c>
    </row>
    <row r="3680" spans="4:19" x14ac:dyDescent="0.25">
      <c r="D3680" t="s">
        <v>101</v>
      </c>
      <c r="E3680">
        <v>2015</v>
      </c>
      <c r="F3680" t="s">
        <v>32</v>
      </c>
      <c r="G3680">
        <v>0.89219223553182281</v>
      </c>
      <c r="H3680">
        <v>0.88742176766905811</v>
      </c>
      <c r="I3680">
        <v>0.88607694115803493</v>
      </c>
      <c r="J3680">
        <v>0.8833257610177192</v>
      </c>
      <c r="K3680">
        <v>0.89904541509979752</v>
      </c>
      <c r="L3680">
        <v>0.90483843681272202</v>
      </c>
      <c r="M3680">
        <v>0.893714781100997</v>
      </c>
    </row>
    <row r="3681" spans="4:19" x14ac:dyDescent="0.25">
      <c r="D3681" t="s">
        <v>101</v>
      </c>
      <c r="E3681">
        <v>2013</v>
      </c>
      <c r="F3681" t="s">
        <v>33</v>
      </c>
      <c r="S3681">
        <v>0.82059090209227925</v>
      </c>
    </row>
    <row r="3682" spans="4:19" x14ac:dyDescent="0.25">
      <c r="D3682" t="s">
        <v>101</v>
      </c>
      <c r="E3682">
        <v>2014</v>
      </c>
      <c r="F3682" t="s">
        <v>33</v>
      </c>
      <c r="S3682">
        <v>0.91779949409473893</v>
      </c>
    </row>
    <row r="3683" spans="4:19" x14ac:dyDescent="0.25">
      <c r="D3683" t="s">
        <v>101</v>
      </c>
      <c r="E3683">
        <v>2015</v>
      </c>
      <c r="F3683" t="s">
        <v>33</v>
      </c>
      <c r="S3683">
        <v>0.90358034643439966</v>
      </c>
    </row>
    <row r="3684" spans="4:19" x14ac:dyDescent="0.25">
      <c r="D3684" t="s">
        <v>101</v>
      </c>
      <c r="E3684">
        <v>2013</v>
      </c>
      <c r="F3684" t="s">
        <v>34</v>
      </c>
      <c r="G3684">
        <v>0.78494222884830411</v>
      </c>
      <c r="H3684">
        <v>0.77134257570229847</v>
      </c>
      <c r="I3684">
        <v>0.74552415268550842</v>
      </c>
      <c r="J3684">
        <v>0.86899563318777295</v>
      </c>
      <c r="K3684">
        <v>0.91031905720034489</v>
      </c>
      <c r="L3684">
        <v>0.85112486788464448</v>
      </c>
      <c r="M3684">
        <v>0.8791445385388259</v>
      </c>
      <c r="N3684">
        <v>0.90061676478833752</v>
      </c>
      <c r="O3684">
        <v>0.90368973240598849</v>
      </c>
      <c r="P3684">
        <v>0.8979423868312757</v>
      </c>
      <c r="Q3684">
        <v>0.85690766909041016</v>
      </c>
      <c r="R3684">
        <v>0.9431503050471437</v>
      </c>
    </row>
    <row r="3685" spans="4:19" x14ac:dyDescent="0.25">
      <c r="D3685" t="s">
        <v>101</v>
      </c>
      <c r="E3685">
        <v>2014</v>
      </c>
      <c r="F3685" t="s">
        <v>34</v>
      </c>
      <c r="G3685">
        <v>0.94510144298578713</v>
      </c>
      <c r="H3685">
        <v>0.92407885472893692</v>
      </c>
      <c r="I3685">
        <v>0.92972778510612786</v>
      </c>
      <c r="J3685">
        <v>0.89430024083489434</v>
      </c>
      <c r="K3685">
        <v>0.90630872483221481</v>
      </c>
      <c r="L3685">
        <v>0.91343242499311861</v>
      </c>
      <c r="M3685">
        <v>0.9010923238066737</v>
      </c>
      <c r="N3685">
        <v>0.86697705354173593</v>
      </c>
      <c r="O3685">
        <v>0.90221350518352483</v>
      </c>
      <c r="P3685">
        <v>0.89475161380858825</v>
      </c>
      <c r="Q3685">
        <v>0.93293918918918917</v>
      </c>
      <c r="R3685">
        <v>0.91002642191628424</v>
      </c>
    </row>
    <row r="3686" spans="4:19" x14ac:dyDescent="0.25">
      <c r="D3686" t="s">
        <v>101</v>
      </c>
      <c r="E3686">
        <v>2015</v>
      </c>
      <c r="F3686" t="s">
        <v>34</v>
      </c>
      <c r="G3686">
        <v>0.89924588947954009</v>
      </c>
      <c r="H3686">
        <v>0.8814360546825093</v>
      </c>
      <c r="I3686">
        <v>0.9093170792387113</v>
      </c>
      <c r="J3686">
        <v>0.89185140802875973</v>
      </c>
      <c r="K3686">
        <v>0.91511483550589701</v>
      </c>
      <c r="L3686">
        <v>0.9232718569618471</v>
      </c>
      <c r="M3686">
        <v>0.90752655992817599</v>
      </c>
    </row>
    <row r="3687" spans="4:19" x14ac:dyDescent="0.25">
      <c r="D3687" t="s">
        <v>102</v>
      </c>
      <c r="E3687">
        <v>2013</v>
      </c>
      <c r="F3687" t="s">
        <v>17</v>
      </c>
      <c r="S3687">
        <v>0.89587206307254685</v>
      </c>
    </row>
    <row r="3688" spans="4:19" x14ac:dyDescent="0.25">
      <c r="D3688" t="s">
        <v>102</v>
      </c>
      <c r="E3688">
        <v>2014</v>
      </c>
      <c r="F3688" t="s">
        <v>17</v>
      </c>
      <c r="S3688">
        <v>0.91913281212528175</v>
      </c>
    </row>
    <row r="3689" spans="4:19" x14ac:dyDescent="0.25">
      <c r="D3689" t="s">
        <v>102</v>
      </c>
      <c r="E3689">
        <v>2015</v>
      </c>
      <c r="F3689" t="s">
        <v>17</v>
      </c>
      <c r="S3689">
        <v>1</v>
      </c>
    </row>
    <row r="3690" spans="4:19" x14ac:dyDescent="0.25">
      <c r="D3690" t="s">
        <v>102</v>
      </c>
      <c r="E3690">
        <v>2013</v>
      </c>
      <c r="F3690" t="s">
        <v>18</v>
      </c>
      <c r="G3690">
        <v>0.86116322701688552</v>
      </c>
      <c r="H3690">
        <v>0.88364300944258301</v>
      </c>
      <c r="I3690">
        <v>0.87152103559870553</v>
      </c>
      <c r="J3690">
        <v>0.9488724127278344</v>
      </c>
      <c r="K3690">
        <v>0.83965217391304348</v>
      </c>
      <c r="L3690">
        <v>0.96093362026154605</v>
      </c>
      <c r="M3690">
        <v>0.90832523485584715</v>
      </c>
      <c r="N3690">
        <v>0.89110812367966197</v>
      </c>
      <c r="O3690">
        <v>0.91911550771021244</v>
      </c>
      <c r="P3690">
        <v>0.9262981574539364</v>
      </c>
      <c r="Q3690">
        <v>0.88755221386800331</v>
      </c>
      <c r="R3690">
        <v>0.88106836888963547</v>
      </c>
    </row>
    <row r="3691" spans="4:19" x14ac:dyDescent="0.25">
      <c r="D3691" t="s">
        <v>102</v>
      </c>
      <c r="E3691">
        <v>2014</v>
      </c>
      <c r="F3691" t="s">
        <v>18</v>
      </c>
      <c r="G3691">
        <v>0.89239538440150146</v>
      </c>
      <c r="H3691">
        <v>0.91374708041374708</v>
      </c>
      <c r="I3691">
        <v>0.89354246621057898</v>
      </c>
      <c r="J3691">
        <v>0.93040171929244508</v>
      </c>
      <c r="K3691">
        <v>0.96593036315986525</v>
      </c>
      <c r="L3691">
        <v>0.93911666373394331</v>
      </c>
      <c r="M3691">
        <v>0.90925789860396766</v>
      </c>
      <c r="N3691">
        <v>0.95463137996219283</v>
      </c>
      <c r="O3691">
        <v>1</v>
      </c>
      <c r="P3691">
        <v>1</v>
      </c>
      <c r="Q3691">
        <v>1</v>
      </c>
      <c r="R3691">
        <v>1</v>
      </c>
    </row>
    <row r="3692" spans="4:19" x14ac:dyDescent="0.25">
      <c r="D3692" t="s">
        <v>102</v>
      </c>
      <c r="E3692">
        <v>2015</v>
      </c>
      <c r="F3692" t="s">
        <v>18</v>
      </c>
      <c r="G3692">
        <v>1</v>
      </c>
      <c r="H3692">
        <v>1</v>
      </c>
      <c r="I3692">
        <v>1</v>
      </c>
      <c r="J3692">
        <v>1</v>
      </c>
      <c r="K3692">
        <v>1</v>
      </c>
      <c r="L3692">
        <v>1</v>
      </c>
      <c r="M3692">
        <v>1</v>
      </c>
    </row>
    <row r="3693" spans="4:19" x14ac:dyDescent="0.25">
      <c r="D3693" t="s">
        <v>102</v>
      </c>
      <c r="E3693">
        <v>2013</v>
      </c>
      <c r="F3693" t="s">
        <v>19</v>
      </c>
      <c r="S3693">
        <v>0.89969876659156645</v>
      </c>
    </row>
    <row r="3694" spans="4:19" x14ac:dyDescent="0.25">
      <c r="D3694" t="s">
        <v>102</v>
      </c>
      <c r="E3694">
        <v>2014</v>
      </c>
      <c r="F3694" t="s">
        <v>19</v>
      </c>
      <c r="S3694">
        <v>0.98511025233007499</v>
      </c>
    </row>
    <row r="3695" spans="4:19" x14ac:dyDescent="0.25">
      <c r="D3695" t="s">
        <v>102</v>
      </c>
      <c r="E3695">
        <v>2015</v>
      </c>
      <c r="F3695" t="s">
        <v>19</v>
      </c>
      <c r="S3695">
        <v>0.991747871789737</v>
      </c>
    </row>
    <row r="3696" spans="4:19" x14ac:dyDescent="0.25">
      <c r="D3696" t="s">
        <v>102</v>
      </c>
      <c r="E3696">
        <v>2013</v>
      </c>
      <c r="F3696" t="s">
        <v>20</v>
      </c>
      <c r="G3696">
        <v>0.77909457900807377</v>
      </c>
      <c r="H3696">
        <v>0.83117260413262162</v>
      </c>
      <c r="I3696">
        <v>0.87238088272936698</v>
      </c>
      <c r="J3696">
        <v>0.89668034315553902</v>
      </c>
      <c r="K3696">
        <v>0.97432591719463679</v>
      </c>
      <c r="L3696">
        <v>0.9924034771712742</v>
      </c>
      <c r="M3696">
        <v>0.98804332536221695</v>
      </c>
      <c r="N3696">
        <v>0.99379917063907297</v>
      </c>
      <c r="O3696">
        <v>0.98000665335994674</v>
      </c>
      <c r="P3696">
        <v>0.98273601398601396</v>
      </c>
      <c r="Q3696">
        <v>0.9523516753765755</v>
      </c>
      <c r="R3696">
        <v>0.88739186786026469</v>
      </c>
    </row>
    <row r="3697" spans="4:19" x14ac:dyDescent="0.25">
      <c r="D3697" t="s">
        <v>102</v>
      </c>
      <c r="E3697">
        <v>2014</v>
      </c>
      <c r="F3697" t="s">
        <v>20</v>
      </c>
      <c r="G3697">
        <v>0.98771100907255827</v>
      </c>
      <c r="H3697">
        <v>0.99520361990950224</v>
      </c>
      <c r="I3697">
        <v>0.98054645546962071</v>
      </c>
      <c r="J3697">
        <v>0.98734134371298021</v>
      </c>
      <c r="K3697">
        <v>0.97406032680575105</v>
      </c>
      <c r="L3697">
        <v>0.98187527733215008</v>
      </c>
      <c r="M3697">
        <v>0.9841429481377183</v>
      </c>
      <c r="N3697">
        <v>0.98848499937756751</v>
      </c>
      <c r="O3697">
        <v>0.98473040445935589</v>
      </c>
      <c r="P3697">
        <v>0.99089520845938861</v>
      </c>
      <c r="Q3697">
        <v>0.94470956063847289</v>
      </c>
      <c r="R3697">
        <v>0.98700046820347576</v>
      </c>
    </row>
    <row r="3698" spans="4:19" x14ac:dyDescent="0.25">
      <c r="D3698" t="s">
        <v>102</v>
      </c>
      <c r="E3698">
        <v>2015</v>
      </c>
      <c r="F3698" t="s">
        <v>20</v>
      </c>
      <c r="G3698">
        <v>0.97986481679117754</v>
      </c>
      <c r="H3698">
        <v>0.98778383923159419</v>
      </c>
      <c r="I3698">
        <v>0.9922450052576236</v>
      </c>
      <c r="J3698">
        <v>0.99410975680877123</v>
      </c>
      <c r="K3698">
        <v>0.99679530427742546</v>
      </c>
      <c r="L3698">
        <v>0.99684459637128586</v>
      </c>
      <c r="M3698">
        <v>0.99749949484744393</v>
      </c>
    </row>
    <row r="3699" spans="4:19" x14ac:dyDescent="0.25">
      <c r="D3699" t="s">
        <v>102</v>
      </c>
      <c r="E3699">
        <v>2013</v>
      </c>
      <c r="F3699" t="s">
        <v>21</v>
      </c>
      <c r="S3699">
        <v>0.94617927279797787</v>
      </c>
    </row>
    <row r="3700" spans="4:19" x14ac:dyDescent="0.25">
      <c r="D3700" t="s">
        <v>102</v>
      </c>
      <c r="E3700">
        <v>2014</v>
      </c>
      <c r="F3700" t="s">
        <v>21</v>
      </c>
      <c r="S3700">
        <v>0.97922121517287686</v>
      </c>
    </row>
    <row r="3701" spans="4:19" x14ac:dyDescent="0.25">
      <c r="D3701" t="s">
        <v>102</v>
      </c>
      <c r="E3701">
        <v>2015</v>
      </c>
      <c r="F3701" t="s">
        <v>21</v>
      </c>
      <c r="S3701">
        <v>0.98028427326914258</v>
      </c>
    </row>
    <row r="3702" spans="4:19" x14ac:dyDescent="0.25">
      <c r="D3702" t="s">
        <v>102</v>
      </c>
      <c r="E3702">
        <v>2013</v>
      </c>
      <c r="F3702" t="s">
        <v>22</v>
      </c>
      <c r="G3702">
        <v>0.80287059878896616</v>
      </c>
      <c r="H3702">
        <v>0.98416608022519347</v>
      </c>
      <c r="I3702">
        <v>0.97793696275071629</v>
      </c>
      <c r="J3702">
        <v>0.94927536231884058</v>
      </c>
      <c r="K3702">
        <v>0.95267958950969212</v>
      </c>
      <c r="L3702">
        <v>0.99774266365688491</v>
      </c>
      <c r="M3702">
        <v>0.99517607332368552</v>
      </c>
      <c r="N3702">
        <v>0.98851329176238922</v>
      </c>
      <c r="O3702">
        <v>0.97627118644067801</v>
      </c>
      <c r="P3702">
        <v>0.98094565984474247</v>
      </c>
      <c r="Q3702">
        <v>0.9677841801990571</v>
      </c>
      <c r="R3702">
        <v>0.96528623629719856</v>
      </c>
    </row>
    <row r="3703" spans="4:19" x14ac:dyDescent="0.25">
      <c r="D3703" t="s">
        <v>102</v>
      </c>
      <c r="E3703">
        <v>2014</v>
      </c>
      <c r="F3703" t="s">
        <v>22</v>
      </c>
      <c r="G3703">
        <v>0.9947238832219486</v>
      </c>
      <c r="H3703">
        <v>0.99477611940298505</v>
      </c>
      <c r="I3703">
        <v>0.9914448669201521</v>
      </c>
      <c r="J3703">
        <v>0.9906987295825771</v>
      </c>
      <c r="K3703">
        <v>0.93408788282290278</v>
      </c>
      <c r="L3703">
        <v>0.96222619579794366</v>
      </c>
      <c r="M3703">
        <v>0.96892230576441107</v>
      </c>
      <c r="N3703">
        <v>0.93473368342085517</v>
      </c>
      <c r="O3703">
        <v>0.96603861363107701</v>
      </c>
      <c r="P3703">
        <v>0.99481397970687713</v>
      </c>
      <c r="Q3703">
        <v>0.96943231441048039</v>
      </c>
      <c r="R3703">
        <v>0.98763609522052043</v>
      </c>
    </row>
    <row r="3704" spans="4:19" x14ac:dyDescent="0.25">
      <c r="D3704" t="s">
        <v>102</v>
      </c>
      <c r="E3704">
        <v>2015</v>
      </c>
      <c r="F3704" t="s">
        <v>22</v>
      </c>
      <c r="G3704">
        <v>0.96985026305139621</v>
      </c>
      <c r="H3704">
        <v>0.96518754596714884</v>
      </c>
      <c r="I3704">
        <v>0.98670264020042397</v>
      </c>
      <c r="J3704">
        <v>0.98435187143159231</v>
      </c>
      <c r="K3704">
        <v>0.97524361337898335</v>
      </c>
      <c r="L3704">
        <v>0.98139820114472609</v>
      </c>
      <c r="M3704">
        <v>0.99488893257322586</v>
      </c>
    </row>
    <row r="3705" spans="4:19" x14ac:dyDescent="0.25">
      <c r="D3705" t="s">
        <v>102</v>
      </c>
      <c r="E3705">
        <v>2013</v>
      </c>
      <c r="F3705" t="s">
        <v>23</v>
      </c>
      <c r="S3705">
        <v>63048</v>
      </c>
    </row>
    <row r="3706" spans="4:19" x14ac:dyDescent="0.25">
      <c r="D3706" t="s">
        <v>102</v>
      </c>
      <c r="E3706">
        <v>2014</v>
      </c>
      <c r="F3706" t="s">
        <v>23</v>
      </c>
      <c r="S3706">
        <v>61494</v>
      </c>
    </row>
    <row r="3707" spans="4:19" x14ac:dyDescent="0.25">
      <c r="D3707" t="s">
        <v>102</v>
      </c>
      <c r="E3707">
        <v>2015</v>
      </c>
      <c r="F3707" t="s">
        <v>23</v>
      </c>
      <c r="S3707">
        <v>75953</v>
      </c>
    </row>
    <row r="3708" spans="4:19" x14ac:dyDescent="0.25">
      <c r="D3708" t="s">
        <v>102</v>
      </c>
      <c r="E3708">
        <v>2013</v>
      </c>
      <c r="F3708" t="s">
        <v>24</v>
      </c>
      <c r="G3708">
        <v>11141</v>
      </c>
      <c r="H3708">
        <v>10399</v>
      </c>
      <c r="I3708">
        <v>9539</v>
      </c>
      <c r="J3708">
        <v>8392</v>
      </c>
      <c r="K3708">
        <v>7896</v>
      </c>
      <c r="L3708">
        <v>7354</v>
      </c>
      <c r="M3708">
        <v>8327</v>
      </c>
      <c r="N3708">
        <v>7750</v>
      </c>
      <c r="O3708">
        <v>8815</v>
      </c>
      <c r="P3708">
        <v>9056</v>
      </c>
      <c r="Q3708">
        <v>8589</v>
      </c>
      <c r="R3708">
        <v>8169</v>
      </c>
    </row>
    <row r="3709" spans="4:19" x14ac:dyDescent="0.25">
      <c r="D3709" t="s">
        <v>102</v>
      </c>
      <c r="E3709">
        <v>2014</v>
      </c>
      <c r="F3709" t="s">
        <v>24</v>
      </c>
      <c r="G3709">
        <v>10116</v>
      </c>
      <c r="H3709">
        <v>9424</v>
      </c>
      <c r="I3709">
        <v>8530</v>
      </c>
      <c r="J3709">
        <v>7986</v>
      </c>
      <c r="K3709">
        <v>7660</v>
      </c>
      <c r="L3709">
        <v>8209</v>
      </c>
      <c r="M3709">
        <v>9569</v>
      </c>
      <c r="N3709">
        <v>11572</v>
      </c>
      <c r="O3709">
        <v>14381</v>
      </c>
      <c r="P3709">
        <v>12072</v>
      </c>
      <c r="Q3709">
        <v>10605</v>
      </c>
      <c r="R3709">
        <v>11509</v>
      </c>
    </row>
    <row r="3710" spans="4:19" x14ac:dyDescent="0.25">
      <c r="D3710" t="s">
        <v>102</v>
      </c>
      <c r="E3710">
        <v>2015</v>
      </c>
      <c r="F3710" t="s">
        <v>24</v>
      </c>
      <c r="G3710">
        <v>12881</v>
      </c>
      <c r="H3710">
        <v>12429</v>
      </c>
      <c r="I3710">
        <v>11161</v>
      </c>
      <c r="J3710">
        <v>10361</v>
      </c>
      <c r="K3710">
        <v>8403</v>
      </c>
      <c r="L3710">
        <v>10433</v>
      </c>
      <c r="M3710">
        <v>10285</v>
      </c>
    </row>
    <row r="3711" spans="4:19" x14ac:dyDescent="0.25">
      <c r="D3711" t="s">
        <v>102</v>
      </c>
      <c r="E3711">
        <v>2013</v>
      </c>
      <c r="F3711" t="s">
        <v>25</v>
      </c>
      <c r="S3711">
        <v>184943</v>
      </c>
    </row>
    <row r="3712" spans="4:19" x14ac:dyDescent="0.25">
      <c r="D3712" t="s">
        <v>102</v>
      </c>
      <c r="E3712">
        <v>2014</v>
      </c>
      <c r="F3712" t="s">
        <v>25</v>
      </c>
      <c r="S3712">
        <v>190770</v>
      </c>
    </row>
    <row r="3713" spans="4:19" x14ac:dyDescent="0.25">
      <c r="D3713" t="s">
        <v>102</v>
      </c>
      <c r="E3713">
        <v>2015</v>
      </c>
      <c r="F3713" t="s">
        <v>25</v>
      </c>
      <c r="S3713">
        <v>215757</v>
      </c>
    </row>
    <row r="3714" spans="4:19" x14ac:dyDescent="0.25">
      <c r="D3714" t="s">
        <v>102</v>
      </c>
      <c r="E3714">
        <v>2013</v>
      </c>
      <c r="F3714" t="s">
        <v>26</v>
      </c>
      <c r="G3714">
        <v>29546</v>
      </c>
      <c r="H3714">
        <v>25121</v>
      </c>
      <c r="I3714">
        <v>25117</v>
      </c>
      <c r="J3714">
        <v>25607</v>
      </c>
      <c r="K3714">
        <v>24199</v>
      </c>
      <c r="L3714">
        <v>26351</v>
      </c>
      <c r="M3714">
        <v>29002</v>
      </c>
      <c r="N3714">
        <v>26190</v>
      </c>
      <c r="O3714">
        <v>31929</v>
      </c>
      <c r="P3714">
        <v>32815</v>
      </c>
      <c r="Q3714">
        <v>33901</v>
      </c>
      <c r="R3714">
        <v>32725</v>
      </c>
    </row>
    <row r="3715" spans="4:19" x14ac:dyDescent="0.25">
      <c r="D3715" t="s">
        <v>102</v>
      </c>
      <c r="E3715">
        <v>2014</v>
      </c>
      <c r="F3715" t="s">
        <v>26</v>
      </c>
      <c r="G3715">
        <v>34694</v>
      </c>
      <c r="H3715">
        <v>27899</v>
      </c>
      <c r="I3715">
        <v>25956</v>
      </c>
      <c r="J3715">
        <v>26141</v>
      </c>
      <c r="K3715">
        <v>23206</v>
      </c>
      <c r="L3715">
        <v>25697</v>
      </c>
      <c r="M3715">
        <v>27177</v>
      </c>
      <c r="N3715">
        <v>27574</v>
      </c>
      <c r="O3715">
        <v>32138</v>
      </c>
      <c r="P3715">
        <v>32595</v>
      </c>
      <c r="Q3715">
        <v>27602</v>
      </c>
      <c r="R3715">
        <v>34802</v>
      </c>
    </row>
    <row r="3716" spans="4:19" x14ac:dyDescent="0.25">
      <c r="D3716" t="s">
        <v>102</v>
      </c>
      <c r="E3716">
        <v>2015</v>
      </c>
      <c r="F3716" t="s">
        <v>26</v>
      </c>
      <c r="G3716">
        <v>37591</v>
      </c>
      <c r="H3716">
        <v>30091</v>
      </c>
      <c r="I3716">
        <v>30471</v>
      </c>
      <c r="J3716">
        <v>28632</v>
      </c>
      <c r="K3716">
        <v>24383</v>
      </c>
      <c r="L3716">
        <v>30619</v>
      </c>
      <c r="M3716">
        <v>33970</v>
      </c>
    </row>
    <row r="3717" spans="4:19" x14ac:dyDescent="0.25">
      <c r="D3717" t="s">
        <v>102</v>
      </c>
      <c r="E3717">
        <v>2013</v>
      </c>
      <c r="F3717" t="s">
        <v>27</v>
      </c>
      <c r="S3717">
        <v>343801</v>
      </c>
    </row>
    <row r="3718" spans="4:19" x14ac:dyDescent="0.25">
      <c r="D3718" t="s">
        <v>102</v>
      </c>
      <c r="E3718">
        <v>2014</v>
      </c>
      <c r="F3718" t="s">
        <v>27</v>
      </c>
      <c r="S3718">
        <v>328512</v>
      </c>
    </row>
    <row r="3719" spans="4:19" x14ac:dyDescent="0.25">
      <c r="D3719" t="s">
        <v>102</v>
      </c>
      <c r="E3719">
        <v>2015</v>
      </c>
      <c r="F3719" t="s">
        <v>27</v>
      </c>
      <c r="S3719">
        <v>374712</v>
      </c>
    </row>
    <row r="3720" spans="4:19" x14ac:dyDescent="0.25">
      <c r="D3720" t="s">
        <v>102</v>
      </c>
      <c r="E3720">
        <v>2013</v>
      </c>
      <c r="F3720" t="s">
        <v>28</v>
      </c>
      <c r="G3720">
        <v>54333</v>
      </c>
      <c r="H3720">
        <v>47969</v>
      </c>
      <c r="I3720">
        <v>45735</v>
      </c>
      <c r="J3720">
        <v>47407</v>
      </c>
      <c r="K3720">
        <v>44852</v>
      </c>
      <c r="L3720">
        <v>49473</v>
      </c>
      <c r="M3720">
        <v>54032</v>
      </c>
      <c r="N3720">
        <v>48419</v>
      </c>
      <c r="O3720">
        <v>56382</v>
      </c>
      <c r="P3720">
        <v>60669</v>
      </c>
      <c r="Q3720">
        <v>57454</v>
      </c>
      <c r="R3720">
        <v>56845</v>
      </c>
    </row>
    <row r="3721" spans="4:19" x14ac:dyDescent="0.25">
      <c r="D3721" t="s">
        <v>102</v>
      </c>
      <c r="E3721">
        <v>2014</v>
      </c>
      <c r="F3721" t="s">
        <v>28</v>
      </c>
      <c r="G3721">
        <v>61762</v>
      </c>
      <c r="H3721">
        <v>49235</v>
      </c>
      <c r="I3721">
        <v>44898</v>
      </c>
      <c r="J3721">
        <v>45348</v>
      </c>
      <c r="K3721">
        <v>38596</v>
      </c>
      <c r="L3721">
        <v>43150</v>
      </c>
      <c r="M3721">
        <v>45523</v>
      </c>
      <c r="N3721">
        <v>45559</v>
      </c>
      <c r="O3721">
        <v>55465</v>
      </c>
      <c r="P3721">
        <v>57210</v>
      </c>
      <c r="Q3721">
        <v>46932</v>
      </c>
      <c r="R3721">
        <v>58776</v>
      </c>
    </row>
    <row r="3722" spans="4:19" x14ac:dyDescent="0.25">
      <c r="D3722" t="s">
        <v>102</v>
      </c>
      <c r="E3722">
        <v>2015</v>
      </c>
      <c r="F3722" t="s">
        <v>28</v>
      </c>
      <c r="G3722">
        <v>62311</v>
      </c>
      <c r="H3722">
        <v>53264</v>
      </c>
      <c r="I3722">
        <v>54393</v>
      </c>
      <c r="J3722">
        <v>50009</v>
      </c>
      <c r="K3722">
        <v>43116</v>
      </c>
      <c r="L3722">
        <v>53687</v>
      </c>
      <c r="M3722">
        <v>57932</v>
      </c>
    </row>
    <row r="3723" spans="4:19" x14ac:dyDescent="0.25">
      <c r="D3723" t="s">
        <v>102</v>
      </c>
      <c r="E3723">
        <v>2013</v>
      </c>
      <c r="F3723" t="s">
        <v>29</v>
      </c>
      <c r="S3723">
        <v>44647</v>
      </c>
    </row>
    <row r="3724" spans="4:19" x14ac:dyDescent="0.25">
      <c r="D3724" t="s">
        <v>102</v>
      </c>
      <c r="E3724">
        <v>2014</v>
      </c>
      <c r="F3724" t="s">
        <v>29</v>
      </c>
      <c r="S3724">
        <v>41698</v>
      </c>
    </row>
    <row r="3725" spans="4:19" x14ac:dyDescent="0.25">
      <c r="D3725" t="s">
        <v>102</v>
      </c>
      <c r="E3725">
        <v>2015</v>
      </c>
      <c r="F3725" t="s">
        <v>29</v>
      </c>
      <c r="S3725">
        <v>6046</v>
      </c>
    </row>
    <row r="3726" spans="4:19" x14ac:dyDescent="0.25">
      <c r="D3726" t="s">
        <v>102</v>
      </c>
      <c r="E3726">
        <v>2013</v>
      </c>
      <c r="F3726" t="s">
        <v>30</v>
      </c>
      <c r="G3726">
        <v>7462</v>
      </c>
      <c r="H3726">
        <v>6566</v>
      </c>
      <c r="I3726">
        <v>6180</v>
      </c>
      <c r="J3726">
        <v>6474</v>
      </c>
      <c r="K3726">
        <v>5750</v>
      </c>
      <c r="L3726">
        <v>6041</v>
      </c>
      <c r="M3726">
        <v>6174</v>
      </c>
      <c r="N3726">
        <v>5207</v>
      </c>
      <c r="O3726">
        <v>6874</v>
      </c>
      <c r="P3726">
        <v>7164</v>
      </c>
      <c r="Q3726">
        <v>5985</v>
      </c>
      <c r="R3726">
        <v>5953</v>
      </c>
    </row>
    <row r="3727" spans="4:19" x14ac:dyDescent="0.25">
      <c r="D3727" t="s">
        <v>102</v>
      </c>
      <c r="E3727">
        <v>2014</v>
      </c>
      <c r="F3727" t="s">
        <v>30</v>
      </c>
      <c r="G3727">
        <v>7193</v>
      </c>
      <c r="H3727">
        <v>5994</v>
      </c>
      <c r="I3727">
        <v>5993</v>
      </c>
      <c r="J3727">
        <v>6049</v>
      </c>
      <c r="K3727">
        <v>5342</v>
      </c>
      <c r="L3727">
        <v>5683</v>
      </c>
      <c r="M3727">
        <v>5444</v>
      </c>
      <c r="N3727">
        <v>529</v>
      </c>
      <c r="O3727">
        <v>749</v>
      </c>
      <c r="P3727">
        <v>812</v>
      </c>
      <c r="Q3727">
        <v>734</v>
      </c>
      <c r="R3727">
        <v>764</v>
      </c>
    </row>
    <row r="3728" spans="4:19" x14ac:dyDescent="0.25">
      <c r="D3728" t="s">
        <v>102</v>
      </c>
      <c r="E3728">
        <v>2015</v>
      </c>
      <c r="F3728" t="s">
        <v>30</v>
      </c>
      <c r="G3728">
        <v>911</v>
      </c>
      <c r="H3728">
        <v>772</v>
      </c>
      <c r="I3728">
        <v>1002</v>
      </c>
      <c r="J3728">
        <v>767</v>
      </c>
      <c r="K3728">
        <v>693</v>
      </c>
      <c r="L3728">
        <v>1012</v>
      </c>
      <c r="M3728">
        <v>889</v>
      </c>
    </row>
    <row r="3729" spans="4:19" x14ac:dyDescent="0.25">
      <c r="D3729" t="s">
        <v>102</v>
      </c>
      <c r="E3729">
        <v>2013</v>
      </c>
      <c r="F3729" t="s">
        <v>31</v>
      </c>
      <c r="S3729">
        <v>0.82568836442075877</v>
      </c>
    </row>
    <row r="3730" spans="4:19" x14ac:dyDescent="0.25">
      <c r="D3730" t="s">
        <v>102</v>
      </c>
      <c r="E3730">
        <v>2014</v>
      </c>
      <c r="F3730" t="s">
        <v>31</v>
      </c>
      <c r="S3730">
        <v>0.93765245389794127</v>
      </c>
    </row>
    <row r="3731" spans="4:19" x14ac:dyDescent="0.25">
      <c r="D3731" t="s">
        <v>102</v>
      </c>
      <c r="E3731">
        <v>2015</v>
      </c>
      <c r="F3731" t="s">
        <v>31</v>
      </c>
      <c r="S3731">
        <v>0.89177517675404527</v>
      </c>
    </row>
    <row r="3732" spans="4:19" x14ac:dyDescent="0.25">
      <c r="D3732" t="s">
        <v>102</v>
      </c>
      <c r="E3732">
        <v>2013</v>
      </c>
      <c r="F3732" t="s">
        <v>32</v>
      </c>
      <c r="G3732">
        <v>0.79418364599228075</v>
      </c>
      <c r="H3732">
        <v>0.78084431195307236</v>
      </c>
      <c r="I3732">
        <v>0.76150539888877244</v>
      </c>
      <c r="J3732">
        <v>0.85402764537654907</v>
      </c>
      <c r="K3732">
        <v>0.87702634245187439</v>
      </c>
      <c r="L3732">
        <v>0.84226271416915965</v>
      </c>
      <c r="M3732">
        <v>0.90548817100996759</v>
      </c>
      <c r="N3732">
        <v>0.93522580645161291</v>
      </c>
      <c r="O3732">
        <v>0.93545093590470785</v>
      </c>
      <c r="P3732">
        <v>0.92965989399293292</v>
      </c>
      <c r="Q3732">
        <v>0.90220048899755501</v>
      </c>
      <c r="R3732">
        <v>0.96621373485126694</v>
      </c>
    </row>
    <row r="3733" spans="4:19" x14ac:dyDescent="0.25">
      <c r="D3733" t="s">
        <v>102</v>
      </c>
      <c r="E3733">
        <v>2014</v>
      </c>
      <c r="F3733" t="s">
        <v>32</v>
      </c>
      <c r="G3733">
        <v>0.95897587979438514</v>
      </c>
      <c r="H3733">
        <v>0.95140067911714776</v>
      </c>
      <c r="I3733">
        <v>0.94865181711606095</v>
      </c>
      <c r="J3733">
        <v>0.91848234410217877</v>
      </c>
      <c r="K3733">
        <v>0.93981723237597914</v>
      </c>
      <c r="L3733">
        <v>0.94542575222316971</v>
      </c>
      <c r="M3733">
        <v>0.89936252481973034</v>
      </c>
      <c r="N3733">
        <v>0.86692015209125473</v>
      </c>
      <c r="O3733">
        <v>0.90459634239621722</v>
      </c>
      <c r="P3733">
        <v>0.90233598409542748</v>
      </c>
      <c r="Q3733">
        <v>0.91541725601131541</v>
      </c>
      <c r="R3733">
        <v>0.90459640281518816</v>
      </c>
    </row>
    <row r="3734" spans="4:19" x14ac:dyDescent="0.25">
      <c r="D3734" t="s">
        <v>102</v>
      </c>
      <c r="E3734">
        <v>2015</v>
      </c>
      <c r="F3734" t="s">
        <v>32</v>
      </c>
      <c r="G3734">
        <v>0.89876562378697311</v>
      </c>
      <c r="H3734">
        <v>0.88784294794432372</v>
      </c>
      <c r="I3734">
        <v>0.89104918914075804</v>
      </c>
      <c r="J3734">
        <v>0.87674934851848274</v>
      </c>
      <c r="K3734">
        <v>0.89337141497084371</v>
      </c>
      <c r="L3734">
        <v>0.90117895140419824</v>
      </c>
      <c r="M3734">
        <v>0.89285367039377739</v>
      </c>
    </row>
    <row r="3735" spans="4:19" x14ac:dyDescent="0.25">
      <c r="D3735" t="s">
        <v>102</v>
      </c>
      <c r="E3735">
        <v>2013</v>
      </c>
      <c r="F3735" t="s">
        <v>33</v>
      </c>
      <c r="S3735">
        <v>0.82322649177905038</v>
      </c>
    </row>
    <row r="3736" spans="4:19" x14ac:dyDescent="0.25">
      <c r="D3736" t="s">
        <v>102</v>
      </c>
      <c r="E3736">
        <v>2014</v>
      </c>
      <c r="F3736" t="s">
        <v>33</v>
      </c>
      <c r="S3736">
        <v>0.91620692214442989</v>
      </c>
    </row>
    <row r="3737" spans="4:19" x14ac:dyDescent="0.25">
      <c r="D3737" t="s">
        <v>102</v>
      </c>
      <c r="E3737">
        <v>2015</v>
      </c>
      <c r="F3737" t="s">
        <v>33</v>
      </c>
      <c r="S3737">
        <v>0.90679875845061442</v>
      </c>
    </row>
    <row r="3738" spans="4:19" x14ac:dyDescent="0.25">
      <c r="D3738" t="s">
        <v>102</v>
      </c>
      <c r="E3738">
        <v>2013</v>
      </c>
      <c r="F3738" t="s">
        <v>34</v>
      </c>
      <c r="G3738">
        <v>0.77683357301608058</v>
      </c>
      <c r="H3738">
        <v>0.76877002368017833</v>
      </c>
      <c r="I3738">
        <v>0.74314616625128282</v>
      </c>
      <c r="J3738">
        <v>0.87543372657876473</v>
      </c>
      <c r="K3738">
        <v>0.91014168530947059</v>
      </c>
      <c r="L3738">
        <v>0.86610448375154259</v>
      </c>
      <c r="M3738">
        <v>0.8790820829655781</v>
      </c>
      <c r="N3738">
        <v>0.90139461795325082</v>
      </c>
      <c r="O3738">
        <v>0.90557583803518094</v>
      </c>
      <c r="P3738">
        <v>0.8979166666666667</v>
      </c>
      <c r="Q3738">
        <v>0.85388763263176204</v>
      </c>
      <c r="R3738">
        <v>0.95044883303411132</v>
      </c>
    </row>
    <row r="3739" spans="4:19" x14ac:dyDescent="0.25">
      <c r="D3739" t="s">
        <v>102</v>
      </c>
      <c r="E3739">
        <v>2014</v>
      </c>
      <c r="F3739" t="s">
        <v>34</v>
      </c>
      <c r="G3739">
        <v>0.94056995560647283</v>
      </c>
      <c r="H3739">
        <v>0.92932098765432103</v>
      </c>
      <c r="I3739">
        <v>0.92394512936273654</v>
      </c>
      <c r="J3739">
        <v>0.88240606936416188</v>
      </c>
      <c r="K3739">
        <v>0.91077994968066578</v>
      </c>
      <c r="L3739">
        <v>0.91900198879045381</v>
      </c>
      <c r="M3739">
        <v>0.89607250755287005</v>
      </c>
      <c r="N3739">
        <v>0.88584474885844744</v>
      </c>
      <c r="O3739">
        <v>0.89993804213135065</v>
      </c>
      <c r="P3739">
        <v>0.91786542923433878</v>
      </c>
      <c r="Q3739">
        <v>0.931694468832309</v>
      </c>
      <c r="R3739">
        <v>0.91619445272889954</v>
      </c>
    </row>
    <row r="3740" spans="4:19" x14ac:dyDescent="0.25">
      <c r="D3740" t="s">
        <v>102</v>
      </c>
      <c r="E3740">
        <v>2015</v>
      </c>
      <c r="F3740" t="s">
        <v>34</v>
      </c>
      <c r="G3740">
        <v>0.90199378560331434</v>
      </c>
      <c r="H3740">
        <v>0.886566008517228</v>
      </c>
      <c r="I3740">
        <v>0.92005551700208188</v>
      </c>
      <c r="J3740">
        <v>0.88497616484699371</v>
      </c>
      <c r="K3740">
        <v>0.91381872213967308</v>
      </c>
      <c r="L3740">
        <v>0.92619526535664554</v>
      </c>
      <c r="M3740">
        <v>0.91963394342762061</v>
      </c>
    </row>
    <row r="3741" spans="4:19" x14ac:dyDescent="0.25">
      <c r="D3741" t="s">
        <v>103</v>
      </c>
      <c r="E3741">
        <v>2013</v>
      </c>
      <c r="F3741" t="s">
        <v>17</v>
      </c>
      <c r="S3741">
        <v>0.82860488635758767</v>
      </c>
    </row>
    <row r="3742" spans="4:19" x14ac:dyDescent="0.25">
      <c r="D3742" t="s">
        <v>103</v>
      </c>
      <c r="E3742">
        <v>2014</v>
      </c>
      <c r="F3742" t="s">
        <v>17</v>
      </c>
      <c r="S3742">
        <v>0.7554990616680487</v>
      </c>
    </row>
    <row r="3743" spans="4:19" x14ac:dyDescent="0.25">
      <c r="D3743" t="s">
        <v>103</v>
      </c>
      <c r="E3743">
        <v>2015</v>
      </c>
      <c r="F3743" t="s">
        <v>17</v>
      </c>
      <c r="S3743">
        <v>0.85042670885637406</v>
      </c>
    </row>
    <row r="3744" spans="4:19" x14ac:dyDescent="0.25">
      <c r="D3744" t="s">
        <v>103</v>
      </c>
      <c r="E3744">
        <v>2013</v>
      </c>
      <c r="F3744" t="s">
        <v>18</v>
      </c>
      <c r="G3744">
        <v>0.79783065477880633</v>
      </c>
      <c r="H3744">
        <v>0.84816411864628249</v>
      </c>
      <c r="I3744">
        <v>0.83498298793690073</v>
      </c>
      <c r="J3744">
        <v>0.80535540408958128</v>
      </c>
      <c r="K3744">
        <v>0.77050442818636888</v>
      </c>
      <c r="L3744">
        <v>0.86566643405443122</v>
      </c>
      <c r="M3744">
        <v>0.8830877402947116</v>
      </c>
      <c r="N3744">
        <v>0.85835948005378759</v>
      </c>
      <c r="O3744">
        <v>0.79900773728663399</v>
      </c>
      <c r="P3744">
        <v>0.79914454795804768</v>
      </c>
      <c r="Q3744">
        <v>0.76274041836304929</v>
      </c>
      <c r="R3744">
        <v>0.74358768836165434</v>
      </c>
    </row>
    <row r="3745" spans="4:19" x14ac:dyDescent="0.25">
      <c r="D3745" t="s">
        <v>103</v>
      </c>
      <c r="E3745">
        <v>2014</v>
      </c>
      <c r="F3745" t="s">
        <v>18</v>
      </c>
      <c r="G3745">
        <v>0.75181032469049291</v>
      </c>
      <c r="H3745">
        <v>0.68495386799148328</v>
      </c>
      <c r="I3745">
        <v>0.74415725119950471</v>
      </c>
      <c r="J3745">
        <v>0.76775910830144733</v>
      </c>
      <c r="K3745">
        <v>0.76040007080899275</v>
      </c>
      <c r="L3745">
        <v>0.79198741826007779</v>
      </c>
      <c r="M3745">
        <v>0.80173338836153529</v>
      </c>
      <c r="N3745">
        <v>0.8142036553524804</v>
      </c>
      <c r="O3745">
        <v>0.7876205575373233</v>
      </c>
      <c r="P3745">
        <v>0.79757869249394675</v>
      </c>
      <c r="Q3745">
        <v>0.77844508432743731</v>
      </c>
      <c r="R3745">
        <v>0.76224737267582865</v>
      </c>
    </row>
    <row r="3746" spans="4:19" x14ac:dyDescent="0.25">
      <c r="D3746" t="s">
        <v>103</v>
      </c>
      <c r="E3746">
        <v>2015</v>
      </c>
      <c r="F3746" t="s">
        <v>18</v>
      </c>
      <c r="G3746">
        <v>0.73517132162395626</v>
      </c>
      <c r="H3746">
        <v>0.71849186227202089</v>
      </c>
      <c r="I3746">
        <v>0.83061256218905477</v>
      </c>
      <c r="J3746">
        <v>0.92198030067392434</v>
      </c>
      <c r="K3746">
        <v>0.9318114143920595</v>
      </c>
      <c r="L3746">
        <v>0.92303826548926704</v>
      </c>
      <c r="M3746">
        <v>0.91771941489361697</v>
      </c>
    </row>
    <row r="3747" spans="4:19" x14ac:dyDescent="0.25">
      <c r="D3747" t="s">
        <v>103</v>
      </c>
      <c r="E3747">
        <v>2013</v>
      </c>
      <c r="F3747" t="s">
        <v>19</v>
      </c>
      <c r="S3747">
        <v>0.70805903322960195</v>
      </c>
    </row>
    <row r="3748" spans="4:19" x14ac:dyDescent="0.25">
      <c r="D3748" t="s">
        <v>103</v>
      </c>
      <c r="E3748">
        <v>2014</v>
      </c>
      <c r="F3748" t="s">
        <v>19</v>
      </c>
      <c r="S3748">
        <v>0.91195847723718859</v>
      </c>
    </row>
    <row r="3749" spans="4:19" x14ac:dyDescent="0.25">
      <c r="D3749" t="s">
        <v>103</v>
      </c>
      <c r="E3749">
        <v>2015</v>
      </c>
      <c r="F3749" t="s">
        <v>19</v>
      </c>
      <c r="S3749">
        <v>0.96738893573479112</v>
      </c>
    </row>
    <row r="3750" spans="4:19" x14ac:dyDescent="0.25">
      <c r="D3750" t="s">
        <v>103</v>
      </c>
      <c r="E3750">
        <v>2013</v>
      </c>
      <c r="F3750" t="s">
        <v>20</v>
      </c>
      <c r="G3750">
        <v>0.71114093622999353</v>
      </c>
      <c r="H3750">
        <v>0.67424626941427268</v>
      </c>
      <c r="I3750">
        <v>0.65791832031750097</v>
      </c>
      <c r="J3750">
        <v>0.62801524974085987</v>
      </c>
      <c r="K3750">
        <v>0.59728011303426354</v>
      </c>
      <c r="L3750">
        <v>0.69605083589218697</v>
      </c>
      <c r="M3750">
        <v>0.97139382979718458</v>
      </c>
      <c r="N3750">
        <v>0.80611835506519558</v>
      </c>
      <c r="O3750">
        <v>0.68340828873961057</v>
      </c>
      <c r="P3750">
        <v>0.74791466060303724</v>
      </c>
      <c r="Q3750">
        <v>0.63011742304030471</v>
      </c>
      <c r="R3750">
        <v>0.70782435594162429</v>
      </c>
    </row>
    <row r="3751" spans="4:19" x14ac:dyDescent="0.25">
      <c r="D3751" t="s">
        <v>103</v>
      </c>
      <c r="E3751">
        <v>2014</v>
      </c>
      <c r="F3751" t="s">
        <v>20</v>
      </c>
      <c r="G3751">
        <v>0.88401180443838356</v>
      </c>
      <c r="H3751">
        <v>0.93456318625110824</v>
      </c>
      <c r="I3751">
        <v>0.88354613411905936</v>
      </c>
      <c r="J3751">
        <v>0.83264533883728931</v>
      </c>
      <c r="K3751">
        <v>0.85598246518824139</v>
      </c>
      <c r="L3751">
        <v>0.98703291451282249</v>
      </c>
      <c r="M3751">
        <v>0.99594233037038915</v>
      </c>
      <c r="N3751">
        <v>0.99398698676239627</v>
      </c>
      <c r="O3751">
        <v>0.99735197257880237</v>
      </c>
      <c r="P3751">
        <v>0.99561890035519396</v>
      </c>
      <c r="Q3751">
        <v>0.98979823169349357</v>
      </c>
      <c r="R3751">
        <v>0.99378101395384999</v>
      </c>
    </row>
    <row r="3752" spans="4:19" x14ac:dyDescent="0.25">
      <c r="D3752" t="s">
        <v>103</v>
      </c>
      <c r="E3752">
        <v>2015</v>
      </c>
      <c r="F3752" t="s">
        <v>20</v>
      </c>
      <c r="G3752">
        <v>0.99001018010218156</v>
      </c>
      <c r="H3752">
        <v>0.9776455825626249</v>
      </c>
      <c r="I3752">
        <v>0.96668326197351384</v>
      </c>
      <c r="J3752">
        <v>0.97913263906129544</v>
      </c>
      <c r="K3752">
        <v>0.87351344682950904</v>
      </c>
      <c r="L3752">
        <v>0.98262913664672125</v>
      </c>
      <c r="M3752">
        <v>0.99096926052809431</v>
      </c>
    </row>
    <row r="3753" spans="4:19" x14ac:dyDescent="0.25">
      <c r="D3753" t="s">
        <v>103</v>
      </c>
      <c r="E3753">
        <v>2013</v>
      </c>
      <c r="F3753" t="s">
        <v>21</v>
      </c>
      <c r="S3753">
        <v>0.95719287454756219</v>
      </c>
    </row>
    <row r="3754" spans="4:19" x14ac:dyDescent="0.25">
      <c r="D3754" t="s">
        <v>103</v>
      </c>
      <c r="E3754">
        <v>2014</v>
      </c>
      <c r="F3754" t="s">
        <v>21</v>
      </c>
      <c r="S3754">
        <v>0.94147899632360332</v>
      </c>
    </row>
    <row r="3755" spans="4:19" x14ac:dyDescent="0.25">
      <c r="D3755" t="s">
        <v>103</v>
      </c>
      <c r="E3755">
        <v>2015</v>
      </c>
      <c r="F3755" t="s">
        <v>21</v>
      </c>
      <c r="S3755">
        <v>0.96503205099788103</v>
      </c>
    </row>
    <row r="3756" spans="4:19" x14ac:dyDescent="0.25">
      <c r="D3756" t="s">
        <v>103</v>
      </c>
      <c r="E3756">
        <v>2013</v>
      </c>
      <c r="F3756" t="s">
        <v>22</v>
      </c>
      <c r="G3756">
        <v>0.95813827261008211</v>
      </c>
      <c r="H3756">
        <v>0.97016497016497016</v>
      </c>
      <c r="I3756">
        <v>0.96819411427166158</v>
      </c>
      <c r="J3756">
        <v>0.9486394557823129</v>
      </c>
      <c r="K3756">
        <v>0.92019656019656015</v>
      </c>
      <c r="L3756">
        <v>0.95585623678646936</v>
      </c>
      <c r="M3756">
        <v>0.97300771208226222</v>
      </c>
      <c r="N3756">
        <v>0.87787787787787785</v>
      </c>
      <c r="O3756">
        <v>0.90784499054820411</v>
      </c>
      <c r="P3756">
        <v>0.83877667955880242</v>
      </c>
      <c r="Q3756">
        <v>0.80782588562167168</v>
      </c>
      <c r="R3756">
        <v>0.91898250257315106</v>
      </c>
    </row>
    <row r="3757" spans="4:19" x14ac:dyDescent="0.25">
      <c r="D3757" t="s">
        <v>103</v>
      </c>
      <c r="E3757">
        <v>2014</v>
      </c>
      <c r="F3757" t="s">
        <v>22</v>
      </c>
      <c r="G3757">
        <v>0.89635054617676269</v>
      </c>
      <c r="H3757">
        <v>0.92860932171277</v>
      </c>
      <c r="I3757">
        <v>0.90709389710132959</v>
      </c>
      <c r="J3757">
        <v>0.93025319047294075</v>
      </c>
      <c r="K3757">
        <v>0.93106753170156298</v>
      </c>
      <c r="L3757">
        <v>0.99424603174603177</v>
      </c>
      <c r="M3757">
        <v>0.99695966488750765</v>
      </c>
      <c r="N3757">
        <v>0.99854558676483951</v>
      </c>
      <c r="O3757">
        <v>0.99779400578122623</v>
      </c>
      <c r="P3757">
        <v>0.98855879867386076</v>
      </c>
      <c r="Q3757">
        <v>0.9873114849187935</v>
      </c>
      <c r="R3757">
        <v>0.99573892458572877</v>
      </c>
    </row>
    <row r="3758" spans="4:19" x14ac:dyDescent="0.25">
      <c r="D3758" t="s">
        <v>103</v>
      </c>
      <c r="E3758">
        <v>2015</v>
      </c>
      <c r="F3758" t="s">
        <v>22</v>
      </c>
      <c r="G3758">
        <v>0.97729352550903681</v>
      </c>
      <c r="H3758">
        <v>0.94832826747720367</v>
      </c>
      <c r="I3758">
        <v>0.97873541588257429</v>
      </c>
      <c r="J3758">
        <v>0.89786490198526658</v>
      </c>
      <c r="K3758">
        <v>0.98209898209898205</v>
      </c>
      <c r="L3758">
        <v>0.9921495108090691</v>
      </c>
      <c r="M3758">
        <v>0.97800125707102448</v>
      </c>
    </row>
    <row r="3759" spans="4:19" x14ac:dyDescent="0.25">
      <c r="D3759" t="s">
        <v>103</v>
      </c>
      <c r="E3759">
        <v>2013</v>
      </c>
      <c r="F3759" t="s">
        <v>23</v>
      </c>
      <c r="S3759">
        <v>180040</v>
      </c>
    </row>
    <row r="3760" spans="4:19" x14ac:dyDescent="0.25">
      <c r="D3760" t="s">
        <v>103</v>
      </c>
      <c r="E3760">
        <v>2014</v>
      </c>
      <c r="F3760" t="s">
        <v>23</v>
      </c>
      <c r="S3760">
        <v>199295</v>
      </c>
    </row>
    <row r="3761" spans="4:19" x14ac:dyDescent="0.25">
      <c r="D3761" t="s">
        <v>103</v>
      </c>
      <c r="E3761">
        <v>2015</v>
      </c>
      <c r="F3761" t="s">
        <v>23</v>
      </c>
      <c r="S3761">
        <v>144110</v>
      </c>
    </row>
    <row r="3762" spans="4:19" x14ac:dyDescent="0.25">
      <c r="D3762" t="s">
        <v>103</v>
      </c>
      <c r="E3762">
        <v>2013</v>
      </c>
      <c r="F3762" t="s">
        <v>24</v>
      </c>
      <c r="G3762">
        <v>27646</v>
      </c>
      <c r="H3762">
        <v>28084</v>
      </c>
      <c r="I3762">
        <v>26470</v>
      </c>
      <c r="J3762">
        <v>25353</v>
      </c>
      <c r="K3762">
        <v>27189</v>
      </c>
      <c r="L3762">
        <v>19420</v>
      </c>
      <c r="M3762">
        <v>25878</v>
      </c>
      <c r="N3762">
        <v>25827</v>
      </c>
      <c r="O3762">
        <v>33198</v>
      </c>
      <c r="P3762">
        <v>33428</v>
      </c>
      <c r="Q3762">
        <v>27660</v>
      </c>
      <c r="R3762">
        <v>27599</v>
      </c>
    </row>
    <row r="3763" spans="4:19" x14ac:dyDescent="0.25">
      <c r="D3763" t="s">
        <v>103</v>
      </c>
      <c r="E3763">
        <v>2014</v>
      </c>
      <c r="F3763" t="s">
        <v>24</v>
      </c>
      <c r="G3763">
        <v>37582</v>
      </c>
      <c r="H3763">
        <v>33653</v>
      </c>
      <c r="I3763">
        <v>25634</v>
      </c>
      <c r="J3763">
        <v>24010</v>
      </c>
      <c r="K3763">
        <v>23231</v>
      </c>
      <c r="L3763">
        <v>22934</v>
      </c>
      <c r="M3763">
        <v>32251</v>
      </c>
      <c r="N3763">
        <v>21006</v>
      </c>
      <c r="O3763">
        <v>28410</v>
      </c>
      <c r="P3763">
        <v>23062</v>
      </c>
      <c r="Q3763">
        <v>21069</v>
      </c>
      <c r="R3763">
        <v>24974</v>
      </c>
    </row>
    <row r="3764" spans="4:19" x14ac:dyDescent="0.25">
      <c r="D3764" t="s">
        <v>103</v>
      </c>
      <c r="E3764">
        <v>2015</v>
      </c>
      <c r="F3764" t="s">
        <v>24</v>
      </c>
      <c r="G3764">
        <v>23728</v>
      </c>
      <c r="H3764">
        <v>21714</v>
      </c>
      <c r="I3764">
        <v>21788</v>
      </c>
      <c r="J3764">
        <v>19182</v>
      </c>
      <c r="K3764">
        <v>16967</v>
      </c>
      <c r="L3764">
        <v>20463</v>
      </c>
      <c r="M3764">
        <v>20268</v>
      </c>
    </row>
    <row r="3765" spans="4:19" x14ac:dyDescent="0.25">
      <c r="D3765" t="s">
        <v>103</v>
      </c>
      <c r="E3765">
        <v>2013</v>
      </c>
      <c r="F3765" t="s">
        <v>25</v>
      </c>
      <c r="S3765">
        <v>403810</v>
      </c>
    </row>
    <row r="3766" spans="4:19" x14ac:dyDescent="0.25">
      <c r="D3766" t="s">
        <v>103</v>
      </c>
      <c r="E3766">
        <v>2014</v>
      </c>
      <c r="F3766" t="s">
        <v>25</v>
      </c>
      <c r="S3766">
        <v>444540</v>
      </c>
    </row>
    <row r="3767" spans="4:19" x14ac:dyDescent="0.25">
      <c r="D3767" t="s">
        <v>103</v>
      </c>
      <c r="E3767">
        <v>2015</v>
      </c>
      <c r="F3767" t="s">
        <v>25</v>
      </c>
      <c r="S3767">
        <v>480989</v>
      </c>
    </row>
    <row r="3768" spans="4:19" x14ac:dyDescent="0.25">
      <c r="D3768" t="s">
        <v>103</v>
      </c>
      <c r="E3768">
        <v>2013</v>
      </c>
      <c r="F3768" t="s">
        <v>26</v>
      </c>
      <c r="G3768">
        <v>71047</v>
      </c>
      <c r="H3768">
        <v>60731</v>
      </c>
      <c r="I3768">
        <v>52460</v>
      </c>
      <c r="J3768">
        <v>50502</v>
      </c>
      <c r="K3768">
        <v>48802</v>
      </c>
      <c r="L3768">
        <v>55125</v>
      </c>
      <c r="M3768">
        <v>65143</v>
      </c>
      <c r="N3768">
        <v>54968</v>
      </c>
      <c r="O3768">
        <v>67016</v>
      </c>
      <c r="P3768">
        <v>71285</v>
      </c>
      <c r="Q3768">
        <v>69634</v>
      </c>
      <c r="R3768">
        <v>77439</v>
      </c>
    </row>
    <row r="3769" spans="4:19" x14ac:dyDescent="0.25">
      <c r="D3769" t="s">
        <v>103</v>
      </c>
      <c r="E3769">
        <v>2014</v>
      </c>
      <c r="F3769" t="s">
        <v>26</v>
      </c>
      <c r="G3769">
        <v>81464</v>
      </c>
      <c r="H3769">
        <v>69019</v>
      </c>
      <c r="I3769">
        <v>60656</v>
      </c>
      <c r="J3769">
        <v>57387</v>
      </c>
      <c r="K3769">
        <v>53141</v>
      </c>
      <c r="L3769">
        <v>56702</v>
      </c>
      <c r="M3769">
        <v>66171</v>
      </c>
      <c r="N3769">
        <v>60359</v>
      </c>
      <c r="O3769">
        <v>71703</v>
      </c>
      <c r="P3769">
        <v>75912</v>
      </c>
      <c r="Q3769">
        <v>77914</v>
      </c>
      <c r="R3769">
        <v>80075</v>
      </c>
    </row>
    <row r="3770" spans="4:19" x14ac:dyDescent="0.25">
      <c r="D3770" t="s">
        <v>103</v>
      </c>
      <c r="E3770">
        <v>2015</v>
      </c>
      <c r="F3770" t="s">
        <v>26</v>
      </c>
      <c r="G3770">
        <v>86520</v>
      </c>
      <c r="H3770">
        <v>64307</v>
      </c>
      <c r="I3770">
        <v>69428</v>
      </c>
      <c r="J3770">
        <v>63271</v>
      </c>
      <c r="K3770">
        <v>55486</v>
      </c>
      <c r="L3770">
        <v>70710</v>
      </c>
      <c r="M3770">
        <v>71267</v>
      </c>
    </row>
    <row r="3771" spans="4:19" x14ac:dyDescent="0.25">
      <c r="D3771" t="s">
        <v>103</v>
      </c>
      <c r="E3771">
        <v>2013</v>
      </c>
      <c r="F3771" t="s">
        <v>27</v>
      </c>
      <c r="S3771">
        <v>715175</v>
      </c>
    </row>
    <row r="3772" spans="4:19" x14ac:dyDescent="0.25">
      <c r="D3772" t="s">
        <v>103</v>
      </c>
      <c r="E3772">
        <v>2014</v>
      </c>
      <c r="F3772" t="s">
        <v>27</v>
      </c>
      <c r="S3772">
        <v>753454</v>
      </c>
    </row>
    <row r="3773" spans="4:19" x14ac:dyDescent="0.25">
      <c r="D3773" t="s">
        <v>103</v>
      </c>
      <c r="E3773">
        <v>2015</v>
      </c>
      <c r="F3773" t="s">
        <v>27</v>
      </c>
      <c r="S3773">
        <v>818342</v>
      </c>
    </row>
    <row r="3774" spans="4:19" x14ac:dyDescent="0.25">
      <c r="D3774" t="s">
        <v>103</v>
      </c>
      <c r="E3774">
        <v>2013</v>
      </c>
      <c r="F3774" t="s">
        <v>28</v>
      </c>
      <c r="G3774">
        <v>125083</v>
      </c>
      <c r="H3774">
        <v>110535</v>
      </c>
      <c r="I3774">
        <v>95032</v>
      </c>
      <c r="J3774">
        <v>88845</v>
      </c>
      <c r="K3774">
        <v>86893</v>
      </c>
      <c r="L3774">
        <v>94295</v>
      </c>
      <c r="M3774">
        <v>114492</v>
      </c>
      <c r="N3774">
        <v>90405</v>
      </c>
      <c r="O3774">
        <v>113309</v>
      </c>
      <c r="P3774">
        <v>126315</v>
      </c>
      <c r="Q3774">
        <v>118953</v>
      </c>
      <c r="R3774">
        <v>128625</v>
      </c>
    </row>
    <row r="3775" spans="4:19" x14ac:dyDescent="0.25">
      <c r="D3775" t="s">
        <v>103</v>
      </c>
      <c r="E3775">
        <v>2014</v>
      </c>
      <c r="F3775" t="s">
        <v>28</v>
      </c>
      <c r="G3775">
        <v>132632</v>
      </c>
      <c r="H3775">
        <v>120087</v>
      </c>
      <c r="I3775">
        <v>106142</v>
      </c>
      <c r="J3775">
        <v>98899</v>
      </c>
      <c r="K3775">
        <v>88575</v>
      </c>
      <c r="L3775">
        <v>96490</v>
      </c>
      <c r="M3775">
        <v>110629</v>
      </c>
      <c r="N3775">
        <v>95776</v>
      </c>
      <c r="O3775">
        <v>119107</v>
      </c>
      <c r="P3775">
        <v>129631</v>
      </c>
      <c r="Q3775">
        <v>125818</v>
      </c>
      <c r="R3775">
        <v>134436</v>
      </c>
    </row>
    <row r="3776" spans="4:19" x14ac:dyDescent="0.25">
      <c r="D3776" t="s">
        <v>103</v>
      </c>
      <c r="E3776">
        <v>2015</v>
      </c>
      <c r="F3776" t="s">
        <v>28</v>
      </c>
      <c r="G3776">
        <v>140561</v>
      </c>
      <c r="H3776">
        <v>112625</v>
      </c>
      <c r="I3776">
        <v>122022</v>
      </c>
      <c r="J3776">
        <v>109062</v>
      </c>
      <c r="K3776">
        <v>93074</v>
      </c>
      <c r="L3776">
        <v>121235</v>
      </c>
      <c r="M3776">
        <v>119763</v>
      </c>
    </row>
    <row r="3777" spans="4:19" x14ac:dyDescent="0.25">
      <c r="D3777" t="s">
        <v>103</v>
      </c>
      <c r="E3777">
        <v>2013</v>
      </c>
      <c r="F3777" t="s">
        <v>29</v>
      </c>
      <c r="S3777">
        <v>93935</v>
      </c>
    </row>
    <row r="3778" spans="4:19" x14ac:dyDescent="0.25">
      <c r="D3778" t="s">
        <v>103</v>
      </c>
      <c r="E3778">
        <v>2014</v>
      </c>
      <c r="F3778" t="s">
        <v>29</v>
      </c>
      <c r="S3778">
        <v>91652</v>
      </c>
    </row>
    <row r="3779" spans="4:19" x14ac:dyDescent="0.25">
      <c r="D3779" t="s">
        <v>103</v>
      </c>
      <c r="E3779">
        <v>2015</v>
      </c>
      <c r="F3779" t="s">
        <v>29</v>
      </c>
      <c r="S3779">
        <v>86593</v>
      </c>
    </row>
    <row r="3780" spans="4:19" x14ac:dyDescent="0.25">
      <c r="D3780" t="s">
        <v>103</v>
      </c>
      <c r="E3780">
        <v>2013</v>
      </c>
      <c r="F3780" t="s">
        <v>30</v>
      </c>
      <c r="G3780">
        <v>17609</v>
      </c>
      <c r="H3780">
        <v>15306</v>
      </c>
      <c r="I3780">
        <v>12932</v>
      </c>
      <c r="J3780">
        <v>10270</v>
      </c>
      <c r="K3780">
        <v>12985</v>
      </c>
      <c r="L3780">
        <v>11464</v>
      </c>
      <c r="M3780">
        <v>13369</v>
      </c>
      <c r="N3780">
        <v>11155</v>
      </c>
      <c r="O3780">
        <v>16931</v>
      </c>
      <c r="P3780">
        <v>17067</v>
      </c>
      <c r="Q3780">
        <v>14246</v>
      </c>
      <c r="R3780">
        <v>12476</v>
      </c>
    </row>
    <row r="3781" spans="4:19" x14ac:dyDescent="0.25">
      <c r="D3781" t="s">
        <v>103</v>
      </c>
      <c r="E3781">
        <v>2014</v>
      </c>
      <c r="F3781" t="s">
        <v>30</v>
      </c>
      <c r="G3781">
        <v>17124</v>
      </c>
      <c r="H3781">
        <v>14090</v>
      </c>
      <c r="I3781">
        <v>12922</v>
      </c>
      <c r="J3781">
        <v>12022</v>
      </c>
      <c r="K3781">
        <v>11298</v>
      </c>
      <c r="L3781">
        <v>12081</v>
      </c>
      <c r="M3781">
        <v>12115</v>
      </c>
      <c r="N3781">
        <v>9575</v>
      </c>
      <c r="O3781">
        <v>15138</v>
      </c>
      <c r="P3781">
        <v>14455</v>
      </c>
      <c r="Q3781">
        <v>12155</v>
      </c>
      <c r="R3781">
        <v>12370</v>
      </c>
    </row>
    <row r="3782" spans="4:19" x14ac:dyDescent="0.25">
      <c r="D3782" t="s">
        <v>103</v>
      </c>
      <c r="E3782">
        <v>2015</v>
      </c>
      <c r="F3782" t="s">
        <v>30</v>
      </c>
      <c r="G3782">
        <v>13892</v>
      </c>
      <c r="H3782">
        <v>12227</v>
      </c>
      <c r="I3782">
        <v>12864</v>
      </c>
      <c r="J3782">
        <v>11574</v>
      </c>
      <c r="K3782">
        <v>10075</v>
      </c>
      <c r="L3782">
        <v>13929</v>
      </c>
      <c r="M3782">
        <v>12032</v>
      </c>
    </row>
    <row r="3783" spans="4:19" x14ac:dyDescent="0.25">
      <c r="D3783" t="s">
        <v>103</v>
      </c>
      <c r="E3783">
        <v>2013</v>
      </c>
      <c r="F3783" t="s">
        <v>31</v>
      </c>
      <c r="S3783">
        <v>0.72001777382803822</v>
      </c>
    </row>
    <row r="3784" spans="4:19" x14ac:dyDescent="0.25">
      <c r="D3784" t="s">
        <v>103</v>
      </c>
      <c r="E3784">
        <v>2014</v>
      </c>
      <c r="F3784" t="s">
        <v>31</v>
      </c>
      <c r="S3784">
        <v>0.93642590130208991</v>
      </c>
    </row>
    <row r="3785" spans="4:19" x14ac:dyDescent="0.25">
      <c r="D3785" t="s">
        <v>103</v>
      </c>
      <c r="E3785">
        <v>2015</v>
      </c>
      <c r="F3785" t="s">
        <v>31</v>
      </c>
      <c r="S3785">
        <v>0.91556449934078132</v>
      </c>
    </row>
    <row r="3786" spans="4:19" x14ac:dyDescent="0.25">
      <c r="D3786" t="s">
        <v>103</v>
      </c>
      <c r="E3786">
        <v>2013</v>
      </c>
      <c r="F3786" t="s">
        <v>32</v>
      </c>
      <c r="G3786">
        <v>0.74470086088403387</v>
      </c>
      <c r="H3786">
        <v>0.74469448796467741</v>
      </c>
      <c r="I3786">
        <v>0.70283339629769548</v>
      </c>
      <c r="J3786">
        <v>0.61688951997791186</v>
      </c>
      <c r="K3786">
        <v>0.59281327007245577</v>
      </c>
      <c r="L3786">
        <v>0.79984552008238929</v>
      </c>
      <c r="M3786">
        <v>0.85922405131772162</v>
      </c>
      <c r="N3786">
        <v>0.92372323537383361</v>
      </c>
      <c r="O3786">
        <v>0.91487439002349535</v>
      </c>
      <c r="P3786">
        <v>0.91396434127079096</v>
      </c>
      <c r="Q3786">
        <v>0.89233550253073035</v>
      </c>
      <c r="R3786">
        <v>0.94894742563136347</v>
      </c>
    </row>
    <row r="3787" spans="4:19" x14ac:dyDescent="0.25">
      <c r="D3787" t="s">
        <v>103</v>
      </c>
      <c r="E3787">
        <v>2014</v>
      </c>
      <c r="F3787" t="s">
        <v>32</v>
      </c>
      <c r="G3787">
        <v>0.95388749933478789</v>
      </c>
      <c r="H3787">
        <v>0.94158024544617125</v>
      </c>
      <c r="I3787">
        <v>0.9607552469376609</v>
      </c>
      <c r="J3787">
        <v>0.97197001249479387</v>
      </c>
      <c r="K3787">
        <v>0.96164607636347987</v>
      </c>
      <c r="L3787">
        <v>0.96319874422255169</v>
      </c>
      <c r="M3787">
        <v>0.82769526526309267</v>
      </c>
      <c r="N3787">
        <v>0.89536322955346093</v>
      </c>
      <c r="O3787">
        <v>0.86483632523759235</v>
      </c>
      <c r="P3787">
        <v>0.92181944323996179</v>
      </c>
      <c r="Q3787">
        <v>0.92254022497508192</v>
      </c>
      <c r="R3787">
        <v>0.92031712981500757</v>
      </c>
    </row>
    <row r="3788" spans="4:19" x14ac:dyDescent="0.25">
      <c r="D3788" t="s">
        <v>103</v>
      </c>
      <c r="E3788">
        <v>2015</v>
      </c>
      <c r="F3788" t="s">
        <v>32</v>
      </c>
      <c r="G3788">
        <v>0.92135873229939314</v>
      </c>
      <c r="H3788">
        <v>0.91507782997144704</v>
      </c>
      <c r="I3788">
        <v>0.90545254268404629</v>
      </c>
      <c r="J3788">
        <v>0.9277968929204462</v>
      </c>
      <c r="K3788">
        <v>0.9272705840749691</v>
      </c>
      <c r="L3788">
        <v>0.90348433758490931</v>
      </c>
      <c r="M3788">
        <v>0.91099269784882575</v>
      </c>
    </row>
    <row r="3789" spans="4:19" x14ac:dyDescent="0.25">
      <c r="D3789" t="s">
        <v>103</v>
      </c>
      <c r="E3789">
        <v>2013</v>
      </c>
      <c r="F3789" t="s">
        <v>33</v>
      </c>
      <c r="S3789">
        <v>0.69498315337065242</v>
      </c>
    </row>
    <row r="3790" spans="4:19" x14ac:dyDescent="0.25">
      <c r="D3790" t="s">
        <v>103</v>
      </c>
      <c r="E3790">
        <v>2014</v>
      </c>
      <c r="F3790" t="s">
        <v>33</v>
      </c>
      <c r="S3790">
        <v>0.93188421277504807</v>
      </c>
    </row>
    <row r="3791" spans="4:19" x14ac:dyDescent="0.25">
      <c r="D3791" t="s">
        <v>103</v>
      </c>
      <c r="E3791">
        <v>2015</v>
      </c>
      <c r="F3791" t="s">
        <v>33</v>
      </c>
      <c r="S3791">
        <v>0.93844516634927744</v>
      </c>
    </row>
    <row r="3792" spans="4:19" x14ac:dyDescent="0.25">
      <c r="D3792" t="s">
        <v>103</v>
      </c>
      <c r="E3792">
        <v>2013</v>
      </c>
      <c r="F3792" t="s">
        <v>34</v>
      </c>
      <c r="G3792">
        <v>0.75554350772567092</v>
      </c>
      <c r="H3792">
        <v>0.74300153313270112</v>
      </c>
      <c r="I3792">
        <v>0.68355918569395457</v>
      </c>
      <c r="J3792">
        <v>0.59060979101059263</v>
      </c>
      <c r="K3792">
        <v>0.51368376475570376</v>
      </c>
      <c r="L3792">
        <v>0.80805651585750793</v>
      </c>
      <c r="M3792">
        <v>0.87044642857142862</v>
      </c>
      <c r="N3792">
        <v>0.81660770806181349</v>
      </c>
      <c r="O3792">
        <v>0.78809238152369521</v>
      </c>
      <c r="P3792">
        <v>0.80256744696917692</v>
      </c>
      <c r="Q3792">
        <v>0.79158793477500178</v>
      </c>
      <c r="R3792">
        <v>0.89974384516863526</v>
      </c>
    </row>
    <row r="3793" spans="4:19" x14ac:dyDescent="0.25">
      <c r="D3793" t="s">
        <v>103</v>
      </c>
      <c r="E3793">
        <v>2014</v>
      </c>
      <c r="F3793" t="s">
        <v>34</v>
      </c>
      <c r="G3793">
        <v>0.89348494161032577</v>
      </c>
      <c r="H3793">
        <v>0.88446168312176776</v>
      </c>
      <c r="I3793">
        <v>0.92697974885679035</v>
      </c>
      <c r="J3793">
        <v>0.94545749250344435</v>
      </c>
      <c r="K3793">
        <v>0.92725342913128672</v>
      </c>
      <c r="L3793">
        <v>1.016746178560997</v>
      </c>
      <c r="M3793">
        <v>0.97606633045559454</v>
      </c>
      <c r="N3793">
        <v>0.9685815963396035</v>
      </c>
      <c r="O3793">
        <v>0.94673270768161277</v>
      </c>
      <c r="P3793">
        <v>0.95376826029216466</v>
      </c>
      <c r="Q3793">
        <v>0.93647187130782517</v>
      </c>
      <c r="R3793">
        <v>0.93356360696700225</v>
      </c>
    </row>
    <row r="3794" spans="4:19" x14ac:dyDescent="0.25">
      <c r="D3794" t="s">
        <v>103</v>
      </c>
      <c r="E3794">
        <v>2015</v>
      </c>
      <c r="F3794" t="s">
        <v>34</v>
      </c>
      <c r="G3794">
        <v>0.93817705099013315</v>
      </c>
      <c r="H3794">
        <v>0.92699503069277989</v>
      </c>
      <c r="I3794">
        <v>0.93740913056120967</v>
      </c>
      <c r="J3794">
        <v>0.96707536654377091</v>
      </c>
      <c r="K3794">
        <v>0.95541044776119399</v>
      </c>
      <c r="L3794">
        <v>0.92364008501928674</v>
      </c>
      <c r="M3794">
        <v>0.92596522732838138</v>
      </c>
    </row>
    <row r="3795" spans="4:19" x14ac:dyDescent="0.25">
      <c r="D3795" t="s">
        <v>104</v>
      </c>
      <c r="E3795">
        <v>2013</v>
      </c>
      <c r="F3795" t="s">
        <v>17</v>
      </c>
      <c r="S3795">
        <v>0.82054348548269218</v>
      </c>
    </row>
    <row r="3796" spans="4:19" x14ac:dyDescent="0.25">
      <c r="D3796" t="s">
        <v>104</v>
      </c>
      <c r="E3796">
        <v>2014</v>
      </c>
      <c r="F3796" t="s">
        <v>17</v>
      </c>
      <c r="S3796">
        <v>0.88302048285225199</v>
      </c>
    </row>
    <row r="3797" spans="4:19" x14ac:dyDescent="0.25">
      <c r="D3797" t="s">
        <v>104</v>
      </c>
      <c r="E3797">
        <v>2015</v>
      </c>
      <c r="F3797" t="s">
        <v>17</v>
      </c>
      <c r="S3797">
        <v>0.99770286098223127</v>
      </c>
    </row>
    <row r="3798" spans="4:19" x14ac:dyDescent="0.25">
      <c r="D3798" t="s">
        <v>104</v>
      </c>
      <c r="E3798">
        <v>2013</v>
      </c>
      <c r="F3798" t="s">
        <v>18</v>
      </c>
      <c r="G3798">
        <v>0.71816760851268491</v>
      </c>
      <c r="H3798">
        <v>0.7855228866130749</v>
      </c>
      <c r="I3798">
        <v>0.8697366894791787</v>
      </c>
      <c r="J3798">
        <v>0.85811905044041548</v>
      </c>
      <c r="K3798">
        <v>0.8284662045060659</v>
      </c>
      <c r="L3798">
        <v>0.87581315504156121</v>
      </c>
      <c r="M3798">
        <v>0.85133937987766295</v>
      </c>
      <c r="N3798">
        <v>0.84152404627593458</v>
      </c>
      <c r="O3798">
        <v>0.81694733070584025</v>
      </c>
      <c r="P3798">
        <v>0.83845966704896957</v>
      </c>
      <c r="Q3798">
        <v>0.75173044792744048</v>
      </c>
      <c r="R3798">
        <v>0.76391096979332274</v>
      </c>
    </row>
    <row r="3799" spans="4:19" x14ac:dyDescent="0.25">
      <c r="D3799" t="s">
        <v>104</v>
      </c>
      <c r="E3799">
        <v>2014</v>
      </c>
      <c r="F3799" t="s">
        <v>18</v>
      </c>
      <c r="G3799">
        <v>0.75878126252814015</v>
      </c>
      <c r="H3799">
        <v>0.82570093457943927</v>
      </c>
      <c r="I3799">
        <v>0.87834007452466634</v>
      </c>
      <c r="J3799">
        <v>0.97912265878045346</v>
      </c>
      <c r="K3799">
        <v>0.91446198099996212</v>
      </c>
      <c r="L3799">
        <v>0.94131402278041787</v>
      </c>
      <c r="M3799">
        <v>0.9179698005916932</v>
      </c>
      <c r="N3799">
        <v>0.97029217719132899</v>
      </c>
      <c r="O3799">
        <v>0.89947542479188047</v>
      </c>
      <c r="P3799">
        <v>0.89830806158889998</v>
      </c>
      <c r="Q3799">
        <v>0.96209619526202439</v>
      </c>
      <c r="R3799">
        <v>0.9989646425428379</v>
      </c>
    </row>
    <row r="3800" spans="4:19" x14ac:dyDescent="0.25">
      <c r="D3800" t="s">
        <v>104</v>
      </c>
      <c r="E3800">
        <v>2015</v>
      </c>
      <c r="F3800" t="s">
        <v>18</v>
      </c>
      <c r="G3800">
        <v>0.99800120562200578</v>
      </c>
      <c r="H3800">
        <v>0.99817898022892815</v>
      </c>
      <c r="I3800">
        <v>0.99759361903474386</v>
      </c>
      <c r="J3800">
        <v>0.9985186681479985</v>
      </c>
      <c r="K3800">
        <v>0.99761152943081532</v>
      </c>
      <c r="L3800">
        <v>0.99668743352074152</v>
      </c>
      <c r="M3800">
        <v>0.99723289777094548</v>
      </c>
    </row>
    <row r="3801" spans="4:19" x14ac:dyDescent="0.25">
      <c r="D3801" t="s">
        <v>104</v>
      </c>
      <c r="E3801">
        <v>2013</v>
      </c>
      <c r="F3801" t="s">
        <v>19</v>
      </c>
      <c r="S3801">
        <v>0.68367925848017452</v>
      </c>
    </row>
    <row r="3802" spans="4:19" x14ac:dyDescent="0.25">
      <c r="D3802" t="s">
        <v>104</v>
      </c>
      <c r="E3802">
        <v>2014</v>
      </c>
      <c r="F3802" t="s">
        <v>19</v>
      </c>
      <c r="S3802">
        <v>0.99758513298422846</v>
      </c>
    </row>
    <row r="3803" spans="4:19" x14ac:dyDescent="0.25">
      <c r="D3803" t="s">
        <v>104</v>
      </c>
      <c r="E3803">
        <v>2015</v>
      </c>
      <c r="F3803" t="s">
        <v>19</v>
      </c>
      <c r="S3803">
        <v>0.99655328585388547</v>
      </c>
    </row>
    <row r="3804" spans="4:19" x14ac:dyDescent="0.25">
      <c r="D3804" t="s">
        <v>104</v>
      </c>
      <c r="E3804">
        <v>2013</v>
      </c>
      <c r="F3804" t="s">
        <v>20</v>
      </c>
      <c r="G3804">
        <v>0.57724569274159376</v>
      </c>
      <c r="H3804">
        <v>0.59456864361573158</v>
      </c>
      <c r="I3804">
        <v>0.52174938310075036</v>
      </c>
      <c r="J3804">
        <v>0.52289073516134599</v>
      </c>
      <c r="K3804">
        <v>0.60218483540767609</v>
      </c>
      <c r="L3804">
        <v>0.9797165200391007</v>
      </c>
      <c r="M3804">
        <v>0.99523260730779117</v>
      </c>
      <c r="N3804">
        <v>0.99946713390292807</v>
      </c>
      <c r="O3804">
        <v>0.99940219711967704</v>
      </c>
      <c r="P3804">
        <v>0.99734334750628473</v>
      </c>
      <c r="Q3804">
        <v>0.99625221794261476</v>
      </c>
      <c r="R3804">
        <v>0.99798396462183081</v>
      </c>
    </row>
    <row r="3805" spans="4:19" x14ac:dyDescent="0.25">
      <c r="D3805" t="s">
        <v>104</v>
      </c>
      <c r="E3805">
        <v>2014</v>
      </c>
      <c r="F3805" t="s">
        <v>20</v>
      </c>
      <c r="G3805">
        <v>0.99881922477004037</v>
      </c>
      <c r="H3805">
        <v>0.99845096930595678</v>
      </c>
      <c r="I3805">
        <v>0.99754810465944954</v>
      </c>
      <c r="J3805">
        <v>0.99606498397886334</v>
      </c>
      <c r="K3805">
        <v>0.99678382521020314</v>
      </c>
      <c r="L3805">
        <v>0.99735032032086535</v>
      </c>
      <c r="M3805">
        <v>0.9975995704494488</v>
      </c>
      <c r="N3805">
        <v>0.99865235416881137</v>
      </c>
      <c r="O3805">
        <v>0.99886370512811895</v>
      </c>
      <c r="P3805">
        <v>0.9989320115835667</v>
      </c>
      <c r="Q3805">
        <v>0.99877564000636032</v>
      </c>
      <c r="R3805">
        <v>0.99884830936681346</v>
      </c>
    </row>
    <row r="3806" spans="4:19" x14ac:dyDescent="0.25">
      <c r="D3806" t="s">
        <v>104</v>
      </c>
      <c r="E3806">
        <v>2015</v>
      </c>
      <c r="F3806" t="s">
        <v>20</v>
      </c>
      <c r="G3806">
        <v>0.9893585908939847</v>
      </c>
      <c r="H3806">
        <v>0.99787579377248559</v>
      </c>
      <c r="I3806">
        <v>0.99708610121626395</v>
      </c>
      <c r="J3806">
        <v>0.99767265455297727</v>
      </c>
      <c r="K3806">
        <v>0.99574621053262236</v>
      </c>
      <c r="L3806">
        <v>0.99947888589398026</v>
      </c>
      <c r="M3806">
        <v>0.99867712637710437</v>
      </c>
    </row>
    <row r="3807" spans="4:19" x14ac:dyDescent="0.25">
      <c r="D3807" t="s">
        <v>104</v>
      </c>
      <c r="E3807">
        <v>2013</v>
      </c>
      <c r="F3807" t="s">
        <v>21</v>
      </c>
      <c r="S3807">
        <v>0.99773883550028264</v>
      </c>
    </row>
    <row r="3808" spans="4:19" x14ac:dyDescent="0.25">
      <c r="D3808" t="s">
        <v>104</v>
      </c>
      <c r="E3808">
        <v>2014</v>
      </c>
      <c r="F3808" t="s">
        <v>21</v>
      </c>
      <c r="S3808">
        <v>0.99971483821524365</v>
      </c>
    </row>
    <row r="3809" spans="4:19" x14ac:dyDescent="0.25">
      <c r="D3809" t="s">
        <v>104</v>
      </c>
      <c r="E3809">
        <v>2015</v>
      </c>
      <c r="F3809" t="s">
        <v>21</v>
      </c>
      <c r="S3809">
        <v>0.99903019380851288</v>
      </c>
    </row>
    <row r="3810" spans="4:19" x14ac:dyDescent="0.25">
      <c r="D3810" t="s">
        <v>104</v>
      </c>
      <c r="E3810">
        <v>2013</v>
      </c>
      <c r="F3810" t="s">
        <v>22</v>
      </c>
      <c r="G3810">
        <v>0.99897529318000688</v>
      </c>
      <c r="H3810">
        <v>0.99909379247847752</v>
      </c>
      <c r="I3810">
        <v>0.99828319773083529</v>
      </c>
      <c r="J3810">
        <v>0.99650069986002798</v>
      </c>
      <c r="K3810">
        <v>0.9929052855622561</v>
      </c>
      <c r="L3810">
        <v>0.99836047655481475</v>
      </c>
      <c r="M3810">
        <v>0.99865272342336564</v>
      </c>
      <c r="N3810">
        <v>0.9991861648016277</v>
      </c>
      <c r="O3810">
        <v>0.99932411674347155</v>
      </c>
      <c r="P3810">
        <v>0.99897336143080995</v>
      </c>
      <c r="Q3810">
        <v>0.99890901156447742</v>
      </c>
      <c r="R3810">
        <v>0.9989449512815739</v>
      </c>
    </row>
    <row r="3811" spans="4:19" x14ac:dyDescent="0.25">
      <c r="D3811" t="s">
        <v>104</v>
      </c>
      <c r="E3811">
        <v>2014</v>
      </c>
      <c r="F3811" t="s">
        <v>22</v>
      </c>
      <c r="G3811">
        <v>0.99969803724207351</v>
      </c>
      <c r="H3811">
        <v>0.9995334732913459</v>
      </c>
      <c r="I3811">
        <v>0.99962498660666455</v>
      </c>
      <c r="J3811">
        <v>0.9996003197442046</v>
      </c>
      <c r="K3811">
        <v>0.99985956042412749</v>
      </c>
      <c r="L3811">
        <v>0.99992585452658111</v>
      </c>
      <c r="M3811">
        <v>0.99977876106194685</v>
      </c>
      <c r="N3811">
        <v>0.99965721141485986</v>
      </c>
      <c r="O3811">
        <v>0.99987590742694055</v>
      </c>
      <c r="P3811">
        <v>0.99950717673874212</v>
      </c>
      <c r="Q3811">
        <v>0.99947760219407078</v>
      </c>
      <c r="R3811">
        <v>0.99939997599903996</v>
      </c>
    </row>
    <row r="3812" spans="4:19" x14ac:dyDescent="0.25">
      <c r="D3812" t="s">
        <v>104</v>
      </c>
      <c r="E3812">
        <v>2015</v>
      </c>
      <c r="F3812" t="s">
        <v>22</v>
      </c>
      <c r="G3812">
        <v>0.99797519615287267</v>
      </c>
      <c r="H3812">
        <v>0.99912989434431321</v>
      </c>
      <c r="I3812">
        <v>0.99852623822306441</v>
      </c>
      <c r="J3812">
        <v>0.99928359430969194</v>
      </c>
      <c r="K3812">
        <v>0.99931530297843207</v>
      </c>
      <c r="L3812">
        <v>0.99948469545501395</v>
      </c>
      <c r="M3812">
        <v>0.99954165817885521</v>
      </c>
    </row>
    <row r="3813" spans="4:19" x14ac:dyDescent="0.25">
      <c r="D3813" t="s">
        <v>104</v>
      </c>
      <c r="E3813">
        <v>2013</v>
      </c>
      <c r="F3813" t="s">
        <v>23</v>
      </c>
      <c r="S3813">
        <v>236397</v>
      </c>
    </row>
    <row r="3814" spans="4:19" x14ac:dyDescent="0.25">
      <c r="D3814" t="s">
        <v>104</v>
      </c>
      <c r="E3814">
        <v>2014</v>
      </c>
      <c r="F3814" t="s">
        <v>23</v>
      </c>
      <c r="S3814">
        <v>202074</v>
      </c>
    </row>
    <row r="3815" spans="4:19" x14ac:dyDescent="0.25">
      <c r="D3815" t="s">
        <v>104</v>
      </c>
      <c r="E3815">
        <v>2015</v>
      </c>
      <c r="F3815" t="s">
        <v>23</v>
      </c>
      <c r="S3815">
        <v>214520</v>
      </c>
    </row>
    <row r="3816" spans="4:19" x14ac:dyDescent="0.25">
      <c r="D3816" t="s">
        <v>104</v>
      </c>
      <c r="E3816">
        <v>2013</v>
      </c>
      <c r="F3816" t="s">
        <v>24</v>
      </c>
      <c r="G3816">
        <v>43454</v>
      </c>
      <c r="H3816">
        <v>39130</v>
      </c>
      <c r="I3816">
        <v>33009</v>
      </c>
      <c r="J3816">
        <v>31617</v>
      </c>
      <c r="K3816">
        <v>32420</v>
      </c>
      <c r="L3816">
        <v>27506</v>
      </c>
      <c r="M3816">
        <v>29261</v>
      </c>
      <c r="N3816">
        <v>30123</v>
      </c>
      <c r="O3816">
        <v>28755</v>
      </c>
      <c r="P3816">
        <v>28945</v>
      </c>
      <c r="Q3816">
        <v>27253</v>
      </c>
      <c r="R3816">
        <v>28933</v>
      </c>
    </row>
    <row r="3817" spans="4:19" x14ac:dyDescent="0.25">
      <c r="D3817" t="s">
        <v>104</v>
      </c>
      <c r="E3817">
        <v>2014</v>
      </c>
      <c r="F3817" t="s">
        <v>24</v>
      </c>
      <c r="G3817">
        <v>34270</v>
      </c>
      <c r="H3817">
        <v>33468</v>
      </c>
      <c r="I3817">
        <v>27266</v>
      </c>
      <c r="J3817">
        <v>24446</v>
      </c>
      <c r="K3817">
        <v>25582</v>
      </c>
      <c r="L3817">
        <v>26632</v>
      </c>
      <c r="M3817">
        <v>30410</v>
      </c>
      <c r="N3817">
        <v>29183</v>
      </c>
      <c r="O3817">
        <v>36586</v>
      </c>
      <c r="P3817">
        <v>32599</v>
      </c>
      <c r="Q3817">
        <v>28865</v>
      </c>
      <c r="R3817">
        <v>31823</v>
      </c>
    </row>
    <row r="3818" spans="4:19" x14ac:dyDescent="0.25">
      <c r="D3818" t="s">
        <v>104</v>
      </c>
      <c r="E3818">
        <v>2015</v>
      </c>
      <c r="F3818" t="s">
        <v>24</v>
      </c>
      <c r="G3818">
        <v>33910</v>
      </c>
      <c r="H3818">
        <v>32942</v>
      </c>
      <c r="I3818">
        <v>31843</v>
      </c>
      <c r="J3818">
        <v>28034</v>
      </c>
      <c r="K3818">
        <v>25581</v>
      </c>
      <c r="L3818">
        <v>30308</v>
      </c>
      <c r="M3818">
        <v>31902</v>
      </c>
    </row>
    <row r="3819" spans="4:19" x14ac:dyDescent="0.25">
      <c r="D3819" t="s">
        <v>104</v>
      </c>
      <c r="E3819">
        <v>2013</v>
      </c>
      <c r="F3819" t="s">
        <v>25</v>
      </c>
      <c r="S3819">
        <v>710723</v>
      </c>
    </row>
    <row r="3820" spans="4:19" x14ac:dyDescent="0.25">
      <c r="D3820" t="s">
        <v>104</v>
      </c>
      <c r="E3820">
        <v>2014</v>
      </c>
      <c r="F3820" t="s">
        <v>25</v>
      </c>
      <c r="S3820">
        <v>714905</v>
      </c>
    </row>
    <row r="3821" spans="4:19" x14ac:dyDescent="0.25">
      <c r="D3821" t="s">
        <v>104</v>
      </c>
      <c r="E3821">
        <v>2015</v>
      </c>
      <c r="F3821" t="s">
        <v>25</v>
      </c>
      <c r="S3821">
        <v>781495</v>
      </c>
    </row>
    <row r="3822" spans="4:19" x14ac:dyDescent="0.25">
      <c r="D3822" t="s">
        <v>104</v>
      </c>
      <c r="E3822">
        <v>2013</v>
      </c>
      <c r="F3822" t="s">
        <v>26</v>
      </c>
      <c r="G3822">
        <v>124078</v>
      </c>
      <c r="H3822">
        <v>99282</v>
      </c>
      <c r="I3822">
        <v>96934</v>
      </c>
      <c r="J3822">
        <v>96104</v>
      </c>
      <c r="K3822">
        <v>87863</v>
      </c>
      <c r="L3822">
        <v>95284</v>
      </c>
      <c r="M3822">
        <v>111178</v>
      </c>
      <c r="N3822">
        <v>107597</v>
      </c>
      <c r="O3822">
        <v>127214</v>
      </c>
      <c r="P3822">
        <v>134226</v>
      </c>
      <c r="Q3822">
        <v>125648</v>
      </c>
      <c r="R3822">
        <v>113783</v>
      </c>
    </row>
    <row r="3823" spans="4:19" x14ac:dyDescent="0.25">
      <c r="D3823" t="s">
        <v>104</v>
      </c>
      <c r="E3823">
        <v>2014</v>
      </c>
      <c r="F3823" t="s">
        <v>26</v>
      </c>
      <c r="G3823">
        <v>120178</v>
      </c>
      <c r="H3823">
        <v>107898</v>
      </c>
      <c r="I3823">
        <v>98109</v>
      </c>
      <c r="J3823">
        <v>91964</v>
      </c>
      <c r="K3823">
        <v>92723</v>
      </c>
      <c r="L3823">
        <v>94640</v>
      </c>
      <c r="M3823">
        <v>109393</v>
      </c>
      <c r="N3823">
        <v>108243</v>
      </c>
      <c r="O3823">
        <v>131109</v>
      </c>
      <c r="P3823">
        <v>132673</v>
      </c>
      <c r="Q3823">
        <v>137269</v>
      </c>
      <c r="R3823">
        <v>130845</v>
      </c>
    </row>
    <row r="3824" spans="4:19" x14ac:dyDescent="0.25">
      <c r="D3824" t="s">
        <v>104</v>
      </c>
      <c r="E3824">
        <v>2015</v>
      </c>
      <c r="F3824" t="s">
        <v>26</v>
      </c>
      <c r="G3824">
        <v>126377</v>
      </c>
      <c r="H3824">
        <v>107381</v>
      </c>
      <c r="I3824">
        <v>111899</v>
      </c>
      <c r="J3824">
        <v>105124</v>
      </c>
      <c r="K3824">
        <v>92919</v>
      </c>
      <c r="L3824">
        <v>118241</v>
      </c>
      <c r="M3824">
        <v>119554</v>
      </c>
    </row>
    <row r="3825" spans="4:19" x14ac:dyDescent="0.25">
      <c r="D3825" t="s">
        <v>104</v>
      </c>
      <c r="E3825">
        <v>2013</v>
      </c>
      <c r="F3825" t="s">
        <v>27</v>
      </c>
      <c r="S3825">
        <v>1179703</v>
      </c>
    </row>
    <row r="3826" spans="4:19" x14ac:dyDescent="0.25">
      <c r="D3826" t="s">
        <v>104</v>
      </c>
      <c r="E3826">
        <v>2014</v>
      </c>
      <c r="F3826" t="s">
        <v>27</v>
      </c>
      <c r="S3826">
        <v>1173548</v>
      </c>
    </row>
    <row r="3827" spans="4:19" x14ac:dyDescent="0.25">
      <c r="D3827" t="s">
        <v>104</v>
      </c>
      <c r="E3827">
        <v>2015</v>
      </c>
      <c r="F3827" t="s">
        <v>27</v>
      </c>
      <c r="S3827">
        <v>1278299</v>
      </c>
    </row>
    <row r="3828" spans="4:19" x14ac:dyDescent="0.25">
      <c r="D3828" t="s">
        <v>104</v>
      </c>
      <c r="E3828">
        <v>2013</v>
      </c>
      <c r="F3828" t="s">
        <v>28</v>
      </c>
      <c r="G3828">
        <v>202068</v>
      </c>
      <c r="H3828">
        <v>168683</v>
      </c>
      <c r="I3828">
        <v>164127</v>
      </c>
      <c r="J3828">
        <v>161044</v>
      </c>
      <c r="K3828">
        <v>147663</v>
      </c>
      <c r="L3828">
        <v>155850</v>
      </c>
      <c r="M3828">
        <v>180268</v>
      </c>
      <c r="N3828">
        <v>176869</v>
      </c>
      <c r="O3828">
        <v>220381</v>
      </c>
      <c r="P3828">
        <v>222201</v>
      </c>
      <c r="Q3828">
        <v>199898</v>
      </c>
      <c r="R3828">
        <v>180746</v>
      </c>
    </row>
    <row r="3829" spans="4:19" x14ac:dyDescent="0.25">
      <c r="D3829" t="s">
        <v>104</v>
      </c>
      <c r="E3829">
        <v>2014</v>
      </c>
      <c r="F3829" t="s">
        <v>28</v>
      </c>
      <c r="G3829">
        <v>195918</v>
      </c>
      <c r="H3829">
        <v>182368</v>
      </c>
      <c r="I3829">
        <v>164322</v>
      </c>
      <c r="J3829">
        <v>152723</v>
      </c>
      <c r="K3829">
        <v>149596</v>
      </c>
      <c r="L3829">
        <v>154265</v>
      </c>
      <c r="M3829">
        <v>174356</v>
      </c>
      <c r="N3829">
        <v>172090</v>
      </c>
      <c r="O3829">
        <v>220687</v>
      </c>
      <c r="P3829">
        <v>216048</v>
      </c>
      <c r="Q3829">
        <v>207912</v>
      </c>
      <c r="R3829">
        <v>210884</v>
      </c>
    </row>
    <row r="3830" spans="4:19" x14ac:dyDescent="0.25">
      <c r="D3830" t="s">
        <v>104</v>
      </c>
      <c r="E3830">
        <v>2015</v>
      </c>
      <c r="F3830" t="s">
        <v>28</v>
      </c>
      <c r="G3830">
        <v>205220</v>
      </c>
      <c r="H3830">
        <v>179509</v>
      </c>
      <c r="I3830">
        <v>187547</v>
      </c>
      <c r="J3830">
        <v>168756</v>
      </c>
      <c r="K3830">
        <v>148767</v>
      </c>
      <c r="L3830">
        <v>194323</v>
      </c>
      <c r="M3830">
        <v>194177</v>
      </c>
    </row>
    <row r="3831" spans="4:19" x14ac:dyDescent="0.25">
      <c r="D3831" t="s">
        <v>104</v>
      </c>
      <c r="E3831">
        <v>2013</v>
      </c>
      <c r="F3831" t="s">
        <v>29</v>
      </c>
      <c r="S3831">
        <v>180612</v>
      </c>
    </row>
    <row r="3832" spans="4:19" x14ac:dyDescent="0.25">
      <c r="D3832" t="s">
        <v>104</v>
      </c>
      <c r="E3832">
        <v>2014</v>
      </c>
      <c r="F3832" t="s">
        <v>29</v>
      </c>
      <c r="S3832">
        <v>203292</v>
      </c>
    </row>
    <row r="3833" spans="4:19" x14ac:dyDescent="0.25">
      <c r="D3833" t="s">
        <v>104</v>
      </c>
      <c r="E3833">
        <v>2015</v>
      </c>
      <c r="F3833" t="s">
        <v>29</v>
      </c>
      <c r="S3833">
        <v>220274</v>
      </c>
    </row>
    <row r="3834" spans="4:19" x14ac:dyDescent="0.25">
      <c r="D3834" t="s">
        <v>104</v>
      </c>
      <c r="E3834">
        <v>2013</v>
      </c>
      <c r="F3834" t="s">
        <v>30</v>
      </c>
      <c r="G3834">
        <v>33268</v>
      </c>
      <c r="H3834">
        <v>27243</v>
      </c>
      <c r="I3834">
        <v>25863</v>
      </c>
      <c r="J3834">
        <v>25317</v>
      </c>
      <c r="K3834">
        <v>23080</v>
      </c>
      <c r="L3834">
        <v>22136</v>
      </c>
      <c r="M3834">
        <v>23705</v>
      </c>
      <c r="N3834">
        <v>20918</v>
      </c>
      <c r="O3834">
        <v>27910</v>
      </c>
      <c r="P3834">
        <v>28773</v>
      </c>
      <c r="Q3834">
        <v>25138</v>
      </c>
      <c r="R3834">
        <v>23902</v>
      </c>
    </row>
    <row r="3835" spans="4:19" x14ac:dyDescent="0.25">
      <c r="D3835" t="s">
        <v>104</v>
      </c>
      <c r="E3835">
        <v>2014</v>
      </c>
      <c r="F3835" t="s">
        <v>30</v>
      </c>
      <c r="G3835">
        <v>32427</v>
      </c>
      <c r="H3835">
        <v>32100</v>
      </c>
      <c r="I3835">
        <v>31399</v>
      </c>
      <c r="J3835">
        <v>28404</v>
      </c>
      <c r="K3835">
        <v>26421</v>
      </c>
      <c r="L3835">
        <v>26514</v>
      </c>
      <c r="M3835">
        <v>26027</v>
      </c>
      <c r="N3835">
        <v>26525</v>
      </c>
      <c r="O3835">
        <v>35076</v>
      </c>
      <c r="P3835">
        <v>34162</v>
      </c>
      <c r="Q3835">
        <v>34825</v>
      </c>
      <c r="R3835">
        <v>38634</v>
      </c>
    </row>
    <row r="3836" spans="4:19" x14ac:dyDescent="0.25">
      <c r="D3836" t="s">
        <v>104</v>
      </c>
      <c r="E3836">
        <v>2015</v>
      </c>
      <c r="F3836" t="s">
        <v>30</v>
      </c>
      <c r="G3836">
        <v>31519</v>
      </c>
      <c r="H3836">
        <v>38440</v>
      </c>
      <c r="I3836">
        <v>36985</v>
      </c>
      <c r="J3836">
        <v>29703</v>
      </c>
      <c r="K3836">
        <v>24702</v>
      </c>
      <c r="L3836">
        <v>32905</v>
      </c>
      <c r="M3836">
        <v>26020</v>
      </c>
    </row>
    <row r="3837" spans="4:19" x14ac:dyDescent="0.25">
      <c r="D3837" t="s">
        <v>104</v>
      </c>
      <c r="E3837">
        <v>2013</v>
      </c>
      <c r="F3837" t="s">
        <v>31</v>
      </c>
      <c r="S3837">
        <v>0.87828948759925041</v>
      </c>
    </row>
    <row r="3838" spans="4:19" x14ac:dyDescent="0.25">
      <c r="D3838" t="s">
        <v>104</v>
      </c>
      <c r="E3838">
        <v>2014</v>
      </c>
      <c r="F3838" t="s">
        <v>31</v>
      </c>
      <c r="S3838">
        <v>0.93635499866385585</v>
      </c>
    </row>
    <row r="3839" spans="4:19" x14ac:dyDescent="0.25">
      <c r="D3839" t="s">
        <v>104</v>
      </c>
      <c r="E3839">
        <v>2015</v>
      </c>
      <c r="F3839" t="s">
        <v>31</v>
      </c>
      <c r="S3839">
        <v>0.91646932686928961</v>
      </c>
    </row>
    <row r="3840" spans="4:19" x14ac:dyDescent="0.25">
      <c r="D3840" t="s">
        <v>104</v>
      </c>
      <c r="E3840">
        <v>2013</v>
      </c>
      <c r="F3840" t="s">
        <v>32</v>
      </c>
      <c r="G3840">
        <v>0.84298338472867862</v>
      </c>
      <c r="H3840">
        <v>0.83069256325070273</v>
      </c>
      <c r="I3840">
        <v>0.90832803174891696</v>
      </c>
      <c r="J3840">
        <v>0.88515671948635233</v>
      </c>
      <c r="K3840">
        <v>0.85092535471930908</v>
      </c>
      <c r="L3840">
        <v>0.90841998109503386</v>
      </c>
      <c r="M3840">
        <v>0.95505963569256003</v>
      </c>
      <c r="N3840">
        <v>0.95847027188527034</v>
      </c>
      <c r="O3840">
        <v>0.95399061032863852</v>
      </c>
      <c r="P3840">
        <v>0.95574365175332532</v>
      </c>
      <c r="Q3840">
        <v>0.93116354162844461</v>
      </c>
      <c r="R3840">
        <v>0.95313310061175816</v>
      </c>
    </row>
    <row r="3841" spans="4:19" x14ac:dyDescent="0.25">
      <c r="D3841" t="s">
        <v>104</v>
      </c>
      <c r="E3841">
        <v>2014</v>
      </c>
      <c r="F3841" t="s">
        <v>32</v>
      </c>
      <c r="G3841">
        <v>0.94960606944849724</v>
      </c>
      <c r="H3841">
        <v>0.95317915620891602</v>
      </c>
      <c r="I3841">
        <v>0.96211398811706883</v>
      </c>
      <c r="J3841">
        <v>0.9452262128773623</v>
      </c>
      <c r="K3841">
        <v>0.94554765069189273</v>
      </c>
      <c r="L3841">
        <v>0.89572694502853711</v>
      </c>
      <c r="M3841">
        <v>0.90052614271621179</v>
      </c>
      <c r="N3841">
        <v>0.89617242915395945</v>
      </c>
      <c r="O3841">
        <v>0.9285792379598754</v>
      </c>
      <c r="P3841">
        <v>0.92131660480382838</v>
      </c>
      <c r="Q3841">
        <v>0.93428027022345406</v>
      </c>
      <c r="R3841">
        <v>0.92627973478301862</v>
      </c>
    </row>
    <row r="3842" spans="4:19" x14ac:dyDescent="0.25">
      <c r="D3842" t="s">
        <v>104</v>
      </c>
      <c r="E3842">
        <v>2015</v>
      </c>
      <c r="F3842" t="s">
        <v>32</v>
      </c>
      <c r="G3842">
        <v>0.91872603951636689</v>
      </c>
      <c r="H3842">
        <v>0.91988950276243098</v>
      </c>
      <c r="I3842">
        <v>0.91549163081367957</v>
      </c>
      <c r="J3842">
        <v>0.91553114075765141</v>
      </c>
      <c r="K3842">
        <v>0.88092725069387434</v>
      </c>
      <c r="L3842">
        <v>0.92150587303682197</v>
      </c>
      <c r="M3842">
        <v>0.93605416588301671</v>
      </c>
    </row>
    <row r="3843" spans="4:19" x14ac:dyDescent="0.25">
      <c r="D3843" t="s">
        <v>104</v>
      </c>
      <c r="E3843">
        <v>2013</v>
      </c>
      <c r="F3843" t="s">
        <v>33</v>
      </c>
      <c r="S3843">
        <v>0.93761477348144617</v>
      </c>
    </row>
    <row r="3844" spans="4:19" x14ac:dyDescent="0.25">
      <c r="D3844" t="s">
        <v>104</v>
      </c>
      <c r="E3844">
        <v>2014</v>
      </c>
      <c r="F3844" t="s">
        <v>33</v>
      </c>
      <c r="S3844">
        <v>0.92920323524350368</v>
      </c>
    </row>
    <row r="3845" spans="4:19" x14ac:dyDescent="0.25">
      <c r="D3845" t="s">
        <v>104</v>
      </c>
      <c r="E3845">
        <v>2015</v>
      </c>
      <c r="F3845" t="s">
        <v>33</v>
      </c>
      <c r="S3845">
        <v>0.9438937383899656</v>
      </c>
    </row>
    <row r="3846" spans="4:19" x14ac:dyDescent="0.25">
      <c r="D3846" t="s">
        <v>104</v>
      </c>
      <c r="E3846">
        <v>2013</v>
      </c>
      <c r="F3846" t="s">
        <v>34</v>
      </c>
      <c r="G3846">
        <v>0.87805703074789432</v>
      </c>
      <c r="H3846">
        <v>0.92063296341964651</v>
      </c>
      <c r="I3846">
        <v>0.96487852892488035</v>
      </c>
      <c r="J3846">
        <v>0.96124620060790278</v>
      </c>
      <c r="K3846">
        <v>0.95618685605681708</v>
      </c>
      <c r="L3846">
        <v>0.96054350666318267</v>
      </c>
      <c r="M3846">
        <v>0.9513000852514919</v>
      </c>
      <c r="N3846">
        <v>0.93083430087908448</v>
      </c>
      <c r="O3846">
        <v>0.92541015955347583</v>
      </c>
      <c r="P3846">
        <v>0.93153759820426485</v>
      </c>
      <c r="Q3846">
        <v>0.88581167447805709</v>
      </c>
      <c r="R3846">
        <v>0.91540333146172559</v>
      </c>
    </row>
    <row r="3847" spans="4:19" x14ac:dyDescent="0.25">
      <c r="D3847" t="s">
        <v>104</v>
      </c>
      <c r="E3847">
        <v>2014</v>
      </c>
      <c r="F3847" t="s">
        <v>34</v>
      </c>
      <c r="G3847">
        <v>0.91420338814645541</v>
      </c>
      <c r="H3847">
        <v>0.92236040231878313</v>
      </c>
      <c r="I3847">
        <v>0.94162522603978305</v>
      </c>
      <c r="J3847">
        <v>0.91751370664695375</v>
      </c>
      <c r="K3847">
        <v>0.90875147386348754</v>
      </c>
      <c r="L3847">
        <v>0.9588706600534147</v>
      </c>
      <c r="M3847">
        <v>0.95370370370370372</v>
      </c>
      <c r="N3847">
        <v>0.93601281269066505</v>
      </c>
      <c r="O3847">
        <v>0.95072713991632907</v>
      </c>
      <c r="P3847">
        <v>0.95481273168861047</v>
      </c>
      <c r="Q3847">
        <v>0.96549186961960121</v>
      </c>
      <c r="R3847">
        <v>0.95524903258020222</v>
      </c>
    </row>
    <row r="3848" spans="4:19" x14ac:dyDescent="0.25">
      <c r="D3848" t="s">
        <v>104</v>
      </c>
      <c r="E3848">
        <v>2015</v>
      </c>
      <c r="F3848" t="s">
        <v>34</v>
      </c>
      <c r="G3848">
        <v>0.94004293868146827</v>
      </c>
      <c r="H3848">
        <v>0.94041153123041565</v>
      </c>
      <c r="I3848">
        <v>0.95913099591309958</v>
      </c>
      <c r="J3848">
        <v>0.9411840411840412</v>
      </c>
      <c r="K3848">
        <v>0.88816408876933428</v>
      </c>
      <c r="L3848">
        <v>0.95729680155909669</v>
      </c>
      <c r="M3848">
        <v>0.9730032419687592</v>
      </c>
    </row>
    <row r="3849" spans="4:19" x14ac:dyDescent="0.25">
      <c r="D3849" t="s">
        <v>105</v>
      </c>
      <c r="E3849">
        <v>2013</v>
      </c>
      <c r="F3849" t="s">
        <v>17</v>
      </c>
      <c r="S3849">
        <v>0.86391677754929241</v>
      </c>
    </row>
    <row r="3850" spans="4:19" x14ac:dyDescent="0.25">
      <c r="D3850" t="s">
        <v>105</v>
      </c>
      <c r="E3850">
        <v>2014</v>
      </c>
      <c r="F3850" t="s">
        <v>17</v>
      </c>
      <c r="S3850">
        <v>0.99535392439142956</v>
      </c>
    </row>
    <row r="3851" spans="4:19" x14ac:dyDescent="0.25">
      <c r="D3851" t="s">
        <v>105</v>
      </c>
      <c r="E3851">
        <v>2015</v>
      </c>
      <c r="F3851" t="s">
        <v>17</v>
      </c>
      <c r="S3851">
        <v>0.96390960947784121</v>
      </c>
    </row>
    <row r="3852" spans="4:19" x14ac:dyDescent="0.25">
      <c r="D3852" t="s">
        <v>105</v>
      </c>
      <c r="E3852">
        <v>2013</v>
      </c>
      <c r="F3852" t="s">
        <v>18</v>
      </c>
      <c r="G3852">
        <v>0.77659959031208581</v>
      </c>
      <c r="H3852">
        <v>0.79606828039736954</v>
      </c>
      <c r="I3852">
        <v>0.89771649522141972</v>
      </c>
      <c r="J3852">
        <v>0.8732493490041523</v>
      </c>
      <c r="K3852">
        <v>0.87440896431116</v>
      </c>
      <c r="L3852">
        <v>0.92282608695652169</v>
      </c>
      <c r="M3852">
        <v>0.9059940855323021</v>
      </c>
      <c r="N3852">
        <v>0.96929556416004348</v>
      </c>
      <c r="O3852">
        <v>0.97959555474585536</v>
      </c>
      <c r="P3852">
        <v>0.97409989128349428</v>
      </c>
      <c r="Q3852">
        <v>0.97439015122729689</v>
      </c>
      <c r="R3852">
        <v>0.99103316933820029</v>
      </c>
    </row>
    <row r="3853" spans="4:19" x14ac:dyDescent="0.25">
      <c r="D3853" t="s">
        <v>105</v>
      </c>
      <c r="E3853">
        <v>2014</v>
      </c>
      <c r="F3853" t="s">
        <v>18</v>
      </c>
      <c r="G3853">
        <v>0.9973722627737226</v>
      </c>
      <c r="H3853">
        <v>0.99611790079079798</v>
      </c>
      <c r="I3853">
        <v>0.99540734824281152</v>
      </c>
      <c r="J3853">
        <v>0.99487836107554417</v>
      </c>
      <c r="K3853">
        <v>0.99450327378546599</v>
      </c>
      <c r="L3853">
        <v>0.99402346343982884</v>
      </c>
      <c r="M3853">
        <v>0.9936084084937149</v>
      </c>
      <c r="N3853">
        <v>0.99358081979891721</v>
      </c>
      <c r="O3853">
        <v>0.99477676905857482</v>
      </c>
      <c r="P3853">
        <v>0.99582800619070044</v>
      </c>
      <c r="Q3853">
        <v>0.99197443709593525</v>
      </c>
      <c r="R3853">
        <v>0.98849570409203436</v>
      </c>
    </row>
    <row r="3854" spans="4:19" x14ac:dyDescent="0.25">
      <c r="D3854" t="s">
        <v>105</v>
      </c>
      <c r="E3854">
        <v>2015</v>
      </c>
      <c r="F3854" t="s">
        <v>18</v>
      </c>
      <c r="G3854">
        <v>0.95393150024119633</v>
      </c>
      <c r="H3854">
        <v>0.95238095238095233</v>
      </c>
      <c r="I3854">
        <v>0.96500437445319331</v>
      </c>
      <c r="J3854">
        <v>0.96431283219438113</v>
      </c>
      <c r="K3854">
        <v>0.96107784431137722</v>
      </c>
      <c r="L3854">
        <v>0.97725072604065832</v>
      </c>
      <c r="M3854">
        <v>0.97655726724715342</v>
      </c>
    </row>
    <row r="3855" spans="4:19" x14ac:dyDescent="0.25">
      <c r="D3855" t="s">
        <v>105</v>
      </c>
      <c r="E3855">
        <v>2013</v>
      </c>
      <c r="F3855" t="s">
        <v>19</v>
      </c>
      <c r="S3855">
        <v>0.66536738919170157</v>
      </c>
    </row>
    <row r="3856" spans="4:19" x14ac:dyDescent="0.25">
      <c r="D3856" t="s">
        <v>105</v>
      </c>
      <c r="E3856">
        <v>2014</v>
      </c>
      <c r="F3856" t="s">
        <v>19</v>
      </c>
      <c r="S3856">
        <v>0.79943244090234622</v>
      </c>
    </row>
    <row r="3857" spans="4:19" x14ac:dyDescent="0.25">
      <c r="D3857" t="s">
        <v>105</v>
      </c>
      <c r="E3857">
        <v>2015</v>
      </c>
      <c r="F3857" t="s">
        <v>19</v>
      </c>
      <c r="S3857">
        <v>0.78708664516545945</v>
      </c>
    </row>
    <row r="3858" spans="4:19" x14ac:dyDescent="0.25">
      <c r="D3858" t="s">
        <v>105</v>
      </c>
      <c r="E3858">
        <v>2013</v>
      </c>
      <c r="F3858" t="s">
        <v>20</v>
      </c>
      <c r="G3858">
        <v>0.63951196807193722</v>
      </c>
      <c r="H3858">
        <v>0.64175726231103913</v>
      </c>
      <c r="I3858">
        <v>0.62991751440524968</v>
      </c>
      <c r="J3858">
        <v>0.72215479299226404</v>
      </c>
      <c r="K3858">
        <v>0.66550886265225384</v>
      </c>
      <c r="L3858">
        <v>0.69759693662184163</v>
      </c>
      <c r="M3858">
        <v>0.67993779160186629</v>
      </c>
      <c r="N3858">
        <v>0.68567962938606108</v>
      </c>
      <c r="O3858">
        <v>0.73731354959841455</v>
      </c>
      <c r="P3858">
        <v>0.6707621277433754</v>
      </c>
      <c r="Q3858">
        <v>0.67571629213483142</v>
      </c>
      <c r="R3858">
        <v>0.69149369149369144</v>
      </c>
    </row>
    <row r="3859" spans="4:19" x14ac:dyDescent="0.25">
      <c r="D3859" t="s">
        <v>105</v>
      </c>
      <c r="E3859">
        <v>2014</v>
      </c>
      <c r="F3859" t="s">
        <v>20</v>
      </c>
      <c r="G3859">
        <v>0.78922983676278724</v>
      </c>
      <c r="H3859">
        <v>0.77501921217680159</v>
      </c>
      <c r="I3859">
        <v>0.70689577464788733</v>
      </c>
      <c r="J3859">
        <v>0.746134562158559</v>
      </c>
      <c r="K3859">
        <v>0.65847219718237304</v>
      </c>
      <c r="L3859">
        <v>0.93764361447750577</v>
      </c>
      <c r="M3859">
        <v>0.97738347322499175</v>
      </c>
      <c r="N3859">
        <v>0.96381762708951058</v>
      </c>
      <c r="O3859">
        <v>0.94325005937369233</v>
      </c>
      <c r="P3859">
        <v>0.97442659633980655</v>
      </c>
      <c r="Q3859">
        <v>0.97748630838698258</v>
      </c>
      <c r="R3859">
        <v>0.96404998473210723</v>
      </c>
    </row>
    <row r="3860" spans="4:19" x14ac:dyDescent="0.25">
      <c r="D3860" t="s">
        <v>105</v>
      </c>
      <c r="E3860">
        <v>2015</v>
      </c>
      <c r="F3860" t="s">
        <v>20</v>
      </c>
      <c r="G3860">
        <v>0.8606838532640092</v>
      </c>
      <c r="H3860">
        <v>0.79332026088068541</v>
      </c>
      <c r="I3860">
        <v>0.76726310726310731</v>
      </c>
      <c r="J3860">
        <v>0.76134881775459484</v>
      </c>
      <c r="K3860">
        <v>0.76672432966761395</v>
      </c>
      <c r="L3860">
        <v>0.74423260923491263</v>
      </c>
      <c r="M3860">
        <v>0.80662347012239022</v>
      </c>
    </row>
    <row r="3861" spans="4:19" x14ac:dyDescent="0.25">
      <c r="D3861" t="s">
        <v>105</v>
      </c>
      <c r="E3861">
        <v>2013</v>
      </c>
      <c r="F3861" t="s">
        <v>21</v>
      </c>
      <c r="S3861">
        <v>0.94597950946910903</v>
      </c>
    </row>
    <row r="3862" spans="4:19" x14ac:dyDescent="0.25">
      <c r="D3862" t="s">
        <v>105</v>
      </c>
      <c r="E3862">
        <v>2014</v>
      </c>
      <c r="F3862" t="s">
        <v>21</v>
      </c>
      <c r="S3862">
        <v>0.92231188658669572</v>
      </c>
    </row>
    <row r="3863" spans="4:19" x14ac:dyDescent="0.25">
      <c r="D3863" t="s">
        <v>105</v>
      </c>
      <c r="E3863">
        <v>2015</v>
      </c>
      <c r="F3863" t="s">
        <v>21</v>
      </c>
      <c r="S3863">
        <v>0.89026908886750078</v>
      </c>
    </row>
    <row r="3864" spans="4:19" x14ac:dyDescent="0.25">
      <c r="D3864" t="s">
        <v>105</v>
      </c>
      <c r="E3864">
        <v>2013</v>
      </c>
      <c r="F3864" t="s">
        <v>22</v>
      </c>
      <c r="G3864">
        <v>0.88039552880481509</v>
      </c>
      <c r="H3864">
        <v>0.98002364066193859</v>
      </c>
      <c r="I3864">
        <v>0.97105414746543783</v>
      </c>
      <c r="J3864">
        <v>0.95286059629331188</v>
      </c>
      <c r="K3864">
        <v>0.93988653720270565</v>
      </c>
      <c r="L3864">
        <v>0.98175878028859243</v>
      </c>
      <c r="M3864">
        <v>0.94829161337474877</v>
      </c>
      <c r="N3864">
        <v>0.88497020949452243</v>
      </c>
      <c r="O3864">
        <v>0.95247745465599354</v>
      </c>
      <c r="P3864">
        <v>0.91499647497230341</v>
      </c>
      <c r="Q3864">
        <v>0.86420655218609188</v>
      </c>
      <c r="R3864">
        <v>0.88378115895111686</v>
      </c>
    </row>
    <row r="3865" spans="4:19" x14ac:dyDescent="0.25">
      <c r="D3865" t="s">
        <v>105</v>
      </c>
      <c r="E3865">
        <v>2014</v>
      </c>
      <c r="F3865" t="s">
        <v>22</v>
      </c>
      <c r="G3865">
        <v>0.98400446387054774</v>
      </c>
      <c r="H3865">
        <v>0.93397844194022539</v>
      </c>
      <c r="I3865">
        <v>0.8150903294367694</v>
      </c>
      <c r="J3865">
        <v>0.95923774584734534</v>
      </c>
      <c r="K3865">
        <v>0.87995910020449897</v>
      </c>
      <c r="L3865">
        <v>0.91982444872618285</v>
      </c>
      <c r="M3865">
        <v>0.97705326549683313</v>
      </c>
      <c r="N3865">
        <v>0.86068578822514552</v>
      </c>
      <c r="O3865">
        <v>0.89711529874073415</v>
      </c>
      <c r="P3865">
        <v>0.94161500431609513</v>
      </c>
      <c r="Q3865">
        <v>0.91904394757131846</v>
      </c>
      <c r="R3865">
        <v>0.9503341433778858</v>
      </c>
    </row>
    <row r="3866" spans="4:19" x14ac:dyDescent="0.25">
      <c r="D3866" t="s">
        <v>105</v>
      </c>
      <c r="E3866">
        <v>2015</v>
      </c>
      <c r="F3866" t="s">
        <v>22</v>
      </c>
      <c r="G3866">
        <v>0.88229097360833886</v>
      </c>
      <c r="H3866">
        <v>0.95023969319271329</v>
      </c>
      <c r="I3866">
        <v>0.81915598097646136</v>
      </c>
      <c r="J3866">
        <v>0.89053591790193842</v>
      </c>
      <c r="K3866">
        <v>0.91233163964835873</v>
      </c>
      <c r="L3866">
        <v>0.9033670250434559</v>
      </c>
      <c r="M3866">
        <v>0.90750216484295043</v>
      </c>
    </row>
    <row r="3867" spans="4:19" x14ac:dyDescent="0.25">
      <c r="D3867" t="s">
        <v>105</v>
      </c>
      <c r="E3867">
        <v>2013</v>
      </c>
      <c r="F3867" t="s">
        <v>23</v>
      </c>
      <c r="S3867">
        <v>204271</v>
      </c>
    </row>
    <row r="3868" spans="4:19" x14ac:dyDescent="0.25">
      <c r="D3868" t="s">
        <v>105</v>
      </c>
      <c r="E3868">
        <v>2014</v>
      </c>
      <c r="F3868" t="s">
        <v>23</v>
      </c>
      <c r="S3868">
        <v>221336</v>
      </c>
    </row>
    <row r="3869" spans="4:19" x14ac:dyDescent="0.25">
      <c r="D3869" t="s">
        <v>105</v>
      </c>
      <c r="E3869">
        <v>2015</v>
      </c>
      <c r="F3869" t="s">
        <v>23</v>
      </c>
      <c r="S3869">
        <v>205607</v>
      </c>
    </row>
    <row r="3870" spans="4:19" x14ac:dyDescent="0.25">
      <c r="D3870" t="s">
        <v>105</v>
      </c>
      <c r="E3870">
        <v>2013</v>
      </c>
      <c r="F3870" t="s">
        <v>24</v>
      </c>
      <c r="G3870">
        <v>38230</v>
      </c>
      <c r="H3870">
        <v>37294</v>
      </c>
      <c r="I3870">
        <v>27205</v>
      </c>
      <c r="J3870">
        <v>28481</v>
      </c>
      <c r="K3870">
        <v>27151</v>
      </c>
      <c r="L3870">
        <v>21201</v>
      </c>
      <c r="M3870">
        <v>24709</v>
      </c>
      <c r="N3870">
        <v>24536</v>
      </c>
      <c r="O3870">
        <v>30401</v>
      </c>
      <c r="P3870">
        <v>29638</v>
      </c>
      <c r="Q3870">
        <v>27239</v>
      </c>
      <c r="R3870">
        <v>27934</v>
      </c>
    </row>
    <row r="3871" spans="4:19" x14ac:dyDescent="0.25">
      <c r="D3871" t="s">
        <v>105</v>
      </c>
      <c r="E3871">
        <v>2014</v>
      </c>
      <c r="F3871" t="s">
        <v>24</v>
      </c>
      <c r="G3871">
        <v>32762</v>
      </c>
      <c r="H3871">
        <v>37157</v>
      </c>
      <c r="I3871">
        <v>34486</v>
      </c>
      <c r="J3871">
        <v>27696</v>
      </c>
      <c r="K3871">
        <v>28205</v>
      </c>
      <c r="L3871">
        <v>30510</v>
      </c>
      <c r="M3871">
        <v>30520</v>
      </c>
      <c r="N3871">
        <v>27821</v>
      </c>
      <c r="O3871">
        <v>34753</v>
      </c>
      <c r="P3871">
        <v>30363</v>
      </c>
      <c r="Q3871">
        <v>26186</v>
      </c>
      <c r="R3871">
        <v>26765</v>
      </c>
    </row>
    <row r="3872" spans="4:19" x14ac:dyDescent="0.25">
      <c r="D3872" t="s">
        <v>105</v>
      </c>
      <c r="E3872">
        <v>2015</v>
      </c>
      <c r="F3872" t="s">
        <v>24</v>
      </c>
      <c r="G3872">
        <v>31707</v>
      </c>
      <c r="H3872">
        <v>31690</v>
      </c>
      <c r="I3872">
        <v>31685</v>
      </c>
      <c r="J3872">
        <v>29068</v>
      </c>
      <c r="K3872">
        <v>24120</v>
      </c>
      <c r="L3872">
        <v>27270</v>
      </c>
      <c r="M3872">
        <v>30067</v>
      </c>
    </row>
    <row r="3873" spans="4:19" x14ac:dyDescent="0.25">
      <c r="D3873" t="s">
        <v>105</v>
      </c>
      <c r="E3873">
        <v>2013</v>
      </c>
      <c r="F3873" t="s">
        <v>25</v>
      </c>
      <c r="S3873">
        <v>496352</v>
      </c>
    </row>
    <row r="3874" spans="4:19" x14ac:dyDescent="0.25">
      <c r="D3874" t="s">
        <v>105</v>
      </c>
      <c r="E3874">
        <v>2014</v>
      </c>
      <c r="F3874" t="s">
        <v>25</v>
      </c>
      <c r="S3874">
        <v>525073</v>
      </c>
    </row>
    <row r="3875" spans="4:19" x14ac:dyDescent="0.25">
      <c r="D3875" t="s">
        <v>105</v>
      </c>
      <c r="E3875">
        <v>2015</v>
      </c>
      <c r="F3875" t="s">
        <v>25</v>
      </c>
      <c r="S3875">
        <v>560191</v>
      </c>
    </row>
    <row r="3876" spans="4:19" x14ac:dyDescent="0.25">
      <c r="D3876" t="s">
        <v>105</v>
      </c>
      <c r="E3876">
        <v>2013</v>
      </c>
      <c r="F3876" t="s">
        <v>26</v>
      </c>
      <c r="G3876">
        <v>94921</v>
      </c>
      <c r="H3876">
        <v>73595</v>
      </c>
      <c r="I3876">
        <v>66962</v>
      </c>
      <c r="J3876">
        <v>70189</v>
      </c>
      <c r="K3876">
        <v>59208</v>
      </c>
      <c r="L3876">
        <v>60733</v>
      </c>
      <c r="M3876">
        <v>70744</v>
      </c>
      <c r="N3876">
        <v>58609</v>
      </c>
      <c r="O3876">
        <v>85916</v>
      </c>
      <c r="P3876">
        <v>88099</v>
      </c>
      <c r="Q3876">
        <v>77050</v>
      </c>
      <c r="R3876">
        <v>78777</v>
      </c>
    </row>
    <row r="3877" spans="4:19" x14ac:dyDescent="0.25">
      <c r="D3877" t="s">
        <v>105</v>
      </c>
      <c r="E3877">
        <v>2014</v>
      </c>
      <c r="F3877" t="s">
        <v>26</v>
      </c>
      <c r="G3877">
        <v>100008</v>
      </c>
      <c r="H3877">
        <v>78288</v>
      </c>
      <c r="I3877">
        <v>71125</v>
      </c>
      <c r="J3877">
        <v>67437</v>
      </c>
      <c r="K3877">
        <v>64955</v>
      </c>
      <c r="L3877">
        <v>69434</v>
      </c>
      <c r="M3877">
        <v>73826</v>
      </c>
      <c r="N3877">
        <v>70762</v>
      </c>
      <c r="O3877">
        <v>84707</v>
      </c>
      <c r="P3877">
        <v>88505</v>
      </c>
      <c r="Q3877">
        <v>87426</v>
      </c>
      <c r="R3877">
        <v>83633</v>
      </c>
    </row>
    <row r="3878" spans="4:19" x14ac:dyDescent="0.25">
      <c r="D3878" t="s">
        <v>105</v>
      </c>
      <c r="E3878">
        <v>2015</v>
      </c>
      <c r="F3878" t="s">
        <v>26</v>
      </c>
      <c r="G3878">
        <v>95460</v>
      </c>
      <c r="H3878">
        <v>78842</v>
      </c>
      <c r="I3878">
        <v>81233</v>
      </c>
      <c r="J3878">
        <v>74456</v>
      </c>
      <c r="K3878">
        <v>65841</v>
      </c>
      <c r="L3878">
        <v>82715</v>
      </c>
      <c r="M3878">
        <v>81644</v>
      </c>
    </row>
    <row r="3879" spans="4:19" x14ac:dyDescent="0.25">
      <c r="D3879" t="s">
        <v>105</v>
      </c>
      <c r="E3879">
        <v>2013</v>
      </c>
      <c r="F3879" t="s">
        <v>27</v>
      </c>
      <c r="S3879">
        <v>815509</v>
      </c>
    </row>
    <row r="3880" spans="4:19" x14ac:dyDescent="0.25">
      <c r="D3880" t="s">
        <v>105</v>
      </c>
      <c r="E3880">
        <v>2014</v>
      </c>
      <c r="F3880" t="s">
        <v>27</v>
      </c>
      <c r="S3880">
        <v>867159</v>
      </c>
    </row>
    <row r="3881" spans="4:19" x14ac:dyDescent="0.25">
      <c r="D3881" t="s">
        <v>105</v>
      </c>
      <c r="E3881">
        <v>2015</v>
      </c>
      <c r="F3881" t="s">
        <v>27</v>
      </c>
      <c r="S3881">
        <v>918213</v>
      </c>
    </row>
    <row r="3882" spans="4:19" x14ac:dyDescent="0.25">
      <c r="D3882" t="s">
        <v>105</v>
      </c>
      <c r="E3882">
        <v>2013</v>
      </c>
      <c r="F3882" t="s">
        <v>28</v>
      </c>
      <c r="G3882">
        <v>150705</v>
      </c>
      <c r="H3882">
        <v>125683</v>
      </c>
      <c r="I3882">
        <v>113023</v>
      </c>
      <c r="J3882">
        <v>114324</v>
      </c>
      <c r="K3882">
        <v>96915</v>
      </c>
      <c r="L3882">
        <v>98849</v>
      </c>
      <c r="M3882">
        <v>116010</v>
      </c>
      <c r="N3882">
        <v>97332</v>
      </c>
      <c r="O3882">
        <v>140136</v>
      </c>
      <c r="P3882">
        <v>146496</v>
      </c>
      <c r="Q3882">
        <v>128545</v>
      </c>
      <c r="R3882">
        <v>126844</v>
      </c>
    </row>
    <row r="3883" spans="4:19" x14ac:dyDescent="0.25">
      <c r="D3883" t="s">
        <v>105</v>
      </c>
      <c r="E3883">
        <v>2014</v>
      </c>
      <c r="F3883" t="s">
        <v>28</v>
      </c>
      <c r="G3883">
        <v>161036</v>
      </c>
      <c r="H3883">
        <v>131925</v>
      </c>
      <c r="I3883">
        <v>119258</v>
      </c>
      <c r="J3883">
        <v>113043</v>
      </c>
      <c r="K3883">
        <v>106162</v>
      </c>
      <c r="L3883">
        <v>114446</v>
      </c>
      <c r="M3883">
        <v>121289</v>
      </c>
      <c r="N3883">
        <v>110871</v>
      </c>
      <c r="O3883">
        <v>137674</v>
      </c>
      <c r="P3883">
        <v>144676</v>
      </c>
      <c r="Q3883">
        <v>134888</v>
      </c>
      <c r="R3883">
        <v>135383</v>
      </c>
    </row>
    <row r="3884" spans="4:19" x14ac:dyDescent="0.25">
      <c r="D3884" t="s">
        <v>105</v>
      </c>
      <c r="E3884">
        <v>2015</v>
      </c>
      <c r="F3884" t="s">
        <v>28</v>
      </c>
      <c r="G3884">
        <v>155029</v>
      </c>
      <c r="H3884">
        <v>130111</v>
      </c>
      <c r="I3884">
        <v>135846</v>
      </c>
      <c r="J3884">
        <v>119881</v>
      </c>
      <c r="K3884">
        <v>108160</v>
      </c>
      <c r="L3884">
        <v>137186</v>
      </c>
      <c r="M3884">
        <v>132000</v>
      </c>
    </row>
    <row r="3885" spans="4:19" x14ac:dyDescent="0.25">
      <c r="D3885" t="s">
        <v>105</v>
      </c>
      <c r="E3885">
        <v>2013</v>
      </c>
      <c r="F3885" t="s">
        <v>29</v>
      </c>
      <c r="S3885">
        <v>107471</v>
      </c>
    </row>
    <row r="3886" spans="4:19" x14ac:dyDescent="0.25">
      <c r="D3886" t="s">
        <v>105</v>
      </c>
      <c r="E3886">
        <v>2014</v>
      </c>
      <c r="F3886" t="s">
        <v>29</v>
      </c>
      <c r="S3886">
        <v>106972</v>
      </c>
    </row>
    <row r="3887" spans="4:19" x14ac:dyDescent="0.25">
      <c r="D3887" t="s">
        <v>105</v>
      </c>
      <c r="E3887">
        <v>2015</v>
      </c>
      <c r="F3887" t="s">
        <v>29</v>
      </c>
      <c r="S3887">
        <v>27348</v>
      </c>
    </row>
    <row r="3888" spans="4:19" x14ac:dyDescent="0.25">
      <c r="D3888" t="s">
        <v>105</v>
      </c>
      <c r="E3888">
        <v>2013</v>
      </c>
      <c r="F3888" t="s">
        <v>30</v>
      </c>
      <c r="G3888">
        <v>16598</v>
      </c>
      <c r="H3888">
        <v>14294</v>
      </c>
      <c r="I3888">
        <v>13707</v>
      </c>
      <c r="J3888">
        <v>14209</v>
      </c>
      <c r="K3888">
        <v>15439</v>
      </c>
      <c r="L3888">
        <v>15640</v>
      </c>
      <c r="M3888">
        <v>17584</v>
      </c>
      <c r="N3888">
        <v>14721</v>
      </c>
      <c r="O3888">
        <v>16467</v>
      </c>
      <c r="P3888">
        <v>15637</v>
      </c>
      <c r="Q3888">
        <v>13159</v>
      </c>
      <c r="R3888">
        <v>12602</v>
      </c>
    </row>
    <row r="3889" spans="4:19" x14ac:dyDescent="0.25">
      <c r="D3889" t="s">
        <v>105</v>
      </c>
      <c r="E3889">
        <v>2014</v>
      </c>
      <c r="F3889" t="s">
        <v>30</v>
      </c>
      <c r="G3889">
        <v>23975</v>
      </c>
      <c r="H3889">
        <v>13910</v>
      </c>
      <c r="I3889">
        <v>15024</v>
      </c>
      <c r="J3889">
        <v>14058</v>
      </c>
      <c r="K3889">
        <v>12371</v>
      </c>
      <c r="L3889">
        <v>13553</v>
      </c>
      <c r="M3889">
        <v>14081</v>
      </c>
      <c r="N3889">
        <v>12930</v>
      </c>
      <c r="O3889">
        <v>16082</v>
      </c>
      <c r="P3889">
        <v>14861</v>
      </c>
      <c r="Q3889">
        <v>13457</v>
      </c>
      <c r="R3889">
        <v>13734</v>
      </c>
    </row>
    <row r="3890" spans="4:19" x14ac:dyDescent="0.25">
      <c r="D3890" t="s">
        <v>105</v>
      </c>
      <c r="E3890">
        <v>2015</v>
      </c>
      <c r="F3890" t="s">
        <v>30</v>
      </c>
      <c r="G3890">
        <v>4146</v>
      </c>
      <c r="H3890">
        <v>4221</v>
      </c>
      <c r="I3890">
        <v>4572</v>
      </c>
      <c r="J3890">
        <v>3951</v>
      </c>
      <c r="K3890">
        <v>3340</v>
      </c>
      <c r="L3890">
        <v>4132</v>
      </c>
      <c r="M3890">
        <v>2986</v>
      </c>
    </row>
    <row r="3891" spans="4:19" x14ac:dyDescent="0.25">
      <c r="D3891" t="s">
        <v>105</v>
      </c>
      <c r="E3891">
        <v>2013</v>
      </c>
      <c r="F3891" t="s">
        <v>31</v>
      </c>
      <c r="S3891">
        <v>0.84523011098002165</v>
      </c>
    </row>
    <row r="3892" spans="4:19" x14ac:dyDescent="0.25">
      <c r="D3892" t="s">
        <v>105</v>
      </c>
      <c r="E3892">
        <v>2014</v>
      </c>
      <c r="F3892" t="s">
        <v>31</v>
      </c>
      <c r="S3892">
        <v>0.93389688076047273</v>
      </c>
    </row>
    <row r="3893" spans="4:19" x14ac:dyDescent="0.25">
      <c r="D3893" t="s">
        <v>105</v>
      </c>
      <c r="E3893">
        <v>2015</v>
      </c>
      <c r="F3893" t="s">
        <v>31</v>
      </c>
      <c r="S3893">
        <v>0.90561119028048653</v>
      </c>
    </row>
    <row r="3894" spans="4:19" x14ac:dyDescent="0.25">
      <c r="D3894" t="s">
        <v>105</v>
      </c>
      <c r="E3894">
        <v>2013</v>
      </c>
      <c r="F3894" t="s">
        <v>32</v>
      </c>
      <c r="G3894">
        <v>0.83502484959455925</v>
      </c>
      <c r="H3894">
        <v>0.71671046280903095</v>
      </c>
      <c r="I3894">
        <v>0.91148685903326598</v>
      </c>
      <c r="J3894">
        <v>0.83445103753379446</v>
      </c>
      <c r="K3894">
        <v>0.82748333394718432</v>
      </c>
      <c r="L3894">
        <v>0.90774020093391816</v>
      </c>
      <c r="M3894">
        <v>0.96033833825731518</v>
      </c>
      <c r="N3894">
        <v>0.95590153244212583</v>
      </c>
      <c r="O3894">
        <v>0.94000197361928883</v>
      </c>
      <c r="P3894">
        <v>0.96231189688912877</v>
      </c>
      <c r="Q3894">
        <v>0.93450567201439116</v>
      </c>
      <c r="R3894">
        <v>0.9485573136679315</v>
      </c>
    </row>
    <row r="3895" spans="4:19" x14ac:dyDescent="0.25">
      <c r="D3895" t="s">
        <v>105</v>
      </c>
      <c r="E3895">
        <v>2014</v>
      </c>
      <c r="F3895" t="s">
        <v>32</v>
      </c>
      <c r="G3895">
        <v>0.94533300775288442</v>
      </c>
      <c r="H3895">
        <v>0.95777377075651959</v>
      </c>
      <c r="I3895">
        <v>0.95485124398306565</v>
      </c>
      <c r="J3895">
        <v>0.94280762564991338</v>
      </c>
      <c r="K3895">
        <v>0.94274064882113096</v>
      </c>
      <c r="L3895">
        <v>0.8918715175352343</v>
      </c>
      <c r="M3895">
        <v>0.89462647444298815</v>
      </c>
      <c r="N3895">
        <v>0.90668919161784267</v>
      </c>
      <c r="O3895">
        <v>0.91500014387247142</v>
      </c>
      <c r="P3895">
        <v>0.92227382011000225</v>
      </c>
      <c r="Q3895">
        <v>0.92916062017872147</v>
      </c>
      <c r="R3895">
        <v>0.9232579861759761</v>
      </c>
    </row>
    <row r="3896" spans="4:19" x14ac:dyDescent="0.25">
      <c r="D3896" t="s">
        <v>105</v>
      </c>
      <c r="E3896">
        <v>2015</v>
      </c>
      <c r="F3896" t="s">
        <v>32</v>
      </c>
      <c r="G3896">
        <v>0.90901062856782411</v>
      </c>
      <c r="H3896">
        <v>0.90148311770274536</v>
      </c>
      <c r="I3896">
        <v>0.91346062805744044</v>
      </c>
      <c r="J3896">
        <v>0.90384615384615385</v>
      </c>
      <c r="K3896">
        <v>0.90045605306799337</v>
      </c>
      <c r="L3896">
        <v>0.92222222222222228</v>
      </c>
      <c r="M3896">
        <v>0.88888149798782723</v>
      </c>
    </row>
    <row r="3897" spans="4:19" x14ac:dyDescent="0.25">
      <c r="D3897" t="s">
        <v>105</v>
      </c>
      <c r="E3897">
        <v>2013</v>
      </c>
      <c r="F3897" t="s">
        <v>33</v>
      </c>
      <c r="S3897">
        <v>0.92375428877207344</v>
      </c>
    </row>
    <row r="3898" spans="4:19" x14ac:dyDescent="0.25">
      <c r="D3898" t="s">
        <v>105</v>
      </c>
      <c r="E3898">
        <v>2014</v>
      </c>
      <c r="F3898" t="s">
        <v>33</v>
      </c>
      <c r="S3898">
        <v>0.92581554094529539</v>
      </c>
    </row>
    <row r="3899" spans="4:19" x14ac:dyDescent="0.25">
      <c r="D3899" t="s">
        <v>105</v>
      </c>
      <c r="E3899">
        <v>2015</v>
      </c>
      <c r="F3899" t="s">
        <v>33</v>
      </c>
      <c r="S3899">
        <v>0.91933397615295975</v>
      </c>
    </row>
    <row r="3900" spans="4:19" x14ac:dyDescent="0.25">
      <c r="D3900" t="s">
        <v>105</v>
      </c>
      <c r="E3900">
        <v>2013</v>
      </c>
      <c r="F3900" t="s">
        <v>34</v>
      </c>
      <c r="G3900">
        <v>0.84355875152998772</v>
      </c>
      <c r="H3900">
        <v>0.90870155646087958</v>
      </c>
      <c r="I3900">
        <v>0.96020694589685729</v>
      </c>
      <c r="J3900">
        <v>0.95651676393179996</v>
      </c>
      <c r="K3900">
        <v>0.94080416976917347</v>
      </c>
      <c r="L3900">
        <v>0.95099272930648771</v>
      </c>
      <c r="M3900">
        <v>0.95464088046313378</v>
      </c>
      <c r="N3900">
        <v>0.93035082072738973</v>
      </c>
      <c r="O3900">
        <v>0.90425699438349694</v>
      </c>
      <c r="P3900">
        <v>0.94166797221787035</v>
      </c>
      <c r="Q3900">
        <v>0.89919195343843594</v>
      </c>
      <c r="R3900">
        <v>0.91263906620463253</v>
      </c>
    </row>
    <row r="3901" spans="4:19" x14ac:dyDescent="0.25">
      <c r="D3901" t="s">
        <v>105</v>
      </c>
      <c r="E3901">
        <v>2014</v>
      </c>
      <c r="F3901" t="s">
        <v>34</v>
      </c>
      <c r="G3901">
        <v>0.92036814725890359</v>
      </c>
      <c r="H3901">
        <v>0.92831033537421181</v>
      </c>
      <c r="I3901">
        <v>0.92323999211200947</v>
      </c>
      <c r="J3901">
        <v>0.91832525523357744</v>
      </c>
      <c r="K3901">
        <v>0.91499552608031998</v>
      </c>
      <c r="L3901">
        <v>0.94576759253704479</v>
      </c>
      <c r="M3901">
        <v>0.93474893507164059</v>
      </c>
      <c r="N3901">
        <v>0.94014713234768943</v>
      </c>
      <c r="O3901">
        <v>0.92066678834337168</v>
      </c>
      <c r="P3901">
        <v>0.95460729746444029</v>
      </c>
      <c r="Q3901">
        <v>0.95350704328151226</v>
      </c>
      <c r="R3901">
        <v>0.94474921630094044</v>
      </c>
    </row>
    <row r="3902" spans="4:19" x14ac:dyDescent="0.25">
      <c r="D3902" t="s">
        <v>105</v>
      </c>
      <c r="E3902">
        <v>2015</v>
      </c>
      <c r="F3902" t="s">
        <v>34</v>
      </c>
      <c r="G3902">
        <v>0.91725388601036273</v>
      </c>
      <c r="H3902">
        <v>0.90630231413096995</v>
      </c>
      <c r="I3902">
        <v>0.94072469476171716</v>
      </c>
      <c r="J3902">
        <v>0.91760299625468167</v>
      </c>
      <c r="K3902">
        <v>0.91294964028776981</v>
      </c>
      <c r="L3902">
        <v>0.95481301939058172</v>
      </c>
      <c r="M3902">
        <v>0.88391471754496864</v>
      </c>
    </row>
    <row r="3903" spans="4:19" x14ac:dyDescent="0.25">
      <c r="D3903" t="s">
        <v>106</v>
      </c>
      <c r="E3903">
        <v>2013</v>
      </c>
      <c r="F3903" t="s">
        <v>17</v>
      </c>
      <c r="S3903">
        <v>0.86598510945660634</v>
      </c>
    </row>
    <row r="3904" spans="4:19" x14ac:dyDescent="0.25">
      <c r="D3904" t="s">
        <v>106</v>
      </c>
      <c r="E3904">
        <v>2014</v>
      </c>
      <c r="F3904" t="s">
        <v>17</v>
      </c>
      <c r="S3904">
        <v>0.87112480238594447</v>
      </c>
    </row>
    <row r="3905" spans="4:19" x14ac:dyDescent="0.25">
      <c r="D3905" t="s">
        <v>106</v>
      </c>
      <c r="E3905">
        <v>2015</v>
      </c>
      <c r="F3905" t="s">
        <v>17</v>
      </c>
      <c r="S3905">
        <v>0.890142785786872</v>
      </c>
    </row>
    <row r="3906" spans="4:19" x14ac:dyDescent="0.25">
      <c r="D3906" t="s">
        <v>106</v>
      </c>
      <c r="E3906">
        <v>2013</v>
      </c>
      <c r="F3906" t="s">
        <v>18</v>
      </c>
      <c r="G3906">
        <v>0.8432968016974558</v>
      </c>
      <c r="H3906">
        <v>0.81145460722207785</v>
      </c>
      <c r="I3906">
        <v>0.78634235226815263</v>
      </c>
      <c r="J3906">
        <v>0.91068112382435751</v>
      </c>
      <c r="K3906">
        <v>0.88425305933964438</v>
      </c>
      <c r="L3906">
        <v>0.91384773295251698</v>
      </c>
      <c r="M3906">
        <v>0.9196949012979696</v>
      </c>
      <c r="N3906">
        <v>0.94967716496623789</v>
      </c>
      <c r="O3906">
        <v>0.93835355285961874</v>
      </c>
      <c r="P3906">
        <v>0.91129746537265621</v>
      </c>
      <c r="Q3906">
        <v>0.87984365389575603</v>
      </c>
      <c r="R3906">
        <v>0.8500717795256485</v>
      </c>
    </row>
    <row r="3907" spans="4:19" x14ac:dyDescent="0.25">
      <c r="D3907" t="s">
        <v>106</v>
      </c>
      <c r="E3907">
        <v>2014</v>
      </c>
      <c r="F3907" t="s">
        <v>18</v>
      </c>
      <c r="G3907">
        <v>0.9102889557477748</v>
      </c>
      <c r="H3907">
        <v>0.85756766292021569</v>
      </c>
      <c r="I3907">
        <v>0.87877032082905671</v>
      </c>
      <c r="J3907">
        <v>0.85080781720023113</v>
      </c>
      <c r="K3907">
        <v>0.8501397870115458</v>
      </c>
      <c r="L3907">
        <v>0.85978822041934466</v>
      </c>
      <c r="M3907">
        <v>0.87847761429737059</v>
      </c>
      <c r="N3907">
        <v>0.93306827607905951</v>
      </c>
      <c r="O3907">
        <v>0.87114400199390329</v>
      </c>
      <c r="P3907">
        <v>0.88122419237308725</v>
      </c>
      <c r="Q3907">
        <v>0.88001910958436658</v>
      </c>
      <c r="R3907">
        <v>0.85859417307484021</v>
      </c>
    </row>
    <row r="3908" spans="4:19" x14ac:dyDescent="0.25">
      <c r="D3908" t="s">
        <v>106</v>
      </c>
      <c r="E3908">
        <v>2015</v>
      </c>
      <c r="F3908" t="s">
        <v>18</v>
      </c>
      <c r="G3908">
        <v>0.86709605260620548</v>
      </c>
      <c r="H3908">
        <v>0.83761584749857254</v>
      </c>
      <c r="I3908">
        <v>0.824452922861027</v>
      </c>
      <c r="J3908">
        <v>0.86387922160678399</v>
      </c>
      <c r="K3908">
        <v>0.89286443793831283</v>
      </c>
      <c r="L3908">
        <v>0.99627648191739782</v>
      </c>
      <c r="M3908">
        <v>0.97617794156356941</v>
      </c>
    </row>
    <row r="3909" spans="4:19" x14ac:dyDescent="0.25">
      <c r="D3909" t="s">
        <v>106</v>
      </c>
      <c r="E3909">
        <v>2013</v>
      </c>
      <c r="F3909" t="s">
        <v>19</v>
      </c>
      <c r="S3909">
        <v>0.72128585196298622</v>
      </c>
    </row>
    <row r="3910" spans="4:19" x14ac:dyDescent="0.25">
      <c r="D3910" t="s">
        <v>106</v>
      </c>
      <c r="E3910">
        <v>2014</v>
      </c>
      <c r="F3910" t="s">
        <v>19</v>
      </c>
      <c r="S3910">
        <v>0.95861073155013243</v>
      </c>
    </row>
    <row r="3911" spans="4:19" x14ac:dyDescent="0.25">
      <c r="D3911" t="s">
        <v>106</v>
      </c>
      <c r="E3911">
        <v>2015</v>
      </c>
      <c r="F3911" t="s">
        <v>19</v>
      </c>
      <c r="S3911">
        <v>0.91173314394135763</v>
      </c>
    </row>
    <row r="3912" spans="4:19" x14ac:dyDescent="0.25">
      <c r="D3912" t="s">
        <v>106</v>
      </c>
      <c r="E3912">
        <v>2013</v>
      </c>
      <c r="F3912" t="s">
        <v>20</v>
      </c>
      <c r="G3912">
        <v>0.59544374056363902</v>
      </c>
      <c r="H3912">
        <v>0.70402370953920734</v>
      </c>
      <c r="I3912">
        <v>0.64703901742818659</v>
      </c>
      <c r="J3912">
        <v>0.63264764841942944</v>
      </c>
      <c r="K3912">
        <v>0.55975694893341954</v>
      </c>
      <c r="L3912">
        <v>0.93772915941678137</v>
      </c>
      <c r="M3912">
        <v>0.96526199567557625</v>
      </c>
      <c r="N3912">
        <v>0.95598558445628334</v>
      </c>
      <c r="O3912">
        <v>0.94518910418115454</v>
      </c>
      <c r="P3912">
        <v>0.95823768926098019</v>
      </c>
      <c r="Q3912">
        <v>0.81106721093187228</v>
      </c>
      <c r="R3912">
        <v>0.89497079510496147</v>
      </c>
    </row>
    <row r="3913" spans="4:19" x14ac:dyDescent="0.25">
      <c r="D3913" t="s">
        <v>106</v>
      </c>
      <c r="E3913">
        <v>2014</v>
      </c>
      <c r="F3913" t="s">
        <v>20</v>
      </c>
      <c r="G3913">
        <v>0.88484966443920621</v>
      </c>
      <c r="H3913">
        <v>0.97612926477654971</v>
      </c>
      <c r="I3913">
        <v>0.95538240261226748</v>
      </c>
      <c r="J3913">
        <v>0.98335264122889432</v>
      </c>
      <c r="K3913">
        <v>0.97927556394713311</v>
      </c>
      <c r="L3913">
        <v>0.97627749810357911</v>
      </c>
      <c r="M3913">
        <v>0.97248537625896114</v>
      </c>
      <c r="N3913">
        <v>0.97031015326710457</v>
      </c>
      <c r="O3913">
        <v>0.96720027360686667</v>
      </c>
      <c r="P3913">
        <v>0.95591299613914105</v>
      </c>
      <c r="Q3913">
        <v>0.86697875046448647</v>
      </c>
      <c r="R3913">
        <v>0.98884573582162083</v>
      </c>
    </row>
    <row r="3914" spans="4:19" x14ac:dyDescent="0.25">
      <c r="D3914" t="s">
        <v>106</v>
      </c>
      <c r="E3914">
        <v>2015</v>
      </c>
      <c r="F3914" t="s">
        <v>20</v>
      </c>
      <c r="G3914">
        <v>0.98736757008298204</v>
      </c>
      <c r="H3914">
        <v>0.90755008911259527</v>
      </c>
      <c r="I3914">
        <v>0.85552984333808868</v>
      </c>
      <c r="J3914">
        <v>0.87749026791847951</v>
      </c>
      <c r="K3914">
        <v>0.76617820693224647</v>
      </c>
      <c r="L3914">
        <v>0.97533610538091942</v>
      </c>
      <c r="M3914">
        <v>0.98870739769325222</v>
      </c>
    </row>
    <row r="3915" spans="4:19" x14ac:dyDescent="0.25">
      <c r="D3915" t="s">
        <v>106</v>
      </c>
      <c r="E3915">
        <v>2013</v>
      </c>
      <c r="F3915" t="s">
        <v>21</v>
      </c>
      <c r="S3915">
        <v>0.83237716937737005</v>
      </c>
    </row>
    <row r="3916" spans="4:19" x14ac:dyDescent="0.25">
      <c r="D3916" t="s">
        <v>106</v>
      </c>
      <c r="E3916">
        <v>2014</v>
      </c>
      <c r="F3916" t="s">
        <v>21</v>
      </c>
      <c r="S3916">
        <v>0.99330110709871522</v>
      </c>
    </row>
    <row r="3917" spans="4:19" x14ac:dyDescent="0.25">
      <c r="D3917" t="s">
        <v>106</v>
      </c>
      <c r="E3917">
        <v>2015</v>
      </c>
      <c r="F3917" t="s">
        <v>21</v>
      </c>
      <c r="S3917">
        <v>0.99641552630418306</v>
      </c>
    </row>
    <row r="3918" spans="4:19" x14ac:dyDescent="0.25">
      <c r="D3918" t="s">
        <v>106</v>
      </c>
      <c r="E3918">
        <v>2013</v>
      </c>
      <c r="F3918" t="s">
        <v>22</v>
      </c>
      <c r="G3918">
        <v>0.65395330135845375</v>
      </c>
      <c r="H3918">
        <v>0.94232587456665617</v>
      </c>
      <c r="I3918">
        <v>0.94899052327976929</v>
      </c>
      <c r="J3918">
        <v>0.7624994898167422</v>
      </c>
      <c r="K3918">
        <v>0.68808703819661865</v>
      </c>
      <c r="L3918">
        <v>0.86007149631575108</v>
      </c>
      <c r="M3918">
        <v>0.99376793261962793</v>
      </c>
      <c r="N3918">
        <v>0.9932362379659343</v>
      </c>
      <c r="O3918">
        <v>0.99197501724826609</v>
      </c>
      <c r="P3918">
        <v>0.99394453876627054</v>
      </c>
      <c r="Q3918">
        <v>0.98905109489051091</v>
      </c>
      <c r="R3918">
        <v>0.99085726874672986</v>
      </c>
    </row>
    <row r="3919" spans="4:19" x14ac:dyDescent="0.25">
      <c r="D3919" t="s">
        <v>106</v>
      </c>
      <c r="E3919">
        <v>2014</v>
      </c>
      <c r="F3919" t="s">
        <v>22</v>
      </c>
      <c r="G3919">
        <v>0.96951058782180832</v>
      </c>
      <c r="H3919">
        <v>0.99622130329388281</v>
      </c>
      <c r="I3919">
        <v>0.99815882406205669</v>
      </c>
      <c r="J3919">
        <v>0.99714685155068616</v>
      </c>
      <c r="K3919">
        <v>0.99707299660895954</v>
      </c>
      <c r="L3919">
        <v>0.998161986260094</v>
      </c>
      <c r="M3919">
        <v>0.99798730886422726</v>
      </c>
      <c r="N3919">
        <v>0.99730312837108959</v>
      </c>
      <c r="O3919">
        <v>0.99670006963155822</v>
      </c>
      <c r="P3919">
        <v>0.99686555784598874</v>
      </c>
      <c r="Q3919">
        <v>0.9936798702176558</v>
      </c>
      <c r="R3919">
        <v>0.99728941850355446</v>
      </c>
    </row>
    <row r="3920" spans="4:19" x14ac:dyDescent="0.25">
      <c r="D3920" t="s">
        <v>106</v>
      </c>
      <c r="E3920">
        <v>2015</v>
      </c>
      <c r="F3920" t="s">
        <v>22</v>
      </c>
      <c r="G3920">
        <v>0.99661282647034122</v>
      </c>
      <c r="H3920">
        <v>0.99605031293674429</v>
      </c>
      <c r="I3920">
        <v>0.99616118024889599</v>
      </c>
      <c r="J3920">
        <v>0.99588870321742129</v>
      </c>
      <c r="K3920">
        <v>0.99514333895446883</v>
      </c>
      <c r="L3920">
        <v>0.99755696137427352</v>
      </c>
      <c r="M3920">
        <v>0.9972317540874881</v>
      </c>
    </row>
    <row r="3921" spans="4:19" x14ac:dyDescent="0.25">
      <c r="D3921" t="s">
        <v>106</v>
      </c>
      <c r="E3921">
        <v>2013</v>
      </c>
      <c r="F3921" t="s">
        <v>23</v>
      </c>
      <c r="S3921">
        <v>486879</v>
      </c>
    </row>
    <row r="3922" spans="4:19" x14ac:dyDescent="0.25">
      <c r="D3922" t="s">
        <v>106</v>
      </c>
      <c r="E3922">
        <v>2014</v>
      </c>
      <c r="F3922" t="s">
        <v>23</v>
      </c>
      <c r="S3922">
        <v>477230</v>
      </c>
    </row>
    <row r="3923" spans="4:19" x14ac:dyDescent="0.25">
      <c r="D3923" t="s">
        <v>106</v>
      </c>
      <c r="E3923">
        <v>2015</v>
      </c>
      <c r="F3923" t="s">
        <v>23</v>
      </c>
      <c r="S3923">
        <v>459985</v>
      </c>
    </row>
    <row r="3924" spans="4:19" x14ac:dyDescent="0.25">
      <c r="D3924" t="s">
        <v>106</v>
      </c>
      <c r="E3924">
        <v>2013</v>
      </c>
      <c r="F3924" t="s">
        <v>24</v>
      </c>
      <c r="G3924">
        <v>84528</v>
      </c>
      <c r="H3924">
        <v>84296</v>
      </c>
      <c r="I3924">
        <v>74060</v>
      </c>
      <c r="J3924">
        <v>62949</v>
      </c>
      <c r="K3924">
        <v>61597</v>
      </c>
      <c r="L3924">
        <v>55944</v>
      </c>
      <c r="M3924">
        <v>63505</v>
      </c>
      <c r="N3924">
        <v>62086</v>
      </c>
      <c r="O3924">
        <v>69122</v>
      </c>
      <c r="P3924">
        <v>71815</v>
      </c>
      <c r="Q3924">
        <v>67650</v>
      </c>
      <c r="R3924">
        <v>66491</v>
      </c>
    </row>
    <row r="3925" spans="4:19" x14ac:dyDescent="0.25">
      <c r="D3925" t="s">
        <v>106</v>
      </c>
      <c r="E3925">
        <v>2014</v>
      </c>
      <c r="F3925" t="s">
        <v>24</v>
      </c>
      <c r="G3925">
        <v>81453</v>
      </c>
      <c r="H3925">
        <v>81349</v>
      </c>
      <c r="I3925">
        <v>69622</v>
      </c>
      <c r="J3925">
        <v>62670</v>
      </c>
      <c r="K3925">
        <v>56974</v>
      </c>
      <c r="L3925">
        <v>61154</v>
      </c>
      <c r="M3925">
        <v>64008</v>
      </c>
      <c r="N3925">
        <v>62251</v>
      </c>
      <c r="O3925">
        <v>92414</v>
      </c>
      <c r="P3925">
        <v>78827</v>
      </c>
      <c r="Q3925">
        <v>67892</v>
      </c>
      <c r="R3925">
        <v>64579</v>
      </c>
    </row>
    <row r="3926" spans="4:19" x14ac:dyDescent="0.25">
      <c r="D3926" t="s">
        <v>106</v>
      </c>
      <c r="E3926">
        <v>2015</v>
      </c>
      <c r="F3926" t="s">
        <v>24</v>
      </c>
      <c r="G3926">
        <v>69548</v>
      </c>
      <c r="H3926">
        <v>70266</v>
      </c>
      <c r="I3926">
        <v>65926</v>
      </c>
      <c r="J3926">
        <v>58742</v>
      </c>
      <c r="K3926">
        <v>57574</v>
      </c>
      <c r="L3926">
        <v>67450</v>
      </c>
      <c r="M3926">
        <v>70479</v>
      </c>
    </row>
    <row r="3927" spans="4:19" x14ac:dyDescent="0.25">
      <c r="D3927" t="s">
        <v>106</v>
      </c>
      <c r="E3927">
        <v>2013</v>
      </c>
      <c r="F3927" t="s">
        <v>25</v>
      </c>
      <c r="S3927">
        <v>1336344</v>
      </c>
    </row>
    <row r="3928" spans="4:19" x14ac:dyDescent="0.25">
      <c r="D3928" t="s">
        <v>106</v>
      </c>
      <c r="E3928">
        <v>2014</v>
      </c>
      <c r="F3928" t="s">
        <v>25</v>
      </c>
      <c r="S3928">
        <v>1381716</v>
      </c>
    </row>
    <row r="3929" spans="4:19" x14ac:dyDescent="0.25">
      <c r="D3929" t="s">
        <v>106</v>
      </c>
      <c r="E3929">
        <v>2015</v>
      </c>
      <c r="F3929" t="s">
        <v>25</v>
      </c>
      <c r="S3929">
        <v>1539260</v>
      </c>
    </row>
    <row r="3930" spans="4:19" x14ac:dyDescent="0.25">
      <c r="D3930" t="s">
        <v>106</v>
      </c>
      <c r="E3930">
        <v>2013</v>
      </c>
      <c r="F3930" t="s">
        <v>26</v>
      </c>
      <c r="G3930">
        <v>221701</v>
      </c>
      <c r="H3930">
        <v>197244</v>
      </c>
      <c r="I3930">
        <v>186816</v>
      </c>
      <c r="J3930">
        <v>177459</v>
      </c>
      <c r="K3930">
        <v>166132</v>
      </c>
      <c r="L3930">
        <v>183779</v>
      </c>
      <c r="M3930">
        <v>203213</v>
      </c>
      <c r="N3930">
        <v>185030</v>
      </c>
      <c r="O3930">
        <v>275763</v>
      </c>
      <c r="P3930">
        <v>259940</v>
      </c>
      <c r="Q3930">
        <v>252199</v>
      </c>
      <c r="R3930">
        <v>239379</v>
      </c>
    </row>
    <row r="3931" spans="4:19" x14ac:dyDescent="0.25">
      <c r="D3931" t="s">
        <v>106</v>
      </c>
      <c r="E3931">
        <v>2014</v>
      </c>
      <c r="F3931" t="s">
        <v>26</v>
      </c>
      <c r="G3931">
        <v>233708</v>
      </c>
      <c r="H3931">
        <v>211341</v>
      </c>
      <c r="I3931">
        <v>188306</v>
      </c>
      <c r="J3931">
        <v>185236</v>
      </c>
      <c r="K3931">
        <v>167441</v>
      </c>
      <c r="L3931">
        <v>193464</v>
      </c>
      <c r="M3931">
        <v>202220</v>
      </c>
      <c r="N3931">
        <v>192120</v>
      </c>
      <c r="O3931">
        <v>251282</v>
      </c>
      <c r="P3931">
        <v>312773</v>
      </c>
      <c r="Q3931">
        <v>246956</v>
      </c>
      <c r="R3931">
        <v>259211</v>
      </c>
    </row>
    <row r="3932" spans="4:19" x14ac:dyDescent="0.25">
      <c r="D3932" t="s">
        <v>106</v>
      </c>
      <c r="E3932">
        <v>2015</v>
      </c>
      <c r="F3932" t="s">
        <v>26</v>
      </c>
      <c r="G3932">
        <v>237674</v>
      </c>
      <c r="H3932">
        <v>210860</v>
      </c>
      <c r="I3932">
        <v>222566</v>
      </c>
      <c r="J3932">
        <v>203715</v>
      </c>
      <c r="K3932">
        <v>189159</v>
      </c>
      <c r="L3932">
        <v>240960</v>
      </c>
      <c r="M3932">
        <v>234326</v>
      </c>
    </row>
    <row r="3933" spans="4:19" x14ac:dyDescent="0.25">
      <c r="D3933" t="s">
        <v>106</v>
      </c>
      <c r="E3933">
        <v>2013</v>
      </c>
      <c r="F3933" t="s">
        <v>27</v>
      </c>
      <c r="S3933">
        <v>2164340</v>
      </c>
    </row>
    <row r="3934" spans="4:19" x14ac:dyDescent="0.25">
      <c r="D3934" t="s">
        <v>106</v>
      </c>
      <c r="E3934">
        <v>2014</v>
      </c>
      <c r="F3934" t="s">
        <v>27</v>
      </c>
      <c r="S3934">
        <v>2223143</v>
      </c>
    </row>
    <row r="3935" spans="4:19" x14ac:dyDescent="0.25">
      <c r="D3935" t="s">
        <v>106</v>
      </c>
      <c r="E3935">
        <v>2015</v>
      </c>
      <c r="F3935" t="s">
        <v>27</v>
      </c>
      <c r="S3935">
        <v>2568225</v>
      </c>
    </row>
    <row r="3936" spans="4:19" x14ac:dyDescent="0.25">
      <c r="D3936" t="s">
        <v>106</v>
      </c>
      <c r="E3936">
        <v>2013</v>
      </c>
      <c r="F3936" t="s">
        <v>28</v>
      </c>
      <c r="G3936">
        <v>345959</v>
      </c>
      <c r="H3936">
        <v>327657</v>
      </c>
      <c r="I3936">
        <v>310646</v>
      </c>
      <c r="J3936">
        <v>292092</v>
      </c>
      <c r="K3936">
        <v>267119</v>
      </c>
      <c r="L3936">
        <v>288436</v>
      </c>
      <c r="M3936">
        <v>332431</v>
      </c>
      <c r="N3936">
        <v>306112</v>
      </c>
      <c r="O3936">
        <v>457141</v>
      </c>
      <c r="P3936">
        <v>446771</v>
      </c>
      <c r="Q3936">
        <v>401436</v>
      </c>
      <c r="R3936">
        <v>382520</v>
      </c>
    </row>
    <row r="3937" spans="4:19" x14ac:dyDescent="0.25">
      <c r="D3937" t="s">
        <v>106</v>
      </c>
      <c r="E3937">
        <v>2014</v>
      </c>
      <c r="F3937" t="s">
        <v>28</v>
      </c>
      <c r="G3937">
        <v>376633</v>
      </c>
      <c r="H3937">
        <v>342659</v>
      </c>
      <c r="I3937">
        <v>306570</v>
      </c>
      <c r="J3937">
        <v>300855</v>
      </c>
      <c r="K3937">
        <v>264764</v>
      </c>
      <c r="L3937">
        <v>304400</v>
      </c>
      <c r="M3937">
        <v>327262</v>
      </c>
      <c r="N3937">
        <v>306728</v>
      </c>
      <c r="O3937">
        <v>420115</v>
      </c>
      <c r="P3937">
        <v>520322</v>
      </c>
      <c r="Q3937">
        <v>389220</v>
      </c>
      <c r="R3937">
        <v>422315</v>
      </c>
    </row>
    <row r="3938" spans="4:19" x14ac:dyDescent="0.25">
      <c r="D3938" t="s">
        <v>106</v>
      </c>
      <c r="E3938">
        <v>2015</v>
      </c>
      <c r="F3938" t="s">
        <v>28</v>
      </c>
      <c r="G3938">
        <v>394979</v>
      </c>
      <c r="H3938">
        <v>360459</v>
      </c>
      <c r="I3938">
        <v>377420</v>
      </c>
      <c r="J3938">
        <v>337479</v>
      </c>
      <c r="K3938">
        <v>313275</v>
      </c>
      <c r="L3938">
        <v>392864</v>
      </c>
      <c r="M3938">
        <v>391749</v>
      </c>
    </row>
    <row r="3939" spans="4:19" x14ac:dyDescent="0.25">
      <c r="D3939" t="s">
        <v>106</v>
      </c>
      <c r="E3939">
        <v>2013</v>
      </c>
      <c r="F3939" t="s">
        <v>29</v>
      </c>
      <c r="S3939">
        <v>332963</v>
      </c>
    </row>
    <row r="3940" spans="4:19" x14ac:dyDescent="0.25">
      <c r="D3940" t="s">
        <v>106</v>
      </c>
      <c r="E3940">
        <v>2014</v>
      </c>
      <c r="F3940" t="s">
        <v>29</v>
      </c>
      <c r="S3940">
        <v>356756</v>
      </c>
    </row>
    <row r="3941" spans="4:19" x14ac:dyDescent="0.25">
      <c r="D3941" t="s">
        <v>106</v>
      </c>
      <c r="E3941">
        <v>2015</v>
      </c>
      <c r="F3941" t="s">
        <v>29</v>
      </c>
      <c r="S3941">
        <v>290295</v>
      </c>
    </row>
    <row r="3942" spans="4:19" x14ac:dyDescent="0.25">
      <c r="D3942" t="s">
        <v>106</v>
      </c>
      <c r="E3942">
        <v>2013</v>
      </c>
      <c r="F3942" t="s">
        <v>30</v>
      </c>
      <c r="G3942">
        <v>51371</v>
      </c>
      <c r="H3942">
        <v>50041</v>
      </c>
      <c r="I3942">
        <v>47197</v>
      </c>
      <c r="J3942">
        <v>50079</v>
      </c>
      <c r="K3942">
        <v>43310</v>
      </c>
      <c r="L3942">
        <v>44816</v>
      </c>
      <c r="M3942">
        <v>46149</v>
      </c>
      <c r="N3942">
        <v>40578</v>
      </c>
      <c r="O3942">
        <v>57700</v>
      </c>
      <c r="P3942">
        <v>53065</v>
      </c>
      <c r="Q3942">
        <v>50401</v>
      </c>
      <c r="R3942">
        <v>49457</v>
      </c>
    </row>
    <row r="3943" spans="4:19" x14ac:dyDescent="0.25">
      <c r="D3943" t="s">
        <v>106</v>
      </c>
      <c r="E3943">
        <v>2014</v>
      </c>
      <c r="F3943" t="s">
        <v>30</v>
      </c>
      <c r="G3943">
        <v>63816</v>
      </c>
      <c r="H3943">
        <v>59523</v>
      </c>
      <c r="I3943">
        <v>60406</v>
      </c>
      <c r="J3943">
        <v>50197</v>
      </c>
      <c r="K3943">
        <v>46857</v>
      </c>
      <c r="L3943">
        <v>37964</v>
      </c>
      <c r="M3943">
        <v>37993</v>
      </c>
      <c r="N3943">
        <v>34961</v>
      </c>
      <c r="O3943">
        <v>52159</v>
      </c>
      <c r="P3943">
        <v>49404</v>
      </c>
      <c r="Q3943">
        <v>43957</v>
      </c>
      <c r="R3943">
        <v>46165</v>
      </c>
    </row>
    <row r="3944" spans="4:19" x14ac:dyDescent="0.25">
      <c r="D3944" t="s">
        <v>106</v>
      </c>
      <c r="E3944">
        <v>2015</v>
      </c>
      <c r="F3944" t="s">
        <v>30</v>
      </c>
      <c r="G3944">
        <v>51857</v>
      </c>
      <c r="H3944">
        <v>45534</v>
      </c>
      <c r="I3944">
        <v>45606</v>
      </c>
      <c r="J3944">
        <v>40802</v>
      </c>
      <c r="K3944">
        <v>29374</v>
      </c>
      <c r="L3944">
        <v>46730</v>
      </c>
      <c r="M3944">
        <v>30392</v>
      </c>
    </row>
    <row r="3945" spans="4:19" x14ac:dyDescent="0.25">
      <c r="D3945" t="s">
        <v>106</v>
      </c>
      <c r="E3945">
        <v>2013</v>
      </c>
      <c r="F3945" t="s">
        <v>31</v>
      </c>
      <c r="S3945">
        <v>0.8586548197806847</v>
      </c>
    </row>
    <row r="3946" spans="4:19" x14ac:dyDescent="0.25">
      <c r="D3946" t="s">
        <v>106</v>
      </c>
      <c r="E3946">
        <v>2014</v>
      </c>
      <c r="F3946" t="s">
        <v>31</v>
      </c>
      <c r="S3946">
        <v>0.90798357186262391</v>
      </c>
    </row>
    <row r="3947" spans="4:19" x14ac:dyDescent="0.25">
      <c r="D3947" t="s">
        <v>106</v>
      </c>
      <c r="E3947">
        <v>2015</v>
      </c>
      <c r="F3947" t="s">
        <v>31</v>
      </c>
      <c r="S3947">
        <v>0.89624009478569955</v>
      </c>
    </row>
    <row r="3948" spans="4:19" x14ac:dyDescent="0.25">
      <c r="D3948" t="s">
        <v>106</v>
      </c>
      <c r="E3948">
        <v>2013</v>
      </c>
      <c r="F3948" t="s">
        <v>32</v>
      </c>
      <c r="G3948">
        <v>0.83593602120007571</v>
      </c>
      <c r="H3948">
        <v>0.82984957767865619</v>
      </c>
      <c r="I3948">
        <v>0.83441803942749126</v>
      </c>
      <c r="J3948">
        <v>0.86049023812927927</v>
      </c>
      <c r="K3948">
        <v>0.86364595678360956</v>
      </c>
      <c r="L3948">
        <v>0.87571500071500075</v>
      </c>
      <c r="M3948">
        <v>0.93370600740099208</v>
      </c>
      <c r="N3948">
        <v>0.92603807621686052</v>
      </c>
      <c r="O3948">
        <v>0.94652932496166198</v>
      </c>
      <c r="P3948">
        <v>0.96297430898837288</v>
      </c>
      <c r="Q3948">
        <v>0.9404582409460458</v>
      </c>
      <c r="R3948">
        <v>0.93462273089591075</v>
      </c>
    </row>
    <row r="3949" spans="4:19" x14ac:dyDescent="0.25">
      <c r="D3949" t="s">
        <v>106</v>
      </c>
      <c r="E3949">
        <v>2014</v>
      </c>
      <c r="F3949" t="s">
        <v>32</v>
      </c>
      <c r="G3949">
        <v>0.91908217008581639</v>
      </c>
      <c r="H3949">
        <v>0.9075096190487898</v>
      </c>
      <c r="I3949">
        <v>0.91518485536181093</v>
      </c>
      <c r="J3949">
        <v>0.90398914951332376</v>
      </c>
      <c r="K3949">
        <v>0.91884017271035912</v>
      </c>
      <c r="L3949">
        <v>0.89328580305458349</v>
      </c>
      <c r="M3949">
        <v>0.89491938507686541</v>
      </c>
      <c r="N3949">
        <v>0.9098488377696744</v>
      </c>
      <c r="O3949">
        <v>0.91592183002575367</v>
      </c>
      <c r="P3949">
        <v>0.93537747218592615</v>
      </c>
      <c r="Q3949">
        <v>0.93846108525304894</v>
      </c>
      <c r="R3949">
        <v>0.93110763560909893</v>
      </c>
    </row>
    <row r="3950" spans="4:19" x14ac:dyDescent="0.25">
      <c r="D3950" t="s">
        <v>106</v>
      </c>
      <c r="E3950">
        <v>2015</v>
      </c>
      <c r="F3950" t="s">
        <v>32</v>
      </c>
      <c r="G3950">
        <v>0.89111117501581638</v>
      </c>
      <c r="H3950">
        <v>0.90249907494378501</v>
      </c>
      <c r="I3950">
        <v>0.91593604951005669</v>
      </c>
      <c r="J3950">
        <v>0.90756188076674271</v>
      </c>
      <c r="K3950">
        <v>0.91119255219369855</v>
      </c>
      <c r="L3950">
        <v>0.91138621200889547</v>
      </c>
      <c r="M3950">
        <v>0.84049149392017486</v>
      </c>
    </row>
    <row r="3951" spans="4:19" x14ac:dyDescent="0.25">
      <c r="D3951" t="s">
        <v>106</v>
      </c>
      <c r="E3951">
        <v>2013</v>
      </c>
      <c r="F3951" t="s">
        <v>33</v>
      </c>
      <c r="S3951">
        <v>0.88882098476950544</v>
      </c>
    </row>
    <row r="3952" spans="4:19" x14ac:dyDescent="0.25">
      <c r="D3952" t="s">
        <v>106</v>
      </c>
      <c r="E3952">
        <v>2014</v>
      </c>
      <c r="F3952" t="s">
        <v>33</v>
      </c>
      <c r="S3952">
        <v>0.87958212941835479</v>
      </c>
    </row>
    <row r="3953" spans="4:19" x14ac:dyDescent="0.25">
      <c r="D3953" t="s">
        <v>106</v>
      </c>
      <c r="E3953">
        <v>2015</v>
      </c>
      <c r="F3953" t="s">
        <v>33</v>
      </c>
      <c r="S3953">
        <v>0.89868882066100775</v>
      </c>
    </row>
    <row r="3954" spans="4:19" x14ac:dyDescent="0.25">
      <c r="D3954" t="s">
        <v>106</v>
      </c>
      <c r="E3954">
        <v>2013</v>
      </c>
      <c r="F3954" t="s">
        <v>34</v>
      </c>
      <c r="G3954">
        <v>0.8547700684022812</v>
      </c>
      <c r="H3954">
        <v>0.850809567451974</v>
      </c>
      <c r="I3954">
        <v>0.87371400239639718</v>
      </c>
      <c r="J3954">
        <v>0.90559884036963223</v>
      </c>
      <c r="K3954">
        <v>0.90773968004074734</v>
      </c>
      <c r="L3954">
        <v>0.92780492720036278</v>
      </c>
      <c r="M3954">
        <v>0.92726499361973624</v>
      </c>
      <c r="N3954">
        <v>0.88858425330583524</v>
      </c>
      <c r="O3954">
        <v>0.92573392006751465</v>
      </c>
      <c r="P3954">
        <v>0.9481292185244431</v>
      </c>
      <c r="Q3954">
        <v>0.9109381564109934</v>
      </c>
      <c r="R3954">
        <v>0.90578877787650891</v>
      </c>
    </row>
    <row r="3955" spans="4:19" x14ac:dyDescent="0.25">
      <c r="D3955" t="s">
        <v>106</v>
      </c>
      <c r="E3955">
        <v>2014</v>
      </c>
      <c r="F3955" t="s">
        <v>34</v>
      </c>
      <c r="G3955">
        <v>0.8850895394863032</v>
      </c>
      <c r="H3955">
        <v>0.86285089318264674</v>
      </c>
      <c r="I3955">
        <v>0.87580448407857658</v>
      </c>
      <c r="J3955">
        <v>0.86482600588592096</v>
      </c>
      <c r="K3955">
        <v>0.88551054768743187</v>
      </c>
      <c r="L3955">
        <v>0.86393434025592619</v>
      </c>
      <c r="M3955">
        <v>0.9336868428188364</v>
      </c>
      <c r="N3955">
        <v>0.94494425973009977</v>
      </c>
      <c r="O3955">
        <v>0.91524660488706655</v>
      </c>
      <c r="P3955">
        <v>0.96294479161286994</v>
      </c>
      <c r="Q3955">
        <v>0.9611115966092808</v>
      </c>
      <c r="R3955">
        <v>0.95170194468333014</v>
      </c>
    </row>
    <row r="3956" spans="4:19" x14ac:dyDescent="0.25">
      <c r="D3956" t="s">
        <v>106</v>
      </c>
      <c r="E3956">
        <v>2015</v>
      </c>
      <c r="F3956" t="s">
        <v>34</v>
      </c>
      <c r="G3956">
        <v>0.88271857758932226</v>
      </c>
      <c r="H3956">
        <v>0.90304383864431759</v>
      </c>
      <c r="I3956">
        <v>0.94210449075432934</v>
      </c>
      <c r="J3956">
        <v>0.9218586202011616</v>
      </c>
      <c r="K3956">
        <v>0.91041272739127599</v>
      </c>
      <c r="L3956">
        <v>0.93012729844413011</v>
      </c>
      <c r="M3956">
        <v>0.8092781087293025</v>
      </c>
    </row>
    <row r="3957" spans="4:19" x14ac:dyDescent="0.25">
      <c r="D3957" t="s">
        <v>107</v>
      </c>
      <c r="E3957">
        <v>2013</v>
      </c>
      <c r="F3957" t="s">
        <v>17</v>
      </c>
      <c r="S3957">
        <v>0.99655263855741183</v>
      </c>
    </row>
    <row r="3958" spans="4:19" x14ac:dyDescent="0.25">
      <c r="D3958" t="s">
        <v>107</v>
      </c>
      <c r="E3958">
        <v>2014</v>
      </c>
      <c r="F3958" t="s">
        <v>17</v>
      </c>
      <c r="S3958">
        <v>0.95807333088625146</v>
      </c>
    </row>
    <row r="3959" spans="4:19" x14ac:dyDescent="0.25">
      <c r="D3959" t="s">
        <v>107</v>
      </c>
      <c r="E3959">
        <v>2015</v>
      </c>
      <c r="F3959" t="s">
        <v>17</v>
      </c>
      <c r="S3959">
        <v>0.8928939828080229</v>
      </c>
    </row>
    <row r="3960" spans="4:19" x14ac:dyDescent="0.25">
      <c r="D3960" t="s">
        <v>107</v>
      </c>
      <c r="E3960">
        <v>2013</v>
      </c>
      <c r="F3960" t="s">
        <v>18</v>
      </c>
      <c r="G3960">
        <v>0.99951807228915668</v>
      </c>
      <c r="H3960">
        <v>0.99851851851851847</v>
      </c>
      <c r="I3960">
        <v>0.99877300613496933</v>
      </c>
      <c r="J3960">
        <v>1</v>
      </c>
      <c r="K3960">
        <v>0.99802696481420583</v>
      </c>
      <c r="L3960">
        <v>0.99931058255773875</v>
      </c>
      <c r="M3960">
        <v>0.97943534332520044</v>
      </c>
      <c r="N3960">
        <v>0.9711649365628604</v>
      </c>
      <c r="O3960">
        <v>0.91481578259733476</v>
      </c>
      <c r="P3960">
        <v>0.95234159779614325</v>
      </c>
      <c r="Q3960">
        <v>0.91654112684543532</v>
      </c>
      <c r="R3960">
        <v>0.93596813725490191</v>
      </c>
    </row>
    <row r="3961" spans="4:19" x14ac:dyDescent="0.25">
      <c r="D3961" t="s">
        <v>107</v>
      </c>
      <c r="E3961">
        <v>2014</v>
      </c>
      <c r="F3961" t="s">
        <v>18</v>
      </c>
      <c r="G3961">
        <v>0.95217285748968195</v>
      </c>
      <c r="H3961">
        <v>0.96752903907074972</v>
      </c>
      <c r="I3961">
        <v>0.97366185216652501</v>
      </c>
      <c r="J3961">
        <v>0.98132530120481931</v>
      </c>
      <c r="K3961">
        <v>0.94123192960402258</v>
      </c>
      <c r="L3961">
        <v>0.94270833333333337</v>
      </c>
      <c r="M3961">
        <v>0.94600301659125186</v>
      </c>
      <c r="N3961">
        <v>0.91293047433398311</v>
      </c>
      <c r="O3961">
        <v>0.86394252357431522</v>
      </c>
      <c r="P3961">
        <v>0.93368500376789754</v>
      </c>
      <c r="Q3961">
        <v>0.90925110132158593</v>
      </c>
      <c r="R3961">
        <v>0.90663837526523194</v>
      </c>
    </row>
    <row r="3962" spans="4:19" x14ac:dyDescent="0.25">
      <c r="D3962" t="s">
        <v>107</v>
      </c>
      <c r="E3962">
        <v>2015</v>
      </c>
      <c r="F3962" t="s">
        <v>18</v>
      </c>
      <c r="G3962">
        <v>0.90062434963579607</v>
      </c>
      <c r="H3962">
        <v>0.93919474116680357</v>
      </c>
      <c r="I3962">
        <v>0.87824458121487825</v>
      </c>
      <c r="J3962">
        <v>0.88564102564102565</v>
      </c>
      <c r="K3962">
        <v>0.82534471437951407</v>
      </c>
      <c r="L3962">
        <v>0.84131253362022596</v>
      </c>
      <c r="M3962">
        <v>0.97065462753950338</v>
      </c>
    </row>
    <row r="3963" spans="4:19" x14ac:dyDescent="0.25">
      <c r="D3963" t="s">
        <v>107</v>
      </c>
      <c r="E3963">
        <v>2013</v>
      </c>
      <c r="F3963" t="s">
        <v>19</v>
      </c>
      <c r="S3963">
        <v>0.82505425518334119</v>
      </c>
    </row>
    <row r="3964" spans="4:19" x14ac:dyDescent="0.25">
      <c r="D3964" t="s">
        <v>107</v>
      </c>
      <c r="E3964">
        <v>2014</v>
      </c>
      <c r="F3964" t="s">
        <v>19</v>
      </c>
      <c r="S3964">
        <v>0.99937291851102394</v>
      </c>
    </row>
    <row r="3965" spans="4:19" x14ac:dyDescent="0.25">
      <c r="D3965" t="s">
        <v>107</v>
      </c>
      <c r="E3965">
        <v>2015</v>
      </c>
      <c r="F3965" t="s">
        <v>19</v>
      </c>
      <c r="S3965">
        <v>0.96149152226569778</v>
      </c>
    </row>
    <row r="3966" spans="4:19" x14ac:dyDescent="0.25">
      <c r="D3966" t="s">
        <v>107</v>
      </c>
      <c r="E3966">
        <v>2013</v>
      </c>
      <c r="F3966" t="s">
        <v>20</v>
      </c>
      <c r="G3966">
        <v>0.72088620342396781</v>
      </c>
      <c r="H3966">
        <v>0.73025182702602054</v>
      </c>
      <c r="I3966">
        <v>0.69035451073215337</v>
      </c>
      <c r="J3966">
        <v>0.78585254267112437</v>
      </c>
      <c r="K3966">
        <v>0.9420401429749794</v>
      </c>
      <c r="L3966">
        <v>0.99487910805730218</v>
      </c>
      <c r="M3966">
        <v>0.99812595831676987</v>
      </c>
      <c r="N3966">
        <v>0.99851531085678935</v>
      </c>
      <c r="O3966">
        <v>0.99915885604422017</v>
      </c>
      <c r="P3966">
        <v>0.99852893102321016</v>
      </c>
      <c r="Q3966">
        <v>0.99852183292717034</v>
      </c>
      <c r="R3966">
        <v>0.88832369044383175</v>
      </c>
    </row>
    <row r="3967" spans="4:19" x14ac:dyDescent="0.25">
      <c r="D3967" t="s">
        <v>107</v>
      </c>
      <c r="E3967">
        <v>2014</v>
      </c>
      <c r="F3967" t="s">
        <v>20</v>
      </c>
      <c r="G3967">
        <v>0.99977240398293032</v>
      </c>
      <c r="H3967">
        <v>0.99881770250838797</v>
      </c>
      <c r="I3967">
        <v>0.99975297459755441</v>
      </c>
      <c r="J3967">
        <v>0.99883537143332501</v>
      </c>
      <c r="K3967">
        <v>0.99928605425987627</v>
      </c>
      <c r="L3967">
        <v>0.99986740917528505</v>
      </c>
      <c r="M3967">
        <v>0.99930028725049713</v>
      </c>
      <c r="N3967">
        <v>0.99657208150828414</v>
      </c>
      <c r="O3967">
        <v>0.98881055559148823</v>
      </c>
      <c r="P3967">
        <v>0.99971055509101436</v>
      </c>
      <c r="Q3967">
        <v>0.99977516300682001</v>
      </c>
      <c r="R3967">
        <v>0.99635695187165774</v>
      </c>
    </row>
    <row r="3968" spans="4:19" x14ac:dyDescent="0.25">
      <c r="D3968" t="s">
        <v>107</v>
      </c>
      <c r="E3968">
        <v>2015</v>
      </c>
      <c r="F3968" t="s">
        <v>20</v>
      </c>
      <c r="G3968">
        <v>0.83222468588322251</v>
      </c>
      <c r="H3968">
        <v>0.9999338449325218</v>
      </c>
      <c r="I3968">
        <v>0.99503608634597174</v>
      </c>
      <c r="J3968">
        <v>0.98412429761018216</v>
      </c>
      <c r="K3968">
        <v>0.97791553661371566</v>
      </c>
      <c r="L3968">
        <v>0.97674571805006583</v>
      </c>
      <c r="M3968">
        <v>0.99960305646521785</v>
      </c>
    </row>
    <row r="3969" spans="4:19" x14ac:dyDescent="0.25">
      <c r="D3969" t="s">
        <v>107</v>
      </c>
      <c r="E3969">
        <v>2013</v>
      </c>
      <c r="F3969" t="s">
        <v>21</v>
      </c>
      <c r="S3969">
        <v>0.9964406779661017</v>
      </c>
    </row>
    <row r="3970" spans="4:19" x14ac:dyDescent="0.25">
      <c r="D3970" t="s">
        <v>107</v>
      </c>
      <c r="E3970">
        <v>2014</v>
      </c>
      <c r="F3970" t="s">
        <v>21</v>
      </c>
      <c r="S3970">
        <v>0.99981148437205447</v>
      </c>
    </row>
    <row r="3971" spans="4:19" x14ac:dyDescent="0.25">
      <c r="D3971" t="s">
        <v>107</v>
      </c>
      <c r="E3971">
        <v>2015</v>
      </c>
      <c r="F3971" t="s">
        <v>21</v>
      </c>
      <c r="S3971">
        <v>0.95363654849861046</v>
      </c>
    </row>
    <row r="3972" spans="4:19" x14ac:dyDescent="0.25">
      <c r="D3972" t="s">
        <v>107</v>
      </c>
      <c r="E3972">
        <v>2013</v>
      </c>
      <c r="F3972" t="s">
        <v>22</v>
      </c>
      <c r="G3972">
        <v>0.99069083782459577</v>
      </c>
      <c r="H3972">
        <v>0.9950819672131147</v>
      </c>
      <c r="I3972">
        <v>0.99769372693726932</v>
      </c>
      <c r="J3972">
        <v>0.99733688415446076</v>
      </c>
      <c r="K3972">
        <v>0.99950811608460399</v>
      </c>
      <c r="L3972">
        <v>0.99950124688279307</v>
      </c>
      <c r="M3972">
        <v>1</v>
      </c>
      <c r="N3972">
        <v>0.99548625359048015</v>
      </c>
      <c r="O3972">
        <v>1</v>
      </c>
      <c r="P3972">
        <v>0.99728850325379614</v>
      </c>
      <c r="Q3972">
        <v>0.99827705031013092</v>
      </c>
      <c r="R3972">
        <v>0.95723270440251573</v>
      </c>
    </row>
    <row r="3973" spans="4:19" x14ac:dyDescent="0.25">
      <c r="D3973" t="s">
        <v>107</v>
      </c>
      <c r="E3973">
        <v>2014</v>
      </c>
      <c r="F3973" t="s">
        <v>22</v>
      </c>
      <c r="G3973">
        <v>1</v>
      </c>
      <c r="H3973">
        <v>1</v>
      </c>
      <c r="I3973">
        <v>1</v>
      </c>
      <c r="J3973">
        <v>0.99975597852611031</v>
      </c>
      <c r="K3973">
        <v>0.99933687002652516</v>
      </c>
      <c r="L3973">
        <v>1</v>
      </c>
      <c r="M3973">
        <v>0.99949174078780179</v>
      </c>
      <c r="N3973">
        <v>0.99964106245513284</v>
      </c>
      <c r="O3973">
        <v>0.99837133550488599</v>
      </c>
      <c r="P3973">
        <v>0.9989680082559339</v>
      </c>
      <c r="Q3973">
        <v>0.99820574162679421</v>
      </c>
      <c r="R3973">
        <v>1</v>
      </c>
    </row>
    <row r="3974" spans="4:19" x14ac:dyDescent="0.25">
      <c r="D3974" t="s">
        <v>107</v>
      </c>
      <c r="E3974">
        <v>2015</v>
      </c>
      <c r="F3974" t="s">
        <v>22</v>
      </c>
      <c r="G3974">
        <v>0.94770048148763075</v>
      </c>
      <c r="H3974">
        <v>0.99756493506493504</v>
      </c>
      <c r="I3974">
        <v>0.95093228655544648</v>
      </c>
      <c r="J3974">
        <v>0.92678227360308285</v>
      </c>
      <c r="K3974">
        <v>0.90735254511176944</v>
      </c>
      <c r="L3974">
        <v>0.97253555664541447</v>
      </c>
      <c r="M3974">
        <v>0.97154187077210175</v>
      </c>
    </row>
    <row r="3975" spans="4:19" x14ac:dyDescent="0.25">
      <c r="D3975" t="s">
        <v>107</v>
      </c>
      <c r="E3975">
        <v>2013</v>
      </c>
      <c r="F3975" t="s">
        <v>23</v>
      </c>
      <c r="S3975">
        <v>66266</v>
      </c>
    </row>
    <row r="3976" spans="4:19" x14ac:dyDescent="0.25">
      <c r="D3976" t="s">
        <v>107</v>
      </c>
      <c r="E3976">
        <v>2014</v>
      </c>
      <c r="F3976" t="s">
        <v>23</v>
      </c>
      <c r="S3976">
        <v>60105</v>
      </c>
    </row>
    <row r="3977" spans="4:19" x14ac:dyDescent="0.25">
      <c r="D3977" t="s">
        <v>107</v>
      </c>
      <c r="E3977">
        <v>2015</v>
      </c>
      <c r="F3977" t="s">
        <v>23</v>
      </c>
      <c r="S3977">
        <v>61880</v>
      </c>
    </row>
    <row r="3978" spans="4:19" x14ac:dyDescent="0.25">
      <c r="D3978" t="s">
        <v>107</v>
      </c>
      <c r="E3978">
        <v>2013</v>
      </c>
      <c r="F3978" t="s">
        <v>24</v>
      </c>
      <c r="G3978">
        <v>11772</v>
      </c>
      <c r="H3978">
        <v>11101</v>
      </c>
      <c r="I3978">
        <v>10969</v>
      </c>
      <c r="J3978">
        <v>8718</v>
      </c>
      <c r="K3978">
        <v>8140</v>
      </c>
      <c r="L3978">
        <v>7331</v>
      </c>
      <c r="M3978">
        <v>8235</v>
      </c>
      <c r="N3978">
        <v>8491</v>
      </c>
      <c r="O3978">
        <v>9525</v>
      </c>
      <c r="P3978">
        <v>8630</v>
      </c>
      <c r="Q3978">
        <v>7648</v>
      </c>
      <c r="R3978">
        <v>8246</v>
      </c>
    </row>
    <row r="3979" spans="4:19" x14ac:dyDescent="0.25">
      <c r="D3979" t="s">
        <v>107</v>
      </c>
      <c r="E3979">
        <v>2014</v>
      </c>
      <c r="F3979" t="s">
        <v>24</v>
      </c>
      <c r="G3979">
        <v>9716</v>
      </c>
      <c r="H3979">
        <v>9430</v>
      </c>
      <c r="I3979">
        <v>8616</v>
      </c>
      <c r="J3979">
        <v>7437</v>
      </c>
      <c r="K3979">
        <v>7562</v>
      </c>
      <c r="L3979">
        <v>7880</v>
      </c>
      <c r="M3979">
        <v>9464</v>
      </c>
      <c r="N3979">
        <v>8811</v>
      </c>
      <c r="O3979">
        <v>11144</v>
      </c>
      <c r="P3979">
        <v>9507</v>
      </c>
      <c r="Q3979">
        <v>8050</v>
      </c>
      <c r="R3979">
        <v>8825</v>
      </c>
    </row>
    <row r="3980" spans="4:19" x14ac:dyDescent="0.25">
      <c r="D3980" t="s">
        <v>107</v>
      </c>
      <c r="E3980">
        <v>2015</v>
      </c>
      <c r="F3980" t="s">
        <v>24</v>
      </c>
      <c r="G3980">
        <v>9838</v>
      </c>
      <c r="H3980">
        <v>9788</v>
      </c>
      <c r="I3980">
        <v>9267</v>
      </c>
      <c r="J3980">
        <v>8873</v>
      </c>
      <c r="K3980">
        <v>7860</v>
      </c>
      <c r="L3980">
        <v>7715</v>
      </c>
      <c r="M3980">
        <v>8539</v>
      </c>
    </row>
    <row r="3981" spans="4:19" x14ac:dyDescent="0.25">
      <c r="D3981" t="s">
        <v>107</v>
      </c>
      <c r="E3981">
        <v>2013</v>
      </c>
      <c r="F3981" t="s">
        <v>25</v>
      </c>
      <c r="S3981">
        <v>159837</v>
      </c>
    </row>
    <row r="3982" spans="4:19" x14ac:dyDescent="0.25">
      <c r="D3982" t="s">
        <v>107</v>
      </c>
      <c r="E3982">
        <v>2014</v>
      </c>
      <c r="F3982" t="s">
        <v>25</v>
      </c>
      <c r="S3982">
        <v>152256</v>
      </c>
    </row>
    <row r="3983" spans="4:19" x14ac:dyDescent="0.25">
      <c r="D3983" t="s">
        <v>107</v>
      </c>
      <c r="E3983">
        <v>2015</v>
      </c>
      <c r="F3983" t="s">
        <v>25</v>
      </c>
      <c r="S3983">
        <v>162422</v>
      </c>
    </row>
    <row r="3984" spans="4:19" x14ac:dyDescent="0.25">
      <c r="D3984" t="s">
        <v>107</v>
      </c>
      <c r="E3984">
        <v>2013</v>
      </c>
      <c r="F3984" t="s">
        <v>26</v>
      </c>
      <c r="G3984">
        <v>31475</v>
      </c>
      <c r="H3984">
        <v>22317</v>
      </c>
      <c r="I3984">
        <v>21594</v>
      </c>
      <c r="J3984">
        <v>19146</v>
      </c>
      <c r="K3984">
        <v>20993</v>
      </c>
      <c r="L3984">
        <v>21926</v>
      </c>
      <c r="M3984">
        <v>22386</v>
      </c>
      <c r="N3984">
        <v>20990</v>
      </c>
      <c r="O3984">
        <v>27775</v>
      </c>
      <c r="P3984">
        <v>26916</v>
      </c>
      <c r="Q3984">
        <v>24218</v>
      </c>
      <c r="R3984">
        <v>26632</v>
      </c>
    </row>
    <row r="3985" spans="4:19" x14ac:dyDescent="0.25">
      <c r="D3985" t="s">
        <v>107</v>
      </c>
      <c r="E3985">
        <v>2014</v>
      </c>
      <c r="F3985" t="s">
        <v>26</v>
      </c>
      <c r="G3985">
        <v>27904</v>
      </c>
      <c r="H3985">
        <v>23665</v>
      </c>
      <c r="I3985">
        <v>20685</v>
      </c>
      <c r="J3985">
        <v>19584</v>
      </c>
      <c r="K3985">
        <v>18618</v>
      </c>
      <c r="L3985">
        <v>19875</v>
      </c>
      <c r="M3985">
        <v>21925</v>
      </c>
      <c r="N3985">
        <v>20884</v>
      </c>
      <c r="O3985">
        <v>25114</v>
      </c>
      <c r="P3985">
        <v>25063</v>
      </c>
      <c r="Q3985">
        <v>23041</v>
      </c>
      <c r="R3985">
        <v>31218</v>
      </c>
    </row>
    <row r="3986" spans="4:19" x14ac:dyDescent="0.25">
      <c r="D3986" t="s">
        <v>107</v>
      </c>
      <c r="E3986">
        <v>2015</v>
      </c>
      <c r="F3986" t="s">
        <v>26</v>
      </c>
      <c r="G3986">
        <v>27805</v>
      </c>
      <c r="H3986">
        <v>22950</v>
      </c>
      <c r="I3986">
        <v>22277</v>
      </c>
      <c r="J3986">
        <v>23144</v>
      </c>
      <c r="K3986">
        <v>19703</v>
      </c>
      <c r="L3986">
        <v>23657</v>
      </c>
      <c r="M3986">
        <v>22886</v>
      </c>
    </row>
    <row r="3987" spans="4:19" x14ac:dyDescent="0.25">
      <c r="D3987" t="s">
        <v>107</v>
      </c>
      <c r="E3987">
        <v>2013</v>
      </c>
      <c r="F3987" t="s">
        <v>27</v>
      </c>
      <c r="S3987">
        <v>269297</v>
      </c>
    </row>
    <row r="3988" spans="4:19" x14ac:dyDescent="0.25">
      <c r="D3988" t="s">
        <v>107</v>
      </c>
      <c r="E3988">
        <v>2014</v>
      </c>
      <c r="F3988" t="s">
        <v>27</v>
      </c>
      <c r="S3988">
        <v>248280</v>
      </c>
    </row>
    <row r="3989" spans="4:19" x14ac:dyDescent="0.25">
      <c r="D3989" t="s">
        <v>107</v>
      </c>
      <c r="E3989">
        <v>2015</v>
      </c>
      <c r="F3989" t="s">
        <v>27</v>
      </c>
      <c r="S3989">
        <v>258160</v>
      </c>
    </row>
    <row r="3990" spans="4:19" x14ac:dyDescent="0.25">
      <c r="D3990" t="s">
        <v>107</v>
      </c>
      <c r="E3990">
        <v>2013</v>
      </c>
      <c r="F3990" t="s">
        <v>28</v>
      </c>
      <c r="G3990">
        <v>56725</v>
      </c>
      <c r="H3990">
        <v>39915</v>
      </c>
      <c r="I3990">
        <v>37976</v>
      </c>
      <c r="J3990">
        <v>32019</v>
      </c>
      <c r="K3990">
        <v>33145</v>
      </c>
      <c r="L3990">
        <v>33794</v>
      </c>
      <c r="M3990">
        <v>35723</v>
      </c>
      <c r="N3990">
        <v>32510</v>
      </c>
      <c r="O3990">
        <v>43001</v>
      </c>
      <c r="P3990">
        <v>43367</v>
      </c>
      <c r="Q3990">
        <v>38315</v>
      </c>
      <c r="R3990">
        <v>41602</v>
      </c>
    </row>
    <row r="3991" spans="4:19" x14ac:dyDescent="0.25">
      <c r="D3991" t="s">
        <v>107</v>
      </c>
      <c r="E3991">
        <v>2014</v>
      </c>
      <c r="F3991" t="s">
        <v>28</v>
      </c>
      <c r="G3991">
        <v>45014</v>
      </c>
      <c r="H3991">
        <v>38586</v>
      </c>
      <c r="I3991">
        <v>34337</v>
      </c>
      <c r="J3991">
        <v>32540</v>
      </c>
      <c r="K3991">
        <v>29725</v>
      </c>
      <c r="L3991">
        <v>32765</v>
      </c>
      <c r="M3991">
        <v>35313</v>
      </c>
      <c r="N3991">
        <v>31632</v>
      </c>
      <c r="O3991">
        <v>39447</v>
      </c>
      <c r="P3991">
        <v>40770</v>
      </c>
      <c r="Q3991">
        <v>35207</v>
      </c>
      <c r="R3991">
        <v>48204</v>
      </c>
    </row>
    <row r="3992" spans="4:19" x14ac:dyDescent="0.25">
      <c r="D3992" t="s">
        <v>107</v>
      </c>
      <c r="E3992">
        <v>2015</v>
      </c>
      <c r="F3992" t="s">
        <v>28</v>
      </c>
      <c r="G3992">
        <v>42445</v>
      </c>
      <c r="H3992">
        <v>37580</v>
      </c>
      <c r="I3992">
        <v>36218</v>
      </c>
      <c r="J3992">
        <v>36698</v>
      </c>
      <c r="K3992">
        <v>30807</v>
      </c>
      <c r="L3992">
        <v>37815</v>
      </c>
      <c r="M3992">
        <v>36597</v>
      </c>
    </row>
    <row r="3993" spans="4:19" x14ac:dyDescent="0.25">
      <c r="D3993" t="s">
        <v>107</v>
      </c>
      <c r="E3993">
        <v>2013</v>
      </c>
      <c r="F3993" t="s">
        <v>29</v>
      </c>
      <c r="S3993">
        <v>22626</v>
      </c>
    </row>
    <row r="3994" spans="4:19" x14ac:dyDescent="0.25">
      <c r="D3994" t="s">
        <v>107</v>
      </c>
      <c r="E3994">
        <v>2014</v>
      </c>
      <c r="F3994" t="s">
        <v>29</v>
      </c>
      <c r="S3994">
        <v>24519</v>
      </c>
    </row>
    <row r="3995" spans="4:19" x14ac:dyDescent="0.25">
      <c r="D3995" t="s">
        <v>107</v>
      </c>
      <c r="E3995">
        <v>2015</v>
      </c>
      <c r="F3995" t="s">
        <v>29</v>
      </c>
      <c r="S3995">
        <v>17450</v>
      </c>
    </row>
    <row r="3996" spans="4:19" x14ac:dyDescent="0.25">
      <c r="D3996" t="s">
        <v>107</v>
      </c>
      <c r="E3996">
        <v>2013</v>
      </c>
      <c r="F3996" t="s">
        <v>30</v>
      </c>
      <c r="G3996">
        <v>4150</v>
      </c>
      <c r="H3996">
        <v>3375</v>
      </c>
      <c r="I3996">
        <v>3260</v>
      </c>
      <c r="J3996">
        <v>3030</v>
      </c>
      <c r="K3996">
        <v>3041</v>
      </c>
      <c r="L3996">
        <v>2901</v>
      </c>
      <c r="M3996">
        <v>2869</v>
      </c>
      <c r="N3996">
        <v>2601</v>
      </c>
      <c r="O3996">
        <v>3827</v>
      </c>
      <c r="P3996">
        <v>3630</v>
      </c>
      <c r="Q3996">
        <v>3319</v>
      </c>
      <c r="R3996">
        <v>3264</v>
      </c>
    </row>
    <row r="3997" spans="4:19" x14ac:dyDescent="0.25">
      <c r="D3997" t="s">
        <v>107</v>
      </c>
      <c r="E3997">
        <v>2014</v>
      </c>
      <c r="F3997" t="s">
        <v>30</v>
      </c>
      <c r="G3997">
        <v>4119</v>
      </c>
      <c r="H3997">
        <v>3788</v>
      </c>
      <c r="I3997">
        <v>3531</v>
      </c>
      <c r="J3997">
        <v>3320</v>
      </c>
      <c r="K3997">
        <v>3182</v>
      </c>
      <c r="L3997">
        <v>3264</v>
      </c>
      <c r="M3997">
        <v>3315</v>
      </c>
      <c r="N3997">
        <v>3078</v>
      </c>
      <c r="O3997">
        <v>4454</v>
      </c>
      <c r="P3997">
        <v>3981</v>
      </c>
      <c r="Q3997">
        <v>3405</v>
      </c>
      <c r="R3997">
        <v>3299</v>
      </c>
    </row>
    <row r="3998" spans="4:19" x14ac:dyDescent="0.25">
      <c r="D3998" t="s">
        <v>107</v>
      </c>
      <c r="E3998">
        <v>2015</v>
      </c>
      <c r="F3998" t="s">
        <v>30</v>
      </c>
      <c r="G3998">
        <v>3844</v>
      </c>
      <c r="H3998">
        <v>3651</v>
      </c>
      <c r="I3998">
        <v>3737</v>
      </c>
      <c r="J3998">
        <v>1950</v>
      </c>
      <c r="K3998">
        <v>1523</v>
      </c>
      <c r="L3998">
        <v>1859</v>
      </c>
      <c r="M3998">
        <v>886</v>
      </c>
    </row>
    <row r="3999" spans="4:19" x14ac:dyDescent="0.25">
      <c r="D3999" t="s">
        <v>107</v>
      </c>
      <c r="E3999">
        <v>2013</v>
      </c>
      <c r="F3999" t="s">
        <v>31</v>
      </c>
      <c r="S3999">
        <v>0.85220173241179487</v>
      </c>
    </row>
    <row r="4000" spans="4:19" x14ac:dyDescent="0.25">
      <c r="D4000" t="s">
        <v>107</v>
      </c>
      <c r="E4000">
        <v>2014</v>
      </c>
      <c r="F4000" t="s">
        <v>31</v>
      </c>
      <c r="S4000">
        <v>0.91909158971799354</v>
      </c>
    </row>
    <row r="4001" spans="4:19" x14ac:dyDescent="0.25">
      <c r="D4001" t="s">
        <v>107</v>
      </c>
      <c r="E4001">
        <v>2015</v>
      </c>
      <c r="F4001" t="s">
        <v>31</v>
      </c>
      <c r="S4001">
        <v>0.89200064641241117</v>
      </c>
    </row>
    <row r="4002" spans="4:19" x14ac:dyDescent="0.25">
      <c r="D4002" t="s">
        <v>107</v>
      </c>
      <c r="E4002">
        <v>2013</v>
      </c>
      <c r="F4002" t="s">
        <v>32</v>
      </c>
      <c r="G4002">
        <v>0.81668365613319738</v>
      </c>
      <c r="H4002">
        <v>0.86974146473290692</v>
      </c>
      <c r="I4002">
        <v>0.80071109490381986</v>
      </c>
      <c r="J4002">
        <v>0.88598302362927273</v>
      </c>
      <c r="K4002">
        <v>0.88943488943488946</v>
      </c>
      <c r="L4002">
        <v>0.82730868912835898</v>
      </c>
      <c r="M4002">
        <v>0.89751062537947779</v>
      </c>
      <c r="N4002">
        <v>0.95465787304204452</v>
      </c>
      <c r="O4002">
        <v>0.90005249343832017</v>
      </c>
      <c r="P4002">
        <v>0.98377752027809962</v>
      </c>
      <c r="Q4002">
        <v>0.96626569037656906</v>
      </c>
      <c r="R4002">
        <v>0.98253698763036623</v>
      </c>
    </row>
    <row r="4003" spans="4:19" x14ac:dyDescent="0.25">
      <c r="D4003" t="s">
        <v>107</v>
      </c>
      <c r="E4003">
        <v>2014</v>
      </c>
      <c r="F4003" t="s">
        <v>32</v>
      </c>
      <c r="G4003">
        <v>0.95646356525319065</v>
      </c>
      <c r="H4003">
        <v>0.96383881230116653</v>
      </c>
      <c r="I4003">
        <v>0.92583565459610029</v>
      </c>
      <c r="J4003">
        <v>0.94150867285195639</v>
      </c>
      <c r="K4003">
        <v>0.86260248611478441</v>
      </c>
      <c r="L4003">
        <v>0.85228426395939083</v>
      </c>
      <c r="M4003">
        <v>0.91314454775993237</v>
      </c>
      <c r="N4003">
        <v>0.92951991828396319</v>
      </c>
      <c r="O4003">
        <v>0.93027638190954776</v>
      </c>
      <c r="P4003">
        <v>0.91763963395392867</v>
      </c>
      <c r="Q4003">
        <v>0.91354037267080745</v>
      </c>
      <c r="R4003">
        <v>0.93393767705382436</v>
      </c>
    </row>
    <row r="4004" spans="4:19" x14ac:dyDescent="0.25">
      <c r="D4004" t="s">
        <v>107</v>
      </c>
      <c r="E4004">
        <v>2015</v>
      </c>
      <c r="F4004" t="s">
        <v>32</v>
      </c>
      <c r="G4004">
        <v>0.89072982313478344</v>
      </c>
      <c r="H4004">
        <v>0.87913771965672249</v>
      </c>
      <c r="I4004">
        <v>0.86338620912916797</v>
      </c>
      <c r="J4004">
        <v>0.90972613546714753</v>
      </c>
      <c r="K4004">
        <v>0.84414758269720103</v>
      </c>
      <c r="L4004">
        <v>0.92819183408943617</v>
      </c>
      <c r="M4004">
        <v>0.93219346527696456</v>
      </c>
    </row>
    <row r="4005" spans="4:19" x14ac:dyDescent="0.25">
      <c r="D4005" t="s">
        <v>107</v>
      </c>
      <c r="E4005">
        <v>2013</v>
      </c>
      <c r="F4005" t="s">
        <v>33</v>
      </c>
      <c r="S4005">
        <v>0.86564867967853043</v>
      </c>
    </row>
    <row r="4006" spans="4:19" x14ac:dyDescent="0.25">
      <c r="D4006" t="s">
        <v>107</v>
      </c>
      <c r="E4006">
        <v>2014</v>
      </c>
      <c r="F4006" t="s">
        <v>33</v>
      </c>
      <c r="S4006">
        <v>0.93246004422425621</v>
      </c>
    </row>
    <row r="4007" spans="4:19" x14ac:dyDescent="0.25">
      <c r="D4007" t="s">
        <v>107</v>
      </c>
      <c r="E4007">
        <v>2015</v>
      </c>
      <c r="F4007" t="s">
        <v>33</v>
      </c>
      <c r="S4007">
        <v>0.89137990501711284</v>
      </c>
    </row>
    <row r="4008" spans="4:19" x14ac:dyDescent="0.25">
      <c r="D4008" t="s">
        <v>107</v>
      </c>
      <c r="E4008">
        <v>2013</v>
      </c>
      <c r="F4008" t="s">
        <v>34</v>
      </c>
      <c r="G4008">
        <v>0.81102564102564101</v>
      </c>
      <c r="H4008">
        <v>0.89713018161652569</v>
      </c>
      <c r="I4008">
        <v>0.82938925889188042</v>
      </c>
      <c r="J4008">
        <v>0.92045855379188712</v>
      </c>
      <c r="K4008">
        <v>0.92475908080059299</v>
      </c>
      <c r="L4008">
        <v>0.83442916915720267</v>
      </c>
      <c r="M4008">
        <v>0.86227988878591288</v>
      </c>
      <c r="N4008">
        <v>0.92269076305220887</v>
      </c>
      <c r="O4008">
        <v>0.85019669551534227</v>
      </c>
      <c r="P4008">
        <v>0.97553730560894636</v>
      </c>
      <c r="Q4008">
        <v>0.94662805130326855</v>
      </c>
      <c r="R4008">
        <v>0.97293741777861309</v>
      </c>
    </row>
    <row r="4009" spans="4:19" x14ac:dyDescent="0.25">
      <c r="D4009" t="s">
        <v>107</v>
      </c>
      <c r="E4009">
        <v>2014</v>
      </c>
      <c r="F4009" t="s">
        <v>34</v>
      </c>
      <c r="G4009">
        <v>0.93635269334938309</v>
      </c>
      <c r="H4009">
        <v>0.94658521303258147</v>
      </c>
      <c r="I4009">
        <v>0.89115993868165555</v>
      </c>
      <c r="J4009">
        <v>0.91338112305854247</v>
      </c>
      <c r="K4009">
        <v>0.91501775748351089</v>
      </c>
      <c r="L4009">
        <v>0.95126548196015082</v>
      </c>
      <c r="M4009">
        <v>0.9857762777242044</v>
      </c>
      <c r="N4009">
        <v>0.99058425881216805</v>
      </c>
      <c r="O4009">
        <v>0.94687887556841666</v>
      </c>
      <c r="P4009">
        <v>0.93673218673218672</v>
      </c>
      <c r="Q4009">
        <v>0.90534575772437464</v>
      </c>
      <c r="R4009">
        <v>0.95427696346532487</v>
      </c>
    </row>
    <row r="4010" spans="4:19" x14ac:dyDescent="0.25">
      <c r="D4010" t="s">
        <v>107</v>
      </c>
      <c r="E4010">
        <v>2015</v>
      </c>
      <c r="F4010" t="s">
        <v>34</v>
      </c>
      <c r="G4010">
        <v>0.87358592206859398</v>
      </c>
      <c r="H4010">
        <v>0.86353802629389254</v>
      </c>
      <c r="I4010">
        <v>0.86016800840042007</v>
      </c>
      <c r="J4010">
        <v>0.92559147552826437</v>
      </c>
      <c r="K4010">
        <v>0.8159224085673874</v>
      </c>
      <c r="L4010">
        <v>0.95093062605752965</v>
      </c>
      <c r="M4010">
        <v>0.95834136933461911</v>
      </c>
    </row>
    <row r="4011" spans="4:19" x14ac:dyDescent="0.25">
      <c r="D4011" t="s">
        <v>108</v>
      </c>
      <c r="E4011">
        <v>2013</v>
      </c>
      <c r="F4011" t="s">
        <v>17</v>
      </c>
      <c r="S4011">
        <v>0.8859859752236916</v>
      </c>
    </row>
    <row r="4012" spans="4:19" x14ac:dyDescent="0.25">
      <c r="D4012" t="s">
        <v>108</v>
      </c>
      <c r="E4012">
        <v>2014</v>
      </c>
      <c r="F4012" t="s">
        <v>17</v>
      </c>
      <c r="S4012">
        <v>0.88593361873051102</v>
      </c>
    </row>
    <row r="4013" spans="4:19" x14ac:dyDescent="0.25">
      <c r="D4013" t="s">
        <v>108</v>
      </c>
      <c r="E4013">
        <v>2015</v>
      </c>
      <c r="F4013" t="s">
        <v>17</v>
      </c>
      <c r="S4013">
        <v>0.90178985049484106</v>
      </c>
    </row>
    <row r="4014" spans="4:19" x14ac:dyDescent="0.25">
      <c r="D4014" t="s">
        <v>108</v>
      </c>
      <c r="E4014">
        <v>2013</v>
      </c>
      <c r="F4014" t="s">
        <v>18</v>
      </c>
      <c r="G4014">
        <v>0.8736505908655382</v>
      </c>
      <c r="H4014">
        <v>0.86320895522388064</v>
      </c>
      <c r="I4014">
        <v>0.91935111862843089</v>
      </c>
      <c r="J4014">
        <v>0.89545533091411789</v>
      </c>
      <c r="K4014">
        <v>0.87926711668273871</v>
      </c>
      <c r="L4014">
        <v>0.94342655094824812</v>
      </c>
      <c r="M4014">
        <v>0.83664416586306656</v>
      </c>
      <c r="N4014">
        <v>0.87360069557656772</v>
      </c>
      <c r="O4014">
        <v>0.79110384582293725</v>
      </c>
      <c r="P4014">
        <v>0.84104627766599593</v>
      </c>
      <c r="Q4014">
        <v>0.8769508945565283</v>
      </c>
      <c r="R4014">
        <v>0.90396393331064984</v>
      </c>
    </row>
    <row r="4015" spans="4:19" x14ac:dyDescent="0.25">
      <c r="D4015" t="s">
        <v>108</v>
      </c>
      <c r="E4015">
        <v>2014</v>
      </c>
      <c r="F4015" t="s">
        <v>18</v>
      </c>
      <c r="G4015">
        <v>0.84725519287833828</v>
      </c>
      <c r="H4015">
        <v>0.85130441805993051</v>
      </c>
      <c r="I4015">
        <v>0.9257875066737854</v>
      </c>
      <c r="J4015">
        <v>0.87830793905372895</v>
      </c>
      <c r="K4015">
        <v>0.87860835846617835</v>
      </c>
      <c r="L4015">
        <v>0.90407098121085594</v>
      </c>
      <c r="M4015">
        <v>0.93442791174961515</v>
      </c>
      <c r="N4015">
        <v>0.93203133620214063</v>
      </c>
      <c r="O4015">
        <v>0.89489953632148378</v>
      </c>
      <c r="P4015">
        <v>0.91569303185677065</v>
      </c>
      <c r="Q4015">
        <v>0.88095472926324092</v>
      </c>
      <c r="R4015">
        <v>0.89281464530892451</v>
      </c>
    </row>
    <row r="4016" spans="4:19" x14ac:dyDescent="0.25">
      <c r="D4016" t="s">
        <v>108</v>
      </c>
      <c r="E4016">
        <v>2015</v>
      </c>
      <c r="F4016" t="s">
        <v>18</v>
      </c>
      <c r="G4016">
        <v>0.86235458352722194</v>
      </c>
      <c r="H4016">
        <v>0.90816896166728689</v>
      </c>
      <c r="I4016">
        <v>0.9172251719035599</v>
      </c>
      <c r="J4016">
        <v>0.91071608928391068</v>
      </c>
      <c r="K4016">
        <v>0.87281494876431587</v>
      </c>
      <c r="L4016">
        <v>0.90606003039513683</v>
      </c>
      <c r="M4016">
        <v>0.93168223318291532</v>
      </c>
    </row>
    <row r="4017" spans="4:19" x14ac:dyDescent="0.25">
      <c r="D4017" t="s">
        <v>108</v>
      </c>
      <c r="E4017">
        <v>2013</v>
      </c>
      <c r="F4017" t="s">
        <v>19</v>
      </c>
      <c r="S4017">
        <v>0.64008987754184921</v>
      </c>
    </row>
    <row r="4018" spans="4:19" x14ac:dyDescent="0.25">
      <c r="D4018" t="s">
        <v>108</v>
      </c>
      <c r="E4018">
        <v>2014</v>
      </c>
      <c r="F4018" t="s">
        <v>19</v>
      </c>
      <c r="S4018">
        <v>0.9793149515881846</v>
      </c>
    </row>
    <row r="4019" spans="4:19" x14ac:dyDescent="0.25">
      <c r="D4019" t="s">
        <v>108</v>
      </c>
      <c r="E4019">
        <v>2015</v>
      </c>
      <c r="F4019" t="s">
        <v>19</v>
      </c>
      <c r="S4019">
        <v>0.96801186967195529</v>
      </c>
    </row>
    <row r="4020" spans="4:19" x14ac:dyDescent="0.25">
      <c r="D4020" t="s">
        <v>108</v>
      </c>
      <c r="E4020">
        <v>2013</v>
      </c>
      <c r="F4020" t="s">
        <v>20</v>
      </c>
      <c r="G4020">
        <v>0.5293422249166414</v>
      </c>
      <c r="H4020">
        <v>0.58669649319034145</v>
      </c>
      <c r="I4020">
        <v>0.52948770522926447</v>
      </c>
      <c r="J4020">
        <v>0.50537344996635591</v>
      </c>
      <c r="K4020">
        <v>0.50786706805273385</v>
      </c>
      <c r="L4020">
        <v>0.90281306380941861</v>
      </c>
      <c r="M4020">
        <v>0.95993256444192354</v>
      </c>
      <c r="N4020">
        <v>0.88378005518328739</v>
      </c>
      <c r="O4020">
        <v>0.79093889303245279</v>
      </c>
      <c r="P4020">
        <v>0.89941758343348432</v>
      </c>
      <c r="Q4020">
        <v>0.92358222750379615</v>
      </c>
      <c r="R4020">
        <v>0.98124043509025982</v>
      </c>
    </row>
    <row r="4021" spans="4:19" x14ac:dyDescent="0.25">
      <c r="D4021" t="s">
        <v>108</v>
      </c>
      <c r="E4021">
        <v>2014</v>
      </c>
      <c r="F4021" t="s">
        <v>20</v>
      </c>
      <c r="G4021">
        <v>0.98503693500249834</v>
      </c>
      <c r="H4021">
        <v>0.98692888359157727</v>
      </c>
      <c r="I4021">
        <v>0.97279140639469297</v>
      </c>
      <c r="J4021">
        <v>0.97940068930303803</v>
      </c>
      <c r="K4021">
        <v>0.96878404139433549</v>
      </c>
      <c r="L4021">
        <v>0.97938018545632011</v>
      </c>
      <c r="M4021">
        <v>0.97928845832637379</v>
      </c>
      <c r="N4021">
        <v>0.98042359740625884</v>
      </c>
      <c r="O4021">
        <v>0.98122416534181245</v>
      </c>
      <c r="P4021">
        <v>0.96958793443346158</v>
      </c>
      <c r="Q4021">
        <v>0.98177716909691448</v>
      </c>
      <c r="R4021">
        <v>0.98409238868917881</v>
      </c>
    </row>
    <row r="4022" spans="4:19" x14ac:dyDescent="0.25">
      <c r="D4022" t="s">
        <v>108</v>
      </c>
      <c r="E4022">
        <v>2015</v>
      </c>
      <c r="F4022" t="s">
        <v>20</v>
      </c>
      <c r="G4022">
        <v>0.98138630365328516</v>
      </c>
      <c r="H4022">
        <v>0.97744072524407255</v>
      </c>
      <c r="I4022">
        <v>0.95517184756659801</v>
      </c>
      <c r="J4022">
        <v>0.95877935533957392</v>
      </c>
      <c r="K4022">
        <v>0.94332841052650307</v>
      </c>
      <c r="L4022">
        <v>0.9702699323432572</v>
      </c>
      <c r="M4022">
        <v>0.9832784856411555</v>
      </c>
    </row>
    <row r="4023" spans="4:19" x14ac:dyDescent="0.25">
      <c r="D4023" t="s">
        <v>108</v>
      </c>
      <c r="E4023">
        <v>2013</v>
      </c>
      <c r="F4023" t="s">
        <v>21</v>
      </c>
      <c r="S4023">
        <v>0.96946690485144793</v>
      </c>
    </row>
    <row r="4024" spans="4:19" x14ac:dyDescent="0.25">
      <c r="D4024" t="s">
        <v>108</v>
      </c>
      <c r="E4024">
        <v>2014</v>
      </c>
      <c r="F4024" t="s">
        <v>21</v>
      </c>
      <c r="S4024">
        <v>0.98969983969339059</v>
      </c>
    </row>
    <row r="4025" spans="4:19" x14ac:dyDescent="0.25">
      <c r="D4025" t="s">
        <v>108</v>
      </c>
      <c r="E4025">
        <v>2015</v>
      </c>
      <c r="F4025" t="s">
        <v>21</v>
      </c>
      <c r="S4025">
        <v>0.97524112248554828</v>
      </c>
    </row>
    <row r="4026" spans="4:19" x14ac:dyDescent="0.25">
      <c r="D4026" t="s">
        <v>108</v>
      </c>
      <c r="E4026">
        <v>2013</v>
      </c>
      <c r="F4026" t="s">
        <v>22</v>
      </c>
      <c r="G4026">
        <v>0.95685473576716873</v>
      </c>
      <c r="H4026">
        <v>0.96568977841315229</v>
      </c>
      <c r="I4026">
        <v>0.97984126984126985</v>
      </c>
      <c r="J4026">
        <v>0.98318307905686542</v>
      </c>
      <c r="K4026">
        <v>0.96046793061718438</v>
      </c>
      <c r="L4026">
        <v>0.96949669547534312</v>
      </c>
      <c r="M4026">
        <v>0.97268466138677878</v>
      </c>
      <c r="N4026">
        <v>0.95408370581064605</v>
      </c>
      <c r="O4026">
        <v>0.96540929722961344</v>
      </c>
      <c r="P4026">
        <v>0.97810499359795133</v>
      </c>
      <c r="Q4026">
        <v>0.96281707893492985</v>
      </c>
      <c r="R4026">
        <v>0.98140096618357486</v>
      </c>
    </row>
    <row r="4027" spans="4:19" x14ac:dyDescent="0.25">
      <c r="D4027" t="s">
        <v>108</v>
      </c>
      <c r="E4027">
        <v>2014</v>
      </c>
      <c r="F4027" t="s">
        <v>22</v>
      </c>
      <c r="G4027">
        <v>0.99610071301247771</v>
      </c>
      <c r="H4027">
        <v>0.97176781002638524</v>
      </c>
      <c r="I4027">
        <v>0.98453917742419694</v>
      </c>
      <c r="J4027">
        <v>0.98632235474340735</v>
      </c>
      <c r="K4027">
        <v>0.99693117053923719</v>
      </c>
      <c r="L4027">
        <v>0.99697053153401272</v>
      </c>
      <c r="M4027">
        <v>0.99500576258163653</v>
      </c>
      <c r="N4027">
        <v>0.98432659012210677</v>
      </c>
      <c r="O4027">
        <v>0.98534338358458962</v>
      </c>
      <c r="P4027">
        <v>0.9591476484680368</v>
      </c>
      <c r="Q4027">
        <v>0.95310650887573967</v>
      </c>
      <c r="R4027">
        <v>0.99170629215968154</v>
      </c>
    </row>
    <row r="4028" spans="4:19" x14ac:dyDescent="0.25">
      <c r="D4028" t="s">
        <v>108</v>
      </c>
      <c r="E4028">
        <v>2015</v>
      </c>
      <c r="F4028" t="s">
        <v>22</v>
      </c>
      <c r="G4028">
        <v>0.99131295359577742</v>
      </c>
      <c r="H4028">
        <v>0.97652744218156717</v>
      </c>
      <c r="I4028">
        <v>0.97944154648665238</v>
      </c>
      <c r="J4028">
        <v>0.95701855540413039</v>
      </c>
      <c r="K4028">
        <v>0.96349145134336034</v>
      </c>
      <c r="L4028">
        <v>0.98794805194805191</v>
      </c>
      <c r="M4028">
        <v>0.96950589208186888</v>
      </c>
    </row>
    <row r="4029" spans="4:19" x14ac:dyDescent="0.25">
      <c r="D4029" t="s">
        <v>108</v>
      </c>
      <c r="E4029">
        <v>2013</v>
      </c>
      <c r="F4029" t="s">
        <v>23</v>
      </c>
      <c r="S4029">
        <v>134101</v>
      </c>
    </row>
    <row r="4030" spans="4:19" x14ac:dyDescent="0.25">
      <c r="D4030" t="s">
        <v>108</v>
      </c>
      <c r="E4030">
        <v>2014</v>
      </c>
      <c r="F4030" t="s">
        <v>23</v>
      </c>
      <c r="S4030">
        <v>125864</v>
      </c>
    </row>
    <row r="4031" spans="4:19" x14ac:dyDescent="0.25">
      <c r="D4031" t="s">
        <v>108</v>
      </c>
      <c r="E4031">
        <v>2015</v>
      </c>
      <c r="F4031" t="s">
        <v>23</v>
      </c>
      <c r="S4031">
        <v>120799</v>
      </c>
    </row>
    <row r="4032" spans="4:19" x14ac:dyDescent="0.25">
      <c r="D4032" t="s">
        <v>108</v>
      </c>
      <c r="E4032">
        <v>2013</v>
      </c>
      <c r="F4032" t="s">
        <v>24</v>
      </c>
      <c r="G4032">
        <v>23334</v>
      </c>
      <c r="H4032">
        <v>22482</v>
      </c>
      <c r="I4032">
        <v>19456</v>
      </c>
      <c r="J4032">
        <v>17427</v>
      </c>
      <c r="K4032">
        <v>17825</v>
      </c>
      <c r="L4032">
        <v>16084</v>
      </c>
      <c r="M4032">
        <v>17493</v>
      </c>
      <c r="N4032">
        <v>16460</v>
      </c>
      <c r="O4032">
        <v>19591</v>
      </c>
      <c r="P4032">
        <v>17963</v>
      </c>
      <c r="Q4032">
        <v>16723</v>
      </c>
      <c r="R4032">
        <v>17742</v>
      </c>
    </row>
    <row r="4033" spans="4:19" x14ac:dyDescent="0.25">
      <c r="D4033" t="s">
        <v>108</v>
      </c>
      <c r="E4033">
        <v>2014</v>
      </c>
      <c r="F4033" t="s">
        <v>24</v>
      </c>
      <c r="G4033">
        <v>20877</v>
      </c>
      <c r="H4033">
        <v>19366</v>
      </c>
      <c r="I4033">
        <v>17126</v>
      </c>
      <c r="J4033">
        <v>16164</v>
      </c>
      <c r="K4033">
        <v>15152</v>
      </c>
      <c r="L4033">
        <v>18222</v>
      </c>
      <c r="M4033">
        <v>18957</v>
      </c>
      <c r="N4033">
        <v>17529</v>
      </c>
      <c r="O4033">
        <v>21801</v>
      </c>
      <c r="P4033">
        <v>20849</v>
      </c>
      <c r="Q4033">
        <v>17581</v>
      </c>
      <c r="R4033">
        <v>19143</v>
      </c>
    </row>
    <row r="4034" spans="4:19" x14ac:dyDescent="0.25">
      <c r="D4034" t="s">
        <v>108</v>
      </c>
      <c r="E4034">
        <v>2015</v>
      </c>
      <c r="F4034" t="s">
        <v>24</v>
      </c>
      <c r="G4034">
        <v>19475</v>
      </c>
      <c r="H4034">
        <v>18673</v>
      </c>
      <c r="I4034">
        <v>18077</v>
      </c>
      <c r="J4034">
        <v>17093</v>
      </c>
      <c r="K4034">
        <v>14209</v>
      </c>
      <c r="L4034">
        <v>16191</v>
      </c>
      <c r="M4034">
        <v>17081</v>
      </c>
    </row>
    <row r="4035" spans="4:19" x14ac:dyDescent="0.25">
      <c r="D4035" t="s">
        <v>108</v>
      </c>
      <c r="E4035">
        <v>2013</v>
      </c>
      <c r="F4035" t="s">
        <v>25</v>
      </c>
      <c r="S4035">
        <v>372355</v>
      </c>
    </row>
    <row r="4036" spans="4:19" x14ac:dyDescent="0.25">
      <c r="D4036" t="s">
        <v>108</v>
      </c>
      <c r="E4036">
        <v>2014</v>
      </c>
      <c r="F4036" t="s">
        <v>25</v>
      </c>
      <c r="S4036">
        <v>368395</v>
      </c>
    </row>
    <row r="4037" spans="4:19" x14ac:dyDescent="0.25">
      <c r="D4037" t="s">
        <v>108</v>
      </c>
      <c r="E4037">
        <v>2015</v>
      </c>
      <c r="F4037" t="s">
        <v>25</v>
      </c>
      <c r="S4037">
        <v>382884</v>
      </c>
    </row>
    <row r="4038" spans="4:19" x14ac:dyDescent="0.25">
      <c r="D4038" t="s">
        <v>108</v>
      </c>
      <c r="E4038">
        <v>2013</v>
      </c>
      <c r="F4038" t="s">
        <v>26</v>
      </c>
      <c r="G4038">
        <v>62501</v>
      </c>
      <c r="H4038">
        <v>62622</v>
      </c>
      <c r="I4038">
        <v>51299</v>
      </c>
      <c r="J4038">
        <v>47822</v>
      </c>
      <c r="K4038">
        <v>46917</v>
      </c>
      <c r="L4038">
        <v>47279</v>
      </c>
      <c r="M4038">
        <v>53915</v>
      </c>
      <c r="N4038">
        <v>46895</v>
      </c>
      <c r="O4038">
        <v>57310</v>
      </c>
      <c r="P4038">
        <v>61752</v>
      </c>
      <c r="Q4038">
        <v>59050</v>
      </c>
      <c r="R4038">
        <v>60539</v>
      </c>
    </row>
    <row r="4039" spans="4:19" x14ac:dyDescent="0.25">
      <c r="D4039" t="s">
        <v>108</v>
      </c>
      <c r="E4039">
        <v>2014</v>
      </c>
      <c r="F4039" t="s">
        <v>26</v>
      </c>
      <c r="G4039">
        <v>62645</v>
      </c>
      <c r="H4039">
        <v>67395</v>
      </c>
      <c r="I4039">
        <v>48953</v>
      </c>
      <c r="J4039">
        <v>47502</v>
      </c>
      <c r="K4039">
        <v>44905</v>
      </c>
      <c r="L4039">
        <v>44618</v>
      </c>
      <c r="M4039">
        <v>52377</v>
      </c>
      <c r="N4039">
        <v>48253</v>
      </c>
      <c r="O4039">
        <v>58383</v>
      </c>
      <c r="P4039">
        <v>60245</v>
      </c>
      <c r="Q4039">
        <v>55146</v>
      </c>
      <c r="R4039">
        <v>66165</v>
      </c>
    </row>
    <row r="4040" spans="4:19" x14ac:dyDescent="0.25">
      <c r="D4040" t="s">
        <v>108</v>
      </c>
      <c r="E4040">
        <v>2015</v>
      </c>
      <c r="F4040" t="s">
        <v>26</v>
      </c>
      <c r="G4040">
        <v>58120</v>
      </c>
      <c r="H4040">
        <v>65121</v>
      </c>
      <c r="I4040">
        <v>56147</v>
      </c>
      <c r="J4040">
        <v>51759</v>
      </c>
      <c r="K4040">
        <v>40680</v>
      </c>
      <c r="L4040">
        <v>53140</v>
      </c>
      <c r="M4040">
        <v>57917</v>
      </c>
    </row>
    <row r="4041" spans="4:19" x14ac:dyDescent="0.25">
      <c r="D4041" t="s">
        <v>108</v>
      </c>
      <c r="E4041">
        <v>2013</v>
      </c>
      <c r="F4041" t="s">
        <v>27</v>
      </c>
      <c r="S4041">
        <v>634126</v>
      </c>
    </row>
    <row r="4042" spans="4:19" x14ac:dyDescent="0.25">
      <c r="D4042" t="s">
        <v>108</v>
      </c>
      <c r="E4042">
        <v>2014</v>
      </c>
      <c r="F4042" t="s">
        <v>27</v>
      </c>
      <c r="S4042">
        <v>624116</v>
      </c>
    </row>
    <row r="4043" spans="4:19" x14ac:dyDescent="0.25">
      <c r="D4043" t="s">
        <v>108</v>
      </c>
      <c r="E4043">
        <v>2015</v>
      </c>
      <c r="F4043" t="s">
        <v>27</v>
      </c>
      <c r="S4043">
        <v>667279</v>
      </c>
    </row>
    <row r="4044" spans="4:19" x14ac:dyDescent="0.25">
      <c r="D4044" t="s">
        <v>108</v>
      </c>
      <c r="E4044">
        <v>2013</v>
      </c>
      <c r="F4044" t="s">
        <v>28</v>
      </c>
      <c r="G4044">
        <v>103498</v>
      </c>
      <c r="H4044">
        <v>102667</v>
      </c>
      <c r="I4044">
        <v>89117</v>
      </c>
      <c r="J4044">
        <v>84149</v>
      </c>
      <c r="K4044">
        <v>81363</v>
      </c>
      <c r="L4044">
        <v>81542</v>
      </c>
      <c r="M4044">
        <v>91790</v>
      </c>
      <c r="N4044">
        <v>78359</v>
      </c>
      <c r="O4044">
        <v>95324</v>
      </c>
      <c r="P4044">
        <v>103662</v>
      </c>
      <c r="Q4044">
        <v>94196</v>
      </c>
      <c r="R4044">
        <v>99070</v>
      </c>
    </row>
    <row r="4045" spans="4:19" x14ac:dyDescent="0.25">
      <c r="D4045" t="s">
        <v>108</v>
      </c>
      <c r="E4045">
        <v>2014</v>
      </c>
      <c r="F4045" t="s">
        <v>28</v>
      </c>
      <c r="G4045">
        <v>105647</v>
      </c>
      <c r="H4045">
        <v>110185</v>
      </c>
      <c r="I4045">
        <v>82910</v>
      </c>
      <c r="J4045">
        <v>82706</v>
      </c>
      <c r="K4045">
        <v>75651</v>
      </c>
      <c r="L4045">
        <v>78294</v>
      </c>
      <c r="M4045">
        <v>88723</v>
      </c>
      <c r="N4045">
        <v>80404</v>
      </c>
      <c r="O4045">
        <v>100852</v>
      </c>
      <c r="P4045">
        <v>103354</v>
      </c>
      <c r="Q4045">
        <v>94719</v>
      </c>
      <c r="R4045">
        <v>110716</v>
      </c>
    </row>
    <row r="4046" spans="4:19" x14ac:dyDescent="0.25">
      <c r="D4046" t="s">
        <v>108</v>
      </c>
      <c r="E4046">
        <v>2015</v>
      </c>
      <c r="F4046" t="s">
        <v>28</v>
      </c>
      <c r="G4046">
        <v>99567</v>
      </c>
      <c r="H4046">
        <v>107872</v>
      </c>
      <c r="I4046">
        <v>103231</v>
      </c>
      <c r="J4046">
        <v>92097</v>
      </c>
      <c r="K4046">
        <v>70874</v>
      </c>
      <c r="L4046">
        <v>93258</v>
      </c>
      <c r="M4046">
        <v>100380</v>
      </c>
    </row>
    <row r="4047" spans="4:19" x14ac:dyDescent="0.25">
      <c r="D4047" t="s">
        <v>108</v>
      </c>
      <c r="E4047">
        <v>2013</v>
      </c>
      <c r="F4047" t="s">
        <v>29</v>
      </c>
      <c r="S4047">
        <v>83709</v>
      </c>
    </row>
    <row r="4048" spans="4:19" x14ac:dyDescent="0.25">
      <c r="D4048" t="s">
        <v>108</v>
      </c>
      <c r="E4048">
        <v>2014</v>
      </c>
      <c r="F4048" t="s">
        <v>29</v>
      </c>
      <c r="S4048">
        <v>75684</v>
      </c>
    </row>
    <row r="4049" spans="4:19" x14ac:dyDescent="0.25">
      <c r="D4049" t="s">
        <v>108</v>
      </c>
      <c r="E4049">
        <v>2015</v>
      </c>
      <c r="F4049" t="s">
        <v>29</v>
      </c>
      <c r="S4049">
        <v>71235</v>
      </c>
    </row>
    <row r="4050" spans="4:19" x14ac:dyDescent="0.25">
      <c r="D4050" t="s">
        <v>108</v>
      </c>
      <c r="E4050">
        <v>2013</v>
      </c>
      <c r="F4050" t="s">
        <v>30</v>
      </c>
      <c r="G4050">
        <v>15655</v>
      </c>
      <c r="H4050">
        <v>13400</v>
      </c>
      <c r="I4050">
        <v>13007</v>
      </c>
      <c r="J4050">
        <v>11574</v>
      </c>
      <c r="K4050">
        <v>10370</v>
      </c>
      <c r="L4050">
        <v>9333</v>
      </c>
      <c r="M4050">
        <v>10370</v>
      </c>
      <c r="N4050">
        <v>9201</v>
      </c>
      <c r="O4050">
        <v>11623</v>
      </c>
      <c r="P4050">
        <v>11928</v>
      </c>
      <c r="Q4050">
        <v>10508</v>
      </c>
      <c r="R4050">
        <v>11756</v>
      </c>
    </row>
    <row r="4051" spans="4:19" x14ac:dyDescent="0.25">
      <c r="D4051" t="s">
        <v>108</v>
      </c>
      <c r="E4051">
        <v>2014</v>
      </c>
      <c r="F4051" t="s">
        <v>30</v>
      </c>
      <c r="G4051">
        <v>13480</v>
      </c>
      <c r="H4051">
        <v>12381</v>
      </c>
      <c r="I4051">
        <v>11238</v>
      </c>
      <c r="J4051">
        <v>9976</v>
      </c>
      <c r="K4051">
        <v>9284</v>
      </c>
      <c r="L4051">
        <v>9580</v>
      </c>
      <c r="M4051">
        <v>9745</v>
      </c>
      <c r="N4051">
        <v>9063</v>
      </c>
      <c r="O4051">
        <v>12293</v>
      </c>
      <c r="P4051">
        <v>11897</v>
      </c>
      <c r="Q4051">
        <v>10139</v>
      </c>
      <c r="R4051">
        <v>10925</v>
      </c>
    </row>
    <row r="4052" spans="4:19" x14ac:dyDescent="0.25">
      <c r="D4052" t="s">
        <v>108</v>
      </c>
      <c r="E4052">
        <v>2015</v>
      </c>
      <c r="F4052" t="s">
        <v>30</v>
      </c>
      <c r="G4052">
        <v>10745</v>
      </c>
      <c r="H4052">
        <v>10748</v>
      </c>
      <c r="I4052">
        <v>11489</v>
      </c>
      <c r="J4052">
        <v>9901</v>
      </c>
      <c r="K4052">
        <v>8295</v>
      </c>
      <c r="L4052">
        <v>10528</v>
      </c>
      <c r="M4052">
        <v>9529</v>
      </c>
    </row>
    <row r="4053" spans="4:19" x14ac:dyDescent="0.25">
      <c r="D4053" t="s">
        <v>108</v>
      </c>
      <c r="E4053">
        <v>2013</v>
      </c>
      <c r="F4053" t="s">
        <v>31</v>
      </c>
      <c r="S4053">
        <v>0.8663992065681837</v>
      </c>
    </row>
    <row r="4054" spans="4:19" x14ac:dyDescent="0.25">
      <c r="D4054" t="s">
        <v>108</v>
      </c>
      <c r="E4054">
        <v>2014</v>
      </c>
      <c r="F4054" t="s">
        <v>31</v>
      </c>
      <c r="S4054">
        <v>0.94423345833598171</v>
      </c>
    </row>
    <row r="4055" spans="4:19" x14ac:dyDescent="0.25">
      <c r="D4055" t="s">
        <v>108</v>
      </c>
      <c r="E4055">
        <v>2015</v>
      </c>
      <c r="F4055" t="s">
        <v>31</v>
      </c>
      <c r="S4055">
        <v>0.89120770867308508</v>
      </c>
    </row>
    <row r="4056" spans="4:19" x14ac:dyDescent="0.25">
      <c r="D4056" t="s">
        <v>108</v>
      </c>
      <c r="E4056">
        <v>2013</v>
      </c>
      <c r="F4056" t="s">
        <v>32</v>
      </c>
      <c r="G4056">
        <v>0.84139024599297163</v>
      </c>
      <c r="H4056">
        <v>0.82799572991726711</v>
      </c>
      <c r="I4056">
        <v>0.84390419407894735</v>
      </c>
      <c r="J4056">
        <v>0.88638319848510927</v>
      </c>
      <c r="K4056">
        <v>0.86754558204768584</v>
      </c>
      <c r="L4056">
        <v>0.87254414324794827</v>
      </c>
      <c r="M4056">
        <v>0.94740753444234838</v>
      </c>
      <c r="N4056">
        <v>0.94884568651275825</v>
      </c>
      <c r="O4056">
        <v>0.93313256086978713</v>
      </c>
      <c r="P4056">
        <v>0.9704392362077604</v>
      </c>
      <c r="Q4056">
        <v>0.94080009567661305</v>
      </c>
      <c r="R4056">
        <v>0.95947469281929887</v>
      </c>
    </row>
    <row r="4057" spans="4:19" x14ac:dyDescent="0.25">
      <c r="D4057" t="s">
        <v>108</v>
      </c>
      <c r="E4057">
        <v>2014</v>
      </c>
      <c r="F4057" t="s">
        <v>32</v>
      </c>
      <c r="G4057">
        <v>0.96129712123389377</v>
      </c>
      <c r="H4057">
        <v>0.97113497882887534</v>
      </c>
      <c r="I4057">
        <v>0.97273151932733859</v>
      </c>
      <c r="J4057">
        <v>0.96232368225686715</v>
      </c>
      <c r="K4057">
        <v>0.97373284054910247</v>
      </c>
      <c r="L4057">
        <v>0.89051695752387228</v>
      </c>
      <c r="M4057">
        <v>0.88484464841483357</v>
      </c>
      <c r="N4057">
        <v>0.90906497803639685</v>
      </c>
      <c r="O4057">
        <v>0.9305077748727123</v>
      </c>
      <c r="P4057">
        <v>0.91093097990311289</v>
      </c>
      <c r="Q4057">
        <v>0.9146806211250782</v>
      </c>
      <c r="R4057">
        <v>0.90957530167685319</v>
      </c>
    </row>
    <row r="4058" spans="4:19" x14ac:dyDescent="0.25">
      <c r="D4058" t="s">
        <v>108</v>
      </c>
      <c r="E4058">
        <v>2015</v>
      </c>
      <c r="F4058" t="s">
        <v>32</v>
      </c>
      <c r="G4058">
        <v>0.91142490372272145</v>
      </c>
      <c r="H4058">
        <v>0.90660311679965722</v>
      </c>
      <c r="I4058">
        <v>0.8773026497759584</v>
      </c>
      <c r="J4058">
        <v>0.85023108874978059</v>
      </c>
      <c r="K4058">
        <v>0.8877472024773031</v>
      </c>
      <c r="L4058">
        <v>0.91631153109752328</v>
      </c>
      <c r="M4058">
        <v>0.88613078859551553</v>
      </c>
    </row>
    <row r="4059" spans="4:19" x14ac:dyDescent="0.25">
      <c r="D4059" t="s">
        <v>108</v>
      </c>
      <c r="E4059">
        <v>2013</v>
      </c>
      <c r="F4059" t="s">
        <v>33</v>
      </c>
      <c r="S4059">
        <v>0.88941760295602479</v>
      </c>
    </row>
    <row r="4060" spans="4:19" x14ac:dyDescent="0.25">
      <c r="D4060" t="s">
        <v>108</v>
      </c>
      <c r="E4060">
        <v>2014</v>
      </c>
      <c r="F4060" t="s">
        <v>33</v>
      </c>
      <c r="S4060">
        <v>0.951278477421583</v>
      </c>
    </row>
    <row r="4061" spans="4:19" x14ac:dyDescent="0.25">
      <c r="D4061" t="s">
        <v>108</v>
      </c>
      <c r="E4061">
        <v>2015</v>
      </c>
      <c r="F4061" t="s">
        <v>33</v>
      </c>
      <c r="S4061">
        <v>0.90044822830468918</v>
      </c>
    </row>
    <row r="4062" spans="4:19" x14ac:dyDescent="0.25">
      <c r="D4062" t="s">
        <v>108</v>
      </c>
      <c r="E4062">
        <v>2013</v>
      </c>
      <c r="F4062" t="s">
        <v>34</v>
      </c>
      <c r="G4062">
        <v>0.85018181818181815</v>
      </c>
      <c r="H4062">
        <v>0.83918999404407391</v>
      </c>
      <c r="I4062">
        <v>0.87791199309749779</v>
      </c>
      <c r="J4062">
        <v>0.92519033432638198</v>
      </c>
      <c r="K4062">
        <v>0.90285668560454513</v>
      </c>
      <c r="L4062">
        <v>0.91818513119533529</v>
      </c>
      <c r="M4062">
        <v>0.94352021294293797</v>
      </c>
      <c r="N4062">
        <v>0.92403464453265971</v>
      </c>
      <c r="O4062">
        <v>0.9052235566488207</v>
      </c>
      <c r="P4062">
        <v>0.95704231049267863</v>
      </c>
      <c r="Q4062">
        <v>0.91311978938130756</v>
      </c>
      <c r="R4062">
        <v>0.93819307143471165</v>
      </c>
    </row>
    <row r="4063" spans="4:19" x14ac:dyDescent="0.25">
      <c r="D4063" t="s">
        <v>108</v>
      </c>
      <c r="E4063">
        <v>2014</v>
      </c>
      <c r="F4063" t="s">
        <v>34</v>
      </c>
      <c r="G4063">
        <v>0.94376783353051708</v>
      </c>
      <c r="H4063">
        <v>0.9582680104516611</v>
      </c>
      <c r="I4063">
        <v>0.96106711129637346</v>
      </c>
      <c r="J4063">
        <v>0.94745016826300799</v>
      </c>
      <c r="K4063">
        <v>0.96327735744602327</v>
      </c>
      <c r="L4063">
        <v>0.9510835913312693</v>
      </c>
      <c r="M4063">
        <v>0.93095574643905621</v>
      </c>
      <c r="N4063">
        <v>0.95314838264072754</v>
      </c>
      <c r="O4063">
        <v>0.95679969004261911</v>
      </c>
      <c r="P4063">
        <v>0.9290481850598884</v>
      </c>
      <c r="Q4063">
        <v>0.92817035702934636</v>
      </c>
      <c r="R4063">
        <v>0.92204899777282856</v>
      </c>
    </row>
    <row r="4064" spans="4:19" x14ac:dyDescent="0.25">
      <c r="D4064" t="s">
        <v>108</v>
      </c>
      <c r="E4064">
        <v>2015</v>
      </c>
      <c r="F4064" t="s">
        <v>34</v>
      </c>
      <c r="G4064">
        <v>0.9225358228397742</v>
      </c>
      <c r="H4064">
        <v>0.91847419596110691</v>
      </c>
      <c r="I4064">
        <v>0.89232579641926535</v>
      </c>
      <c r="J4064">
        <v>0.83931702814951548</v>
      </c>
      <c r="K4064">
        <v>0.88837375178316691</v>
      </c>
      <c r="L4064">
        <v>0.94617563739376775</v>
      </c>
      <c r="M4064">
        <v>0.89292871457200118</v>
      </c>
    </row>
    <row r="4065" spans="4:19" x14ac:dyDescent="0.25">
      <c r="D4065" t="s">
        <v>109</v>
      </c>
      <c r="E4065">
        <v>2013</v>
      </c>
      <c r="F4065" t="s">
        <v>17</v>
      </c>
      <c r="S4065">
        <v>0.89558743874941737</v>
      </c>
    </row>
    <row r="4066" spans="4:19" x14ac:dyDescent="0.25">
      <c r="D4066" t="s">
        <v>109</v>
      </c>
      <c r="E4066">
        <v>2014</v>
      </c>
      <c r="F4066" t="s">
        <v>17</v>
      </c>
      <c r="S4066">
        <v>0.86245081784662592</v>
      </c>
    </row>
    <row r="4067" spans="4:19" x14ac:dyDescent="0.25">
      <c r="D4067" t="s">
        <v>109</v>
      </c>
      <c r="E4067">
        <v>2015</v>
      </c>
      <c r="F4067" t="s">
        <v>17</v>
      </c>
      <c r="S4067">
        <v>0.88037041337668365</v>
      </c>
    </row>
    <row r="4068" spans="4:19" x14ac:dyDescent="0.25">
      <c r="D4068" t="s">
        <v>109</v>
      </c>
      <c r="E4068">
        <v>2013</v>
      </c>
      <c r="F4068" t="s">
        <v>18</v>
      </c>
      <c r="G4068">
        <v>0.86513693560325688</v>
      </c>
      <c r="H4068">
        <v>0.8655982362418384</v>
      </c>
      <c r="I4068">
        <v>0.88076855588699776</v>
      </c>
      <c r="J4068">
        <v>0.91323570046974301</v>
      </c>
      <c r="K4068">
        <v>0.91345412490362377</v>
      </c>
      <c r="L4068">
        <v>0.92140672782874622</v>
      </c>
      <c r="M4068">
        <v>0.92166967276475131</v>
      </c>
      <c r="N4068">
        <v>0.91185931803559939</v>
      </c>
      <c r="O4068">
        <v>0.87714285714285711</v>
      </c>
      <c r="P4068">
        <v>0.87968903313457625</v>
      </c>
      <c r="Q4068">
        <v>0.86009979671040471</v>
      </c>
      <c r="R4068">
        <v>0.84347107438016533</v>
      </c>
    </row>
    <row r="4069" spans="4:19" x14ac:dyDescent="0.25">
      <c r="D4069" t="s">
        <v>109</v>
      </c>
      <c r="E4069">
        <v>2014</v>
      </c>
      <c r="F4069" t="s">
        <v>18</v>
      </c>
      <c r="G4069">
        <v>0.75020866530085739</v>
      </c>
      <c r="H4069">
        <v>0.86200544609963159</v>
      </c>
      <c r="I4069">
        <v>0.90912208504801095</v>
      </c>
      <c r="J4069">
        <v>0.92551417454141194</v>
      </c>
      <c r="K4069">
        <v>0.89319914012116475</v>
      </c>
      <c r="L4069">
        <v>0.87894736842105259</v>
      </c>
      <c r="M4069">
        <v>0.84176496286588032</v>
      </c>
      <c r="N4069">
        <v>0.90917583558231263</v>
      </c>
      <c r="O4069">
        <v>0.81469760900140642</v>
      </c>
      <c r="P4069">
        <v>0.84031770045385779</v>
      </c>
      <c r="Q4069">
        <v>0.85408335554963122</v>
      </c>
      <c r="R4069">
        <v>0.84846061575369847</v>
      </c>
    </row>
    <row r="4070" spans="4:19" x14ac:dyDescent="0.25">
      <c r="D4070" t="s">
        <v>109</v>
      </c>
      <c r="E4070">
        <v>2015</v>
      </c>
      <c r="F4070" t="s">
        <v>18</v>
      </c>
      <c r="G4070">
        <v>0.81249024199843867</v>
      </c>
      <c r="H4070">
        <v>0.83809438524223157</v>
      </c>
      <c r="I4070">
        <v>0.87015162200282092</v>
      </c>
      <c r="J4070">
        <v>0.93450762501477713</v>
      </c>
      <c r="K4070">
        <v>0.89545648767981767</v>
      </c>
      <c r="L4070">
        <v>0.91808945218393212</v>
      </c>
      <c r="M4070">
        <v>0.94279363593823118</v>
      </c>
    </row>
    <row r="4071" spans="4:19" x14ac:dyDescent="0.25">
      <c r="D4071" t="s">
        <v>109</v>
      </c>
      <c r="E4071">
        <v>2013</v>
      </c>
      <c r="F4071" t="s">
        <v>19</v>
      </c>
      <c r="S4071">
        <v>0.91739099857521289</v>
      </c>
    </row>
    <row r="4072" spans="4:19" x14ac:dyDescent="0.25">
      <c r="D4072" t="s">
        <v>109</v>
      </c>
      <c r="E4072">
        <v>2014</v>
      </c>
      <c r="F4072" t="s">
        <v>19</v>
      </c>
      <c r="S4072">
        <v>0.99055038395449291</v>
      </c>
    </row>
    <row r="4073" spans="4:19" x14ac:dyDescent="0.25">
      <c r="D4073" t="s">
        <v>109</v>
      </c>
      <c r="E4073">
        <v>2015</v>
      </c>
      <c r="F4073" t="s">
        <v>19</v>
      </c>
      <c r="S4073">
        <v>0.99257343744039572</v>
      </c>
    </row>
    <row r="4074" spans="4:19" x14ac:dyDescent="0.25">
      <c r="D4074" t="s">
        <v>109</v>
      </c>
      <c r="E4074">
        <v>2013</v>
      </c>
      <c r="F4074" t="s">
        <v>20</v>
      </c>
      <c r="G4074">
        <v>0.90145042718060797</v>
      </c>
      <c r="H4074">
        <v>0.98612513491870057</v>
      </c>
      <c r="I4074">
        <v>0.87045409434752885</v>
      </c>
      <c r="J4074">
        <v>0.94107744107744107</v>
      </c>
      <c r="K4074">
        <v>0.73384713232818288</v>
      </c>
      <c r="L4074">
        <v>0.98877896681807687</v>
      </c>
      <c r="M4074">
        <v>0.99318317107360254</v>
      </c>
      <c r="N4074">
        <v>0.84636930186961701</v>
      </c>
      <c r="O4074">
        <v>0.94413374494802615</v>
      </c>
      <c r="P4074">
        <v>0.94829722085875234</v>
      </c>
      <c r="Q4074">
        <v>0.70218659319400889</v>
      </c>
      <c r="R4074">
        <v>0.97125354894457472</v>
      </c>
    </row>
    <row r="4075" spans="4:19" x14ac:dyDescent="0.25">
      <c r="D4075" t="s">
        <v>109</v>
      </c>
      <c r="E4075">
        <v>2014</v>
      </c>
      <c r="F4075" t="s">
        <v>20</v>
      </c>
      <c r="G4075">
        <v>0.98035020898770808</v>
      </c>
      <c r="H4075">
        <v>0.99487814573586519</v>
      </c>
      <c r="I4075">
        <v>0.97851700360161442</v>
      </c>
      <c r="J4075">
        <v>0.99307429097848254</v>
      </c>
      <c r="K4075">
        <v>0.99445176978269434</v>
      </c>
      <c r="L4075">
        <v>0.99754489578683514</v>
      </c>
      <c r="M4075">
        <v>0.99733727330291766</v>
      </c>
      <c r="N4075">
        <v>0.98122352477588415</v>
      </c>
      <c r="O4075">
        <v>0.98574695796110734</v>
      </c>
      <c r="P4075">
        <v>0.99689822985186372</v>
      </c>
      <c r="Q4075">
        <v>0.99724195198623944</v>
      </c>
      <c r="R4075">
        <v>0.99398674512940643</v>
      </c>
    </row>
    <row r="4076" spans="4:19" x14ac:dyDescent="0.25">
      <c r="D4076" t="s">
        <v>109</v>
      </c>
      <c r="E4076">
        <v>2015</v>
      </c>
      <c r="F4076" t="s">
        <v>20</v>
      </c>
      <c r="G4076">
        <v>0.98809147305680578</v>
      </c>
      <c r="H4076">
        <v>0.99335443983154625</v>
      </c>
      <c r="I4076">
        <v>0.98466093532622267</v>
      </c>
      <c r="J4076">
        <v>0.99249119542826769</v>
      </c>
      <c r="K4076">
        <v>0.99481941254093154</v>
      </c>
      <c r="L4076">
        <v>0.99812346065131552</v>
      </c>
      <c r="M4076">
        <v>0.99893217025116554</v>
      </c>
    </row>
    <row r="4077" spans="4:19" x14ac:dyDescent="0.25">
      <c r="D4077" t="s">
        <v>109</v>
      </c>
      <c r="E4077">
        <v>2013</v>
      </c>
      <c r="F4077" t="s">
        <v>21</v>
      </c>
      <c r="S4077">
        <v>0.95091434071222325</v>
      </c>
    </row>
    <row r="4078" spans="4:19" x14ac:dyDescent="0.25">
      <c r="D4078" t="s">
        <v>109</v>
      </c>
      <c r="E4078">
        <v>2014</v>
      </c>
      <c r="F4078" t="s">
        <v>21</v>
      </c>
      <c r="S4078">
        <v>0.99063998587167679</v>
      </c>
    </row>
    <row r="4079" spans="4:19" x14ac:dyDescent="0.25">
      <c r="D4079" t="s">
        <v>109</v>
      </c>
      <c r="E4079">
        <v>2015</v>
      </c>
      <c r="F4079" t="s">
        <v>21</v>
      </c>
      <c r="S4079">
        <v>0.99491097409339713</v>
      </c>
    </row>
    <row r="4080" spans="4:19" x14ac:dyDescent="0.25">
      <c r="D4080" t="s">
        <v>109</v>
      </c>
      <c r="E4080">
        <v>2013</v>
      </c>
      <c r="F4080" t="s">
        <v>22</v>
      </c>
      <c r="G4080">
        <v>0.9513330512060939</v>
      </c>
      <c r="H4080">
        <v>0.97480731623145056</v>
      </c>
      <c r="I4080">
        <v>0.97970908201931306</v>
      </c>
      <c r="J4080">
        <v>0.87979358494384297</v>
      </c>
      <c r="K4080">
        <v>0.88691340106434446</v>
      </c>
      <c r="L4080">
        <v>0.98805424020662935</v>
      </c>
      <c r="M4080">
        <v>0.99667013527575443</v>
      </c>
      <c r="N4080">
        <v>0.98026697620429482</v>
      </c>
      <c r="O4080">
        <v>0.98288682897015378</v>
      </c>
      <c r="P4080">
        <v>0.9759954277005144</v>
      </c>
      <c r="Q4080">
        <v>0.96151426174496646</v>
      </c>
      <c r="R4080">
        <v>0.97738998482549322</v>
      </c>
    </row>
    <row r="4081" spans="4:19" x14ac:dyDescent="0.25">
      <c r="D4081" t="s">
        <v>109</v>
      </c>
      <c r="E4081">
        <v>2014</v>
      </c>
      <c r="F4081" t="s">
        <v>22</v>
      </c>
      <c r="G4081">
        <v>0.98523300026527549</v>
      </c>
      <c r="H4081">
        <v>0.99465520855166634</v>
      </c>
      <c r="I4081">
        <v>0.98266615590882977</v>
      </c>
      <c r="J4081">
        <v>0.9897144883844653</v>
      </c>
      <c r="K4081">
        <v>0.98958441828976151</v>
      </c>
      <c r="L4081">
        <v>0.99690053536207379</v>
      </c>
      <c r="M4081">
        <v>0.99620088954781316</v>
      </c>
      <c r="N4081">
        <v>0.98660447314914479</v>
      </c>
      <c r="O4081">
        <v>0.97837150127226458</v>
      </c>
      <c r="P4081">
        <v>0.99748833871546461</v>
      </c>
      <c r="Q4081">
        <v>0.99602662163504518</v>
      </c>
      <c r="R4081">
        <v>0.99871721778791334</v>
      </c>
    </row>
    <row r="4082" spans="4:19" x14ac:dyDescent="0.25">
      <c r="D4082" t="s">
        <v>109</v>
      </c>
      <c r="E4082">
        <v>2015</v>
      </c>
      <c r="F4082" t="s">
        <v>22</v>
      </c>
      <c r="G4082">
        <v>0.99233952628334943</v>
      </c>
      <c r="H4082">
        <v>0.99147699757869245</v>
      </c>
      <c r="I4082">
        <v>0.99514829016354955</v>
      </c>
      <c r="J4082">
        <v>0.9957512203941421</v>
      </c>
      <c r="K4082">
        <v>0.9926991391522284</v>
      </c>
      <c r="L4082">
        <v>0.99720067183875871</v>
      </c>
      <c r="M4082">
        <v>0.99898223538119912</v>
      </c>
    </row>
    <row r="4083" spans="4:19" x14ac:dyDescent="0.25">
      <c r="D4083" t="s">
        <v>109</v>
      </c>
      <c r="E4083">
        <v>2013</v>
      </c>
      <c r="F4083" t="s">
        <v>23</v>
      </c>
      <c r="S4083">
        <v>115177</v>
      </c>
    </row>
    <row r="4084" spans="4:19" x14ac:dyDescent="0.25">
      <c r="D4084" t="s">
        <v>109</v>
      </c>
      <c r="E4084">
        <v>2014</v>
      </c>
      <c r="F4084" t="s">
        <v>23</v>
      </c>
      <c r="S4084">
        <v>120987</v>
      </c>
    </row>
    <row r="4085" spans="4:19" x14ac:dyDescent="0.25">
      <c r="D4085" t="s">
        <v>109</v>
      </c>
      <c r="E4085">
        <v>2015</v>
      </c>
      <c r="F4085" t="s">
        <v>23</v>
      </c>
      <c r="S4085">
        <v>113267</v>
      </c>
    </row>
    <row r="4086" spans="4:19" x14ac:dyDescent="0.25">
      <c r="D4086" t="s">
        <v>109</v>
      </c>
      <c r="E4086">
        <v>2013</v>
      </c>
      <c r="F4086" t="s">
        <v>24</v>
      </c>
      <c r="G4086">
        <v>20234</v>
      </c>
      <c r="H4086">
        <v>18726</v>
      </c>
      <c r="I4086">
        <v>16931</v>
      </c>
      <c r="J4086">
        <v>15552</v>
      </c>
      <c r="K4086">
        <v>15345</v>
      </c>
      <c r="L4086">
        <v>13130</v>
      </c>
      <c r="M4086">
        <v>15259</v>
      </c>
      <c r="N4086">
        <v>15552</v>
      </c>
      <c r="O4086">
        <v>18000</v>
      </c>
      <c r="P4086">
        <v>19700</v>
      </c>
      <c r="Q4086">
        <v>17271</v>
      </c>
      <c r="R4086">
        <v>17238</v>
      </c>
    </row>
    <row r="4087" spans="4:19" x14ac:dyDescent="0.25">
      <c r="D4087" t="s">
        <v>109</v>
      </c>
      <c r="E4087">
        <v>2014</v>
      </c>
      <c r="F4087" t="s">
        <v>24</v>
      </c>
      <c r="G4087">
        <v>20043</v>
      </c>
      <c r="H4087">
        <v>19986</v>
      </c>
      <c r="I4087">
        <v>16350</v>
      </c>
      <c r="J4087">
        <v>15140</v>
      </c>
      <c r="K4087">
        <v>14482</v>
      </c>
      <c r="L4087">
        <v>16404</v>
      </c>
      <c r="M4087">
        <v>18582</v>
      </c>
      <c r="N4087">
        <v>18314</v>
      </c>
      <c r="O4087">
        <v>24486</v>
      </c>
      <c r="P4087">
        <v>19095</v>
      </c>
      <c r="Q4087">
        <v>15832</v>
      </c>
      <c r="R4087">
        <v>17456</v>
      </c>
    </row>
    <row r="4088" spans="4:19" x14ac:dyDescent="0.25">
      <c r="D4088" t="s">
        <v>109</v>
      </c>
      <c r="E4088">
        <v>2015</v>
      </c>
      <c r="F4088" t="s">
        <v>24</v>
      </c>
      <c r="G4088">
        <v>17793</v>
      </c>
      <c r="H4088">
        <v>16288</v>
      </c>
      <c r="I4088">
        <v>17246</v>
      </c>
      <c r="J4088">
        <v>14992</v>
      </c>
      <c r="K4088">
        <v>12775</v>
      </c>
      <c r="L4088">
        <v>16882</v>
      </c>
      <c r="M4088">
        <v>17291</v>
      </c>
    </row>
    <row r="4089" spans="4:19" x14ac:dyDescent="0.25">
      <c r="D4089" t="s">
        <v>109</v>
      </c>
      <c r="E4089">
        <v>2013</v>
      </c>
      <c r="F4089" t="s">
        <v>25</v>
      </c>
      <c r="S4089">
        <v>355355</v>
      </c>
    </row>
    <row r="4090" spans="4:19" x14ac:dyDescent="0.25">
      <c r="D4090" t="s">
        <v>109</v>
      </c>
      <c r="E4090">
        <v>2014</v>
      </c>
      <c r="F4090" t="s">
        <v>25</v>
      </c>
      <c r="S4090">
        <v>363345</v>
      </c>
    </row>
    <row r="4091" spans="4:19" x14ac:dyDescent="0.25">
      <c r="D4091" t="s">
        <v>109</v>
      </c>
      <c r="E4091">
        <v>2015</v>
      </c>
      <c r="F4091" t="s">
        <v>25</v>
      </c>
      <c r="S4091">
        <v>382492</v>
      </c>
    </row>
    <row r="4092" spans="4:19" x14ac:dyDescent="0.25">
      <c r="D4092" t="s">
        <v>109</v>
      </c>
      <c r="E4092">
        <v>2013</v>
      </c>
      <c r="F4092" t="s">
        <v>26</v>
      </c>
      <c r="G4092">
        <v>58803</v>
      </c>
      <c r="H4092">
        <v>51854</v>
      </c>
      <c r="I4092">
        <v>49783</v>
      </c>
      <c r="J4092">
        <v>49005</v>
      </c>
      <c r="K4092">
        <v>46062</v>
      </c>
      <c r="L4092">
        <v>47341</v>
      </c>
      <c r="M4092">
        <v>52507</v>
      </c>
      <c r="N4092">
        <v>46741</v>
      </c>
      <c r="O4092">
        <v>67483</v>
      </c>
      <c r="P4092">
        <v>70495</v>
      </c>
      <c r="Q4092">
        <v>58993</v>
      </c>
      <c r="R4092">
        <v>74008</v>
      </c>
    </row>
    <row r="4093" spans="4:19" x14ac:dyDescent="0.25">
      <c r="D4093" t="s">
        <v>109</v>
      </c>
      <c r="E4093">
        <v>2014</v>
      </c>
      <c r="F4093" t="s">
        <v>26</v>
      </c>
      <c r="G4093">
        <v>61805</v>
      </c>
      <c r="H4093">
        <v>54967</v>
      </c>
      <c r="I4093">
        <v>47773</v>
      </c>
      <c r="J4093">
        <v>50225</v>
      </c>
      <c r="K4093">
        <v>45282</v>
      </c>
      <c r="L4093">
        <v>49225</v>
      </c>
      <c r="M4093">
        <v>54068</v>
      </c>
      <c r="N4093">
        <v>48207</v>
      </c>
      <c r="O4093">
        <v>65042</v>
      </c>
      <c r="P4093">
        <v>64593</v>
      </c>
      <c r="Q4093">
        <v>57405</v>
      </c>
      <c r="R4093">
        <v>74763</v>
      </c>
    </row>
    <row r="4094" spans="4:19" x14ac:dyDescent="0.25">
      <c r="D4094" t="s">
        <v>109</v>
      </c>
      <c r="E4094">
        <v>2015</v>
      </c>
      <c r="F4094" t="s">
        <v>26</v>
      </c>
      <c r="G4094">
        <v>62603</v>
      </c>
      <c r="H4094">
        <v>51166</v>
      </c>
      <c r="I4094">
        <v>56093</v>
      </c>
      <c r="J4094">
        <v>53578</v>
      </c>
      <c r="K4094">
        <v>45514</v>
      </c>
      <c r="L4094">
        <v>57160</v>
      </c>
      <c r="M4094">
        <v>56378</v>
      </c>
    </row>
    <row r="4095" spans="4:19" x14ac:dyDescent="0.25">
      <c r="D4095" t="s">
        <v>109</v>
      </c>
      <c r="E4095">
        <v>2013</v>
      </c>
      <c r="F4095" t="s">
        <v>27</v>
      </c>
      <c r="S4095">
        <v>593123</v>
      </c>
    </row>
    <row r="4096" spans="4:19" x14ac:dyDescent="0.25">
      <c r="D4096" t="s">
        <v>109</v>
      </c>
      <c r="E4096">
        <v>2014</v>
      </c>
      <c r="F4096" t="s">
        <v>27</v>
      </c>
      <c r="S4096">
        <v>597014</v>
      </c>
    </row>
    <row r="4097" spans="4:19" x14ac:dyDescent="0.25">
      <c r="D4097" t="s">
        <v>109</v>
      </c>
      <c r="E4097">
        <v>2015</v>
      </c>
      <c r="F4097" t="s">
        <v>27</v>
      </c>
      <c r="S4097">
        <v>654605</v>
      </c>
    </row>
    <row r="4098" spans="4:19" x14ac:dyDescent="0.25">
      <c r="D4098" t="s">
        <v>109</v>
      </c>
      <c r="E4098">
        <v>2013</v>
      </c>
      <c r="F4098" t="s">
        <v>28</v>
      </c>
      <c r="G4098">
        <v>98457</v>
      </c>
      <c r="H4098">
        <v>87624</v>
      </c>
      <c r="I4098">
        <v>83115</v>
      </c>
      <c r="J4098">
        <v>81694</v>
      </c>
      <c r="K4098">
        <v>76304</v>
      </c>
      <c r="L4098">
        <v>78253</v>
      </c>
      <c r="M4098">
        <v>87676</v>
      </c>
      <c r="N4098">
        <v>77114</v>
      </c>
      <c r="O4098">
        <v>110699</v>
      </c>
      <c r="P4098">
        <v>118947</v>
      </c>
      <c r="Q4098">
        <v>96926</v>
      </c>
      <c r="R4098">
        <v>113550</v>
      </c>
    </row>
    <row r="4099" spans="4:19" x14ac:dyDescent="0.25">
      <c r="D4099" t="s">
        <v>109</v>
      </c>
      <c r="E4099">
        <v>2014</v>
      </c>
      <c r="F4099" t="s">
        <v>28</v>
      </c>
      <c r="G4099">
        <v>101370</v>
      </c>
      <c r="H4099">
        <v>91881</v>
      </c>
      <c r="I4099">
        <v>77958</v>
      </c>
      <c r="J4099">
        <v>81907</v>
      </c>
      <c r="K4099">
        <v>73951</v>
      </c>
      <c r="L4099">
        <v>81518</v>
      </c>
      <c r="M4099">
        <v>88429</v>
      </c>
      <c r="N4099">
        <v>77729</v>
      </c>
      <c r="O4099">
        <v>108056</v>
      </c>
      <c r="P4099">
        <v>107434</v>
      </c>
      <c r="Q4099">
        <v>94294</v>
      </c>
      <c r="R4099">
        <v>120621</v>
      </c>
    </row>
    <row r="4100" spans="4:19" x14ac:dyDescent="0.25">
      <c r="D4100" t="s">
        <v>109</v>
      </c>
      <c r="E4100">
        <v>2015</v>
      </c>
      <c r="F4100" t="s">
        <v>28</v>
      </c>
      <c r="G4100">
        <v>106739</v>
      </c>
      <c r="H4100">
        <v>89077</v>
      </c>
      <c r="I4100">
        <v>98778</v>
      </c>
      <c r="J4100">
        <v>90351</v>
      </c>
      <c r="K4100">
        <v>77136</v>
      </c>
      <c r="L4100">
        <v>97322</v>
      </c>
      <c r="M4100">
        <v>95202</v>
      </c>
    </row>
    <row r="4101" spans="4:19" x14ac:dyDescent="0.25">
      <c r="D4101" t="s">
        <v>109</v>
      </c>
      <c r="E4101">
        <v>2013</v>
      </c>
      <c r="F4101" t="s">
        <v>29</v>
      </c>
      <c r="S4101">
        <v>79387</v>
      </c>
    </row>
    <row r="4102" spans="4:19" x14ac:dyDescent="0.25">
      <c r="D4102" t="s">
        <v>109</v>
      </c>
      <c r="E4102">
        <v>2014</v>
      </c>
      <c r="F4102" t="s">
        <v>29</v>
      </c>
      <c r="S4102">
        <v>80822</v>
      </c>
    </row>
    <row r="4103" spans="4:19" x14ac:dyDescent="0.25">
      <c r="D4103" t="s">
        <v>109</v>
      </c>
      <c r="E4103">
        <v>2015</v>
      </c>
      <c r="F4103" t="s">
        <v>29</v>
      </c>
      <c r="S4103">
        <v>68896</v>
      </c>
    </row>
    <row r="4104" spans="4:19" x14ac:dyDescent="0.25">
      <c r="D4104" t="s">
        <v>109</v>
      </c>
      <c r="E4104">
        <v>2013</v>
      </c>
      <c r="F4104" t="s">
        <v>30</v>
      </c>
      <c r="G4104">
        <v>13510</v>
      </c>
      <c r="H4104">
        <v>11793</v>
      </c>
      <c r="I4104">
        <v>11398</v>
      </c>
      <c r="J4104">
        <v>10857</v>
      </c>
      <c r="K4104">
        <v>10376</v>
      </c>
      <c r="L4104">
        <v>9810</v>
      </c>
      <c r="M4104">
        <v>11643</v>
      </c>
      <c r="N4104">
        <v>9326</v>
      </c>
      <c r="O4104">
        <v>14000</v>
      </c>
      <c r="P4104">
        <v>13249</v>
      </c>
      <c r="Q4104">
        <v>10822</v>
      </c>
      <c r="R4104">
        <v>12100</v>
      </c>
    </row>
    <row r="4105" spans="4:19" x14ac:dyDescent="0.25">
      <c r="D4105" t="s">
        <v>109</v>
      </c>
      <c r="E4105">
        <v>2014</v>
      </c>
      <c r="F4105" t="s">
        <v>30</v>
      </c>
      <c r="G4105">
        <v>13179</v>
      </c>
      <c r="H4105">
        <v>12486</v>
      </c>
      <c r="I4105">
        <v>11664</v>
      </c>
      <c r="J4105">
        <v>10794</v>
      </c>
      <c r="K4105">
        <v>10234</v>
      </c>
      <c r="L4105">
        <v>11020</v>
      </c>
      <c r="M4105">
        <v>11445</v>
      </c>
      <c r="N4105">
        <v>9634</v>
      </c>
      <c r="O4105">
        <v>14220</v>
      </c>
      <c r="P4105">
        <v>13220</v>
      </c>
      <c r="Q4105">
        <v>11253</v>
      </c>
      <c r="R4105">
        <v>12505</v>
      </c>
    </row>
    <row r="4106" spans="4:19" x14ac:dyDescent="0.25">
      <c r="D4106" t="s">
        <v>109</v>
      </c>
      <c r="E4106">
        <v>2015</v>
      </c>
      <c r="F4106" t="s">
        <v>30</v>
      </c>
      <c r="G4106">
        <v>12810</v>
      </c>
      <c r="H4106">
        <v>11167</v>
      </c>
      <c r="I4106">
        <v>11344</v>
      </c>
      <c r="J4106">
        <v>8459</v>
      </c>
      <c r="K4106">
        <v>7021</v>
      </c>
      <c r="L4106">
        <v>9547</v>
      </c>
      <c r="M4106">
        <v>8548</v>
      </c>
    </row>
    <row r="4107" spans="4:19" x14ac:dyDescent="0.25">
      <c r="D4107" t="s">
        <v>109</v>
      </c>
      <c r="E4107">
        <v>2013</v>
      </c>
      <c r="F4107" t="s">
        <v>31</v>
      </c>
      <c r="S4107">
        <v>0.87257004436649677</v>
      </c>
    </row>
    <row r="4108" spans="4:19" x14ac:dyDescent="0.25">
      <c r="D4108" t="s">
        <v>109</v>
      </c>
      <c r="E4108">
        <v>2014</v>
      </c>
      <c r="F4108" t="s">
        <v>31</v>
      </c>
      <c r="S4108">
        <v>0.91237075057650818</v>
      </c>
    </row>
    <row r="4109" spans="4:19" x14ac:dyDescent="0.25">
      <c r="D4109" t="s">
        <v>109</v>
      </c>
      <c r="E4109">
        <v>2015</v>
      </c>
      <c r="F4109" t="s">
        <v>31</v>
      </c>
      <c r="S4109">
        <v>0.91174834682652495</v>
      </c>
    </row>
    <row r="4110" spans="4:19" x14ac:dyDescent="0.25">
      <c r="D4110" t="s">
        <v>109</v>
      </c>
      <c r="E4110">
        <v>2013</v>
      </c>
      <c r="F4110" t="s">
        <v>32</v>
      </c>
      <c r="G4110">
        <v>0.86572106355639022</v>
      </c>
      <c r="H4110">
        <v>0.85683007583039628</v>
      </c>
      <c r="I4110">
        <v>0.86527671135786433</v>
      </c>
      <c r="J4110">
        <v>0.85847479423868311</v>
      </c>
      <c r="K4110">
        <v>0.85037471489084393</v>
      </c>
      <c r="L4110">
        <v>0.87638994668697634</v>
      </c>
      <c r="M4110">
        <v>0.94246018743036897</v>
      </c>
      <c r="N4110">
        <v>0.96617798353909468</v>
      </c>
      <c r="O4110">
        <v>0.94338888888888894</v>
      </c>
      <c r="P4110">
        <v>0.86157360406091366</v>
      </c>
      <c r="Q4110">
        <v>0.91731804759423308</v>
      </c>
      <c r="R4110">
        <v>0.96687550759948948</v>
      </c>
    </row>
    <row r="4111" spans="4:19" x14ac:dyDescent="0.25">
      <c r="D4111" t="s">
        <v>109</v>
      </c>
      <c r="E4111">
        <v>2014</v>
      </c>
      <c r="F4111" t="s">
        <v>32</v>
      </c>
      <c r="G4111">
        <v>0.954298258743701</v>
      </c>
      <c r="H4111">
        <v>0.87306114279995994</v>
      </c>
      <c r="I4111">
        <v>0.94140672782874613</v>
      </c>
      <c r="J4111">
        <v>0.91915455746367236</v>
      </c>
      <c r="K4111">
        <v>0.9294986880265157</v>
      </c>
      <c r="L4111">
        <v>0.87612777371372841</v>
      </c>
      <c r="M4111">
        <v>0.89699709396189864</v>
      </c>
      <c r="N4111">
        <v>0.90160532925630665</v>
      </c>
      <c r="O4111">
        <v>0.94012905333660046</v>
      </c>
      <c r="P4111">
        <v>0.93474731605132233</v>
      </c>
      <c r="Q4111">
        <v>0.94959575543203634</v>
      </c>
      <c r="R4111">
        <v>0.93664069660861593</v>
      </c>
    </row>
    <row r="4112" spans="4:19" x14ac:dyDescent="0.25">
      <c r="D4112" t="s">
        <v>109</v>
      </c>
      <c r="E4112">
        <v>2015</v>
      </c>
      <c r="F4112" t="s">
        <v>32</v>
      </c>
      <c r="G4112">
        <v>0.92626313718878206</v>
      </c>
      <c r="H4112">
        <v>0.92681728880157166</v>
      </c>
      <c r="I4112">
        <v>0.90374579612663808</v>
      </c>
      <c r="J4112">
        <v>0.91268676627534684</v>
      </c>
      <c r="K4112">
        <v>0.92367906066536198</v>
      </c>
      <c r="L4112">
        <v>0.90066342850373182</v>
      </c>
      <c r="M4112">
        <v>0.89179341854143779</v>
      </c>
    </row>
    <row r="4113" spans="4:19" x14ac:dyDescent="0.25">
      <c r="D4113" t="s">
        <v>109</v>
      </c>
      <c r="E4113">
        <v>2013</v>
      </c>
      <c r="F4113" t="s">
        <v>33</v>
      </c>
      <c r="S4113">
        <v>0.90624161159612948</v>
      </c>
    </row>
    <row r="4114" spans="4:19" x14ac:dyDescent="0.25">
      <c r="D4114" t="s">
        <v>109</v>
      </c>
      <c r="E4114">
        <v>2014</v>
      </c>
      <c r="F4114" t="s">
        <v>33</v>
      </c>
      <c r="S4114">
        <v>0.89699592411815021</v>
      </c>
    </row>
    <row r="4115" spans="4:19" x14ac:dyDescent="0.25">
      <c r="D4115" t="s">
        <v>109</v>
      </c>
      <c r="E4115">
        <v>2015</v>
      </c>
      <c r="F4115" t="s">
        <v>33</v>
      </c>
      <c r="S4115">
        <v>0.9374954764558574</v>
      </c>
    </row>
    <row r="4116" spans="4:19" x14ac:dyDescent="0.25">
      <c r="D4116" t="s">
        <v>109</v>
      </c>
      <c r="E4116">
        <v>2013</v>
      </c>
      <c r="F4116" t="s">
        <v>34</v>
      </c>
      <c r="G4116">
        <v>0.90721802282495922</v>
      </c>
      <c r="H4116">
        <v>0.88657874321179209</v>
      </c>
      <c r="I4116">
        <v>0.90491970430792756</v>
      </c>
      <c r="J4116">
        <v>0.89085909349516401</v>
      </c>
      <c r="K4116">
        <v>0.89891411648568609</v>
      </c>
      <c r="L4116">
        <v>0.92843029637760699</v>
      </c>
      <c r="M4116">
        <v>0.93442782203225183</v>
      </c>
      <c r="N4116">
        <v>0.94749450988221207</v>
      </c>
      <c r="O4116">
        <v>0.91668710653258112</v>
      </c>
      <c r="P4116">
        <v>0.80619714306019474</v>
      </c>
      <c r="Q4116">
        <v>0.87348276778594847</v>
      </c>
      <c r="R4116">
        <v>0.95089861553014021</v>
      </c>
    </row>
    <row r="4117" spans="4:19" x14ac:dyDescent="0.25">
      <c r="D4117" t="s">
        <v>109</v>
      </c>
      <c r="E4117">
        <v>2014</v>
      </c>
      <c r="F4117" t="s">
        <v>34</v>
      </c>
      <c r="G4117">
        <v>0.934233199310741</v>
      </c>
      <c r="H4117">
        <v>0.82465961711244729</v>
      </c>
      <c r="I4117">
        <v>0.91756303244127013</v>
      </c>
      <c r="J4117">
        <v>0.88628762541806017</v>
      </c>
      <c r="K4117">
        <v>0.90036108129208547</v>
      </c>
      <c r="L4117">
        <v>0.87451104767945875</v>
      </c>
      <c r="M4117">
        <v>0.96168369613505111</v>
      </c>
      <c r="N4117">
        <v>0.94282039289055197</v>
      </c>
      <c r="O4117">
        <v>0.96634752109204669</v>
      </c>
      <c r="P4117">
        <v>0.97973110613159498</v>
      </c>
      <c r="Q4117">
        <v>0.987614960147149</v>
      </c>
      <c r="R4117">
        <v>0.9741728036510735</v>
      </c>
    </row>
    <row r="4118" spans="4:19" x14ac:dyDescent="0.25">
      <c r="D4118" t="s">
        <v>109</v>
      </c>
      <c r="E4118">
        <v>2015</v>
      </c>
      <c r="F4118" t="s">
        <v>34</v>
      </c>
      <c r="G4118">
        <v>0.94715871359453563</v>
      </c>
      <c r="H4118">
        <v>0.94773146798795294</v>
      </c>
      <c r="I4118">
        <v>0.94373712787867436</v>
      </c>
      <c r="J4118">
        <v>0.94262202682899332</v>
      </c>
      <c r="K4118">
        <v>0.96700926278391064</v>
      </c>
      <c r="L4118">
        <v>0.91455144351869788</v>
      </c>
      <c r="M4118">
        <v>0.90746211760221096</v>
      </c>
    </row>
    <row r="4119" spans="4:19" x14ac:dyDescent="0.25">
      <c r="D4119" t="s">
        <v>110</v>
      </c>
      <c r="E4119">
        <v>2013</v>
      </c>
      <c r="F4119" t="s">
        <v>17</v>
      </c>
      <c r="S4119">
        <v>0.84125356125356121</v>
      </c>
    </row>
    <row r="4120" spans="4:19" x14ac:dyDescent="0.25">
      <c r="D4120" t="s">
        <v>110</v>
      </c>
      <c r="E4120">
        <v>2014</v>
      </c>
      <c r="F4120" t="s">
        <v>17</v>
      </c>
      <c r="S4120">
        <v>0.93756194251734393</v>
      </c>
    </row>
    <row r="4121" spans="4:19" x14ac:dyDescent="0.25">
      <c r="D4121" t="s">
        <v>110</v>
      </c>
      <c r="E4121">
        <v>2015</v>
      </c>
      <c r="F4121" t="s">
        <v>17</v>
      </c>
      <c r="S4121">
        <v>0.99195378584691563</v>
      </c>
    </row>
    <row r="4122" spans="4:19" x14ac:dyDescent="0.25">
      <c r="D4122" t="s">
        <v>110</v>
      </c>
      <c r="E4122">
        <v>2013</v>
      </c>
      <c r="F4122" t="s">
        <v>18</v>
      </c>
      <c r="G4122">
        <v>0.73839501462546098</v>
      </c>
      <c r="H4122">
        <v>0.75818939845145916</v>
      </c>
      <c r="I4122">
        <v>0.82861021550992708</v>
      </c>
      <c r="J4122">
        <v>0.89210870988867064</v>
      </c>
      <c r="K4122">
        <v>0.83838383838383834</v>
      </c>
      <c r="L4122">
        <v>0.92885154061624653</v>
      </c>
      <c r="M4122">
        <v>0.95433333333333337</v>
      </c>
      <c r="N4122">
        <v>0.92670065037792226</v>
      </c>
      <c r="O4122">
        <v>0.92002005766578909</v>
      </c>
      <c r="P4122">
        <v>0.9329978813559322</v>
      </c>
      <c r="Q4122">
        <v>0.89013526888815575</v>
      </c>
      <c r="R4122">
        <v>0.8899760014768322</v>
      </c>
    </row>
    <row r="4123" spans="4:19" x14ac:dyDescent="0.25">
      <c r="D4123" t="s">
        <v>110</v>
      </c>
      <c r="E4123">
        <v>2014</v>
      </c>
      <c r="F4123" t="s">
        <v>18</v>
      </c>
      <c r="G4123">
        <v>0.88957399103139012</v>
      </c>
      <c r="H4123">
        <v>0.92501179059896244</v>
      </c>
      <c r="I4123">
        <v>0.94459438006032703</v>
      </c>
      <c r="J4123">
        <v>0.94145321484579192</v>
      </c>
      <c r="K4123">
        <v>0.890351823872221</v>
      </c>
      <c r="L4123">
        <v>0.99490445859872612</v>
      </c>
      <c r="M4123">
        <v>0.99276133702363212</v>
      </c>
      <c r="N4123">
        <v>0.99261481652434802</v>
      </c>
      <c r="O4123">
        <v>0.99727631758137003</v>
      </c>
      <c r="P4123">
        <v>0.99605451936872313</v>
      </c>
      <c r="Q4123">
        <v>0.99611838913148953</v>
      </c>
      <c r="R4123">
        <v>0.99409158050221569</v>
      </c>
    </row>
    <row r="4124" spans="4:19" x14ac:dyDescent="0.25">
      <c r="D4124" t="s">
        <v>110</v>
      </c>
      <c r="E4124">
        <v>2015</v>
      </c>
      <c r="F4124" t="s">
        <v>18</v>
      </c>
      <c r="G4124">
        <v>0.99052841475573283</v>
      </c>
      <c r="H4124">
        <v>0.99179054803638789</v>
      </c>
      <c r="I4124">
        <v>0.99118165784832446</v>
      </c>
      <c r="J4124">
        <v>0.99429563492063489</v>
      </c>
      <c r="K4124">
        <v>0.99504424778761058</v>
      </c>
      <c r="L4124">
        <v>0.99032453134448695</v>
      </c>
      <c r="M4124">
        <v>0.99192207175100977</v>
      </c>
    </row>
    <row r="4125" spans="4:19" x14ac:dyDescent="0.25">
      <c r="D4125" t="s">
        <v>110</v>
      </c>
      <c r="E4125">
        <v>2013</v>
      </c>
      <c r="F4125" t="s">
        <v>19</v>
      </c>
      <c r="S4125">
        <v>0.68216118731058428</v>
      </c>
    </row>
    <row r="4126" spans="4:19" x14ac:dyDescent="0.25">
      <c r="D4126" t="s">
        <v>110</v>
      </c>
      <c r="E4126">
        <v>2014</v>
      </c>
      <c r="F4126" t="s">
        <v>19</v>
      </c>
      <c r="S4126">
        <v>0.87267137273590745</v>
      </c>
    </row>
    <row r="4127" spans="4:19" x14ac:dyDescent="0.25">
      <c r="D4127" t="s">
        <v>110</v>
      </c>
      <c r="E4127">
        <v>2015</v>
      </c>
      <c r="F4127" t="s">
        <v>19</v>
      </c>
      <c r="S4127">
        <v>0.98438148043046425</v>
      </c>
    </row>
    <row r="4128" spans="4:19" x14ac:dyDescent="0.25">
      <c r="D4128" t="s">
        <v>110</v>
      </c>
      <c r="E4128">
        <v>2013</v>
      </c>
      <c r="F4128" t="s">
        <v>20</v>
      </c>
      <c r="G4128">
        <v>0.73893762088030168</v>
      </c>
      <c r="H4128">
        <v>0.78478427981166521</v>
      </c>
      <c r="I4128">
        <v>0.62549356414660806</v>
      </c>
      <c r="J4128">
        <v>0.54571561626823972</v>
      </c>
      <c r="K4128">
        <v>0.57788374205267934</v>
      </c>
      <c r="L4128">
        <v>0.7742607354075598</v>
      </c>
      <c r="M4128">
        <v>0.71172135637106015</v>
      </c>
      <c r="N4128">
        <v>0.58065101802619634</v>
      </c>
      <c r="O4128">
        <v>0.68406498444521258</v>
      </c>
      <c r="P4128">
        <v>0.59142665773610181</v>
      </c>
      <c r="Q4128">
        <v>0.52781665500349895</v>
      </c>
      <c r="R4128">
        <v>0.74703850867094956</v>
      </c>
    </row>
    <row r="4129" spans="4:19" x14ac:dyDescent="0.25">
      <c r="D4129" t="s">
        <v>110</v>
      </c>
      <c r="E4129">
        <v>2014</v>
      </c>
      <c r="F4129" t="s">
        <v>20</v>
      </c>
      <c r="G4129">
        <v>0.99415183888227243</v>
      </c>
      <c r="H4129">
        <v>0.99378172588832492</v>
      </c>
      <c r="I4129">
        <v>0.8380152946932049</v>
      </c>
      <c r="J4129">
        <v>0.84548178884278469</v>
      </c>
      <c r="K4129">
        <v>0.72802367556668512</v>
      </c>
      <c r="L4129">
        <v>0.72931127738213286</v>
      </c>
      <c r="M4129">
        <v>0.89142123619453595</v>
      </c>
      <c r="N4129">
        <v>0.76947686322686326</v>
      </c>
      <c r="O4129">
        <v>0.68254722390602729</v>
      </c>
      <c r="P4129">
        <v>0.91310317771675165</v>
      </c>
      <c r="Q4129">
        <v>0.93193096482367921</v>
      </c>
      <c r="R4129">
        <v>0.99497899775324805</v>
      </c>
    </row>
    <row r="4130" spans="4:19" x14ac:dyDescent="0.25">
      <c r="D4130" t="s">
        <v>110</v>
      </c>
      <c r="E4130">
        <v>2015</v>
      </c>
      <c r="F4130" t="s">
        <v>20</v>
      </c>
      <c r="G4130">
        <v>0.96840532380306854</v>
      </c>
      <c r="H4130">
        <v>0.9855596987643489</v>
      </c>
      <c r="I4130">
        <v>0.98606873930908001</v>
      </c>
      <c r="J4130">
        <v>0.98708704101462619</v>
      </c>
      <c r="K4130">
        <v>0.98350650294267239</v>
      </c>
      <c r="L4130">
        <v>0.98684436211450721</v>
      </c>
      <c r="M4130">
        <v>0.99727933460297713</v>
      </c>
    </row>
    <row r="4131" spans="4:19" x14ac:dyDescent="0.25">
      <c r="D4131" t="s">
        <v>110</v>
      </c>
      <c r="E4131">
        <v>2013</v>
      </c>
      <c r="F4131" t="s">
        <v>21</v>
      </c>
      <c r="S4131">
        <v>0.90781062400623036</v>
      </c>
    </row>
    <row r="4132" spans="4:19" x14ac:dyDescent="0.25">
      <c r="D4132" t="s">
        <v>110</v>
      </c>
      <c r="E4132">
        <v>2014</v>
      </c>
      <c r="F4132" t="s">
        <v>21</v>
      </c>
      <c r="S4132">
        <v>0.9479857068756844</v>
      </c>
    </row>
    <row r="4133" spans="4:19" x14ac:dyDescent="0.25">
      <c r="D4133" t="s">
        <v>110</v>
      </c>
      <c r="E4133">
        <v>2015</v>
      </c>
      <c r="F4133" t="s">
        <v>21</v>
      </c>
      <c r="S4133">
        <v>0.9567182112631909</v>
      </c>
    </row>
    <row r="4134" spans="4:19" x14ac:dyDescent="0.25">
      <c r="D4134" t="s">
        <v>110</v>
      </c>
      <c r="E4134">
        <v>2013</v>
      </c>
      <c r="F4134" t="s">
        <v>22</v>
      </c>
      <c r="G4134">
        <v>0.91932024418412805</v>
      </c>
      <c r="H4134">
        <v>0.86714456391875749</v>
      </c>
      <c r="I4134">
        <v>0.92509464575446188</v>
      </c>
      <c r="J4134">
        <v>0.97103583701521845</v>
      </c>
      <c r="K4134">
        <v>0.94064282011404876</v>
      </c>
      <c r="L4134">
        <v>0.91579237990060736</v>
      </c>
      <c r="M4134">
        <v>0.83699943598420756</v>
      </c>
      <c r="N4134">
        <v>0.93130387931034486</v>
      </c>
      <c r="O4134">
        <v>0.90014829461196244</v>
      </c>
      <c r="P4134">
        <v>0.96211331247827603</v>
      </c>
      <c r="Q4134">
        <v>0.93689199301571469</v>
      </c>
      <c r="R4134">
        <v>0.97364795039614194</v>
      </c>
    </row>
    <row r="4135" spans="4:19" x14ac:dyDescent="0.25">
      <c r="D4135" t="s">
        <v>110</v>
      </c>
      <c r="E4135">
        <v>2014</v>
      </c>
      <c r="F4135" t="s">
        <v>22</v>
      </c>
      <c r="G4135">
        <v>0.88039964736996768</v>
      </c>
      <c r="H4135">
        <v>0.98352285913204918</v>
      </c>
      <c r="I4135">
        <v>0.97659090909090907</v>
      </c>
      <c r="J4135">
        <v>0.99230769230769234</v>
      </c>
      <c r="K4135">
        <v>0.9683590875643856</v>
      </c>
      <c r="L4135">
        <v>0.96033755274261601</v>
      </c>
      <c r="M4135">
        <v>0.91102514506769827</v>
      </c>
      <c r="N4135">
        <v>0.95090866178900169</v>
      </c>
      <c r="O4135">
        <v>0.90617848970251713</v>
      </c>
      <c r="P4135">
        <v>0.90720650910499812</v>
      </c>
      <c r="Q4135">
        <v>0.88560885608856088</v>
      </c>
      <c r="R4135">
        <v>0.97678600621219547</v>
      </c>
    </row>
    <row r="4136" spans="4:19" x14ac:dyDescent="0.25">
      <c r="D4136" t="s">
        <v>110</v>
      </c>
      <c r="E4136">
        <v>2015</v>
      </c>
      <c r="F4136" t="s">
        <v>22</v>
      </c>
      <c r="G4136">
        <v>0.84074125679253164</v>
      </c>
      <c r="H4136">
        <v>0.98308103294746219</v>
      </c>
      <c r="I4136">
        <v>0.98556217289297965</v>
      </c>
      <c r="J4136">
        <v>0.9818777713514556</v>
      </c>
      <c r="K4136">
        <v>0.96658762664367326</v>
      </c>
      <c r="L4136">
        <v>0.98392671966816458</v>
      </c>
      <c r="M4136">
        <v>0.99707067008421824</v>
      </c>
    </row>
    <row r="4137" spans="4:19" x14ac:dyDescent="0.25">
      <c r="D4137" t="s">
        <v>110</v>
      </c>
      <c r="E4137">
        <v>2013</v>
      </c>
      <c r="F4137" t="s">
        <v>23</v>
      </c>
      <c r="S4137">
        <v>88880</v>
      </c>
    </row>
    <row r="4138" spans="4:19" x14ac:dyDescent="0.25">
      <c r="D4138" t="s">
        <v>110</v>
      </c>
      <c r="E4138">
        <v>2014</v>
      </c>
      <c r="F4138" t="s">
        <v>23</v>
      </c>
      <c r="S4138">
        <v>91367</v>
      </c>
    </row>
    <row r="4139" spans="4:19" x14ac:dyDescent="0.25">
      <c r="D4139" t="s">
        <v>110</v>
      </c>
      <c r="E4139">
        <v>2015</v>
      </c>
      <c r="F4139" t="s">
        <v>23</v>
      </c>
      <c r="S4139">
        <v>81870</v>
      </c>
    </row>
    <row r="4140" spans="4:19" x14ac:dyDescent="0.25">
      <c r="D4140" t="s">
        <v>110</v>
      </c>
      <c r="E4140">
        <v>2013</v>
      </c>
      <c r="F4140" t="s">
        <v>24</v>
      </c>
      <c r="G4140">
        <v>15374</v>
      </c>
      <c r="H4140">
        <v>14682</v>
      </c>
      <c r="I4140">
        <v>12721</v>
      </c>
      <c r="J4140">
        <v>12068</v>
      </c>
      <c r="K4140">
        <v>11796</v>
      </c>
      <c r="L4140">
        <v>10418</v>
      </c>
      <c r="M4140">
        <v>11821</v>
      </c>
      <c r="N4140">
        <v>12756</v>
      </c>
      <c r="O4140">
        <v>13417</v>
      </c>
      <c r="P4140">
        <v>12678</v>
      </c>
      <c r="Q4140">
        <v>12135</v>
      </c>
      <c r="R4140">
        <v>12301</v>
      </c>
    </row>
    <row r="4141" spans="4:19" x14ac:dyDescent="0.25">
      <c r="D4141" t="s">
        <v>110</v>
      </c>
      <c r="E4141">
        <v>2014</v>
      </c>
      <c r="F4141" t="s">
        <v>24</v>
      </c>
      <c r="G4141">
        <v>14430</v>
      </c>
      <c r="H4141">
        <v>14213</v>
      </c>
      <c r="I4141">
        <v>12173</v>
      </c>
      <c r="J4141">
        <v>11749</v>
      </c>
      <c r="K4141">
        <v>11719</v>
      </c>
      <c r="L4141">
        <v>12793</v>
      </c>
      <c r="M4141">
        <v>14290</v>
      </c>
      <c r="N4141">
        <v>13691</v>
      </c>
      <c r="O4141">
        <v>18237</v>
      </c>
      <c r="P4141">
        <v>14724</v>
      </c>
      <c r="Q4141">
        <v>13055</v>
      </c>
      <c r="R4141">
        <v>12770</v>
      </c>
    </row>
    <row r="4142" spans="4:19" x14ac:dyDescent="0.25">
      <c r="D4142" t="s">
        <v>110</v>
      </c>
      <c r="E4142">
        <v>2015</v>
      </c>
      <c r="F4142" t="s">
        <v>24</v>
      </c>
      <c r="G4142">
        <v>13931</v>
      </c>
      <c r="H4142">
        <v>13004</v>
      </c>
      <c r="I4142">
        <v>11614</v>
      </c>
      <c r="J4142">
        <v>9882</v>
      </c>
      <c r="K4142">
        <v>9002</v>
      </c>
      <c r="L4142">
        <v>11993</v>
      </c>
      <c r="M4142">
        <v>12444</v>
      </c>
    </row>
    <row r="4143" spans="4:19" x14ac:dyDescent="0.25">
      <c r="D4143" t="s">
        <v>110</v>
      </c>
      <c r="E4143">
        <v>2013</v>
      </c>
      <c r="F4143" t="s">
        <v>25</v>
      </c>
      <c r="S4143">
        <v>262452</v>
      </c>
    </row>
    <row r="4144" spans="4:19" x14ac:dyDescent="0.25">
      <c r="D4144" t="s">
        <v>110</v>
      </c>
      <c r="E4144">
        <v>2014</v>
      </c>
      <c r="F4144" t="s">
        <v>25</v>
      </c>
      <c r="S4144">
        <v>253936</v>
      </c>
    </row>
    <row r="4145" spans="4:19" x14ac:dyDescent="0.25">
      <c r="D4145" t="s">
        <v>110</v>
      </c>
      <c r="E4145">
        <v>2015</v>
      </c>
      <c r="F4145" t="s">
        <v>25</v>
      </c>
      <c r="S4145">
        <v>278074</v>
      </c>
    </row>
    <row r="4146" spans="4:19" x14ac:dyDescent="0.25">
      <c r="D4146" t="s">
        <v>110</v>
      </c>
      <c r="E4146">
        <v>2013</v>
      </c>
      <c r="F4146" t="s">
        <v>26</v>
      </c>
      <c r="G4146">
        <v>48648</v>
      </c>
      <c r="H4146">
        <v>39651</v>
      </c>
      <c r="I4146">
        <v>35993</v>
      </c>
      <c r="J4146">
        <v>34147</v>
      </c>
      <c r="K4146">
        <v>33631</v>
      </c>
      <c r="L4146">
        <v>33476</v>
      </c>
      <c r="M4146">
        <v>36906</v>
      </c>
      <c r="N4146">
        <v>33263</v>
      </c>
      <c r="O4146">
        <v>48326</v>
      </c>
      <c r="P4146">
        <v>45927</v>
      </c>
      <c r="Q4146">
        <v>37026</v>
      </c>
      <c r="R4146">
        <v>46485</v>
      </c>
    </row>
    <row r="4147" spans="4:19" x14ac:dyDescent="0.25">
      <c r="D4147" t="s">
        <v>110</v>
      </c>
      <c r="E4147">
        <v>2014</v>
      </c>
      <c r="F4147" t="s">
        <v>26</v>
      </c>
      <c r="G4147">
        <v>46636</v>
      </c>
      <c r="H4147">
        <v>37120</v>
      </c>
      <c r="I4147">
        <v>34220</v>
      </c>
      <c r="J4147">
        <v>34526</v>
      </c>
      <c r="K4147">
        <v>30756</v>
      </c>
      <c r="L4147">
        <v>33871</v>
      </c>
      <c r="M4147">
        <v>36807</v>
      </c>
      <c r="N4147">
        <v>37393</v>
      </c>
      <c r="O4147">
        <v>45979</v>
      </c>
      <c r="P4147">
        <v>48262</v>
      </c>
      <c r="Q4147">
        <v>43445</v>
      </c>
      <c r="R4147">
        <v>49372</v>
      </c>
    </row>
    <row r="4148" spans="4:19" x14ac:dyDescent="0.25">
      <c r="D4148" t="s">
        <v>110</v>
      </c>
      <c r="E4148">
        <v>2015</v>
      </c>
      <c r="F4148" t="s">
        <v>26</v>
      </c>
      <c r="G4148">
        <v>46067</v>
      </c>
      <c r="H4148">
        <v>40210</v>
      </c>
      <c r="I4148">
        <v>40451</v>
      </c>
      <c r="J4148">
        <v>37324</v>
      </c>
      <c r="K4148">
        <v>31959</v>
      </c>
      <c r="L4148">
        <v>42088</v>
      </c>
      <c r="M4148">
        <v>39975</v>
      </c>
    </row>
    <row r="4149" spans="4:19" x14ac:dyDescent="0.25">
      <c r="D4149" t="s">
        <v>110</v>
      </c>
      <c r="E4149">
        <v>2013</v>
      </c>
      <c r="F4149" t="s">
        <v>27</v>
      </c>
      <c r="S4149">
        <v>465238</v>
      </c>
    </row>
    <row r="4150" spans="4:19" x14ac:dyDescent="0.25">
      <c r="D4150" t="s">
        <v>110</v>
      </c>
      <c r="E4150">
        <v>2014</v>
      </c>
      <c r="F4150" t="s">
        <v>27</v>
      </c>
      <c r="S4150">
        <v>434106</v>
      </c>
    </row>
    <row r="4151" spans="4:19" x14ac:dyDescent="0.25">
      <c r="D4151" t="s">
        <v>110</v>
      </c>
      <c r="E4151">
        <v>2015</v>
      </c>
      <c r="F4151" t="s">
        <v>27</v>
      </c>
      <c r="S4151">
        <v>482693</v>
      </c>
    </row>
    <row r="4152" spans="4:19" x14ac:dyDescent="0.25">
      <c r="D4152" t="s">
        <v>110</v>
      </c>
      <c r="E4152">
        <v>2013</v>
      </c>
      <c r="F4152" t="s">
        <v>28</v>
      </c>
      <c r="G4152">
        <v>82100</v>
      </c>
      <c r="H4152">
        <v>73430</v>
      </c>
      <c r="I4152">
        <v>66093</v>
      </c>
      <c r="J4152">
        <v>59319</v>
      </c>
      <c r="K4152">
        <v>61044</v>
      </c>
      <c r="L4152">
        <v>58724</v>
      </c>
      <c r="M4152">
        <v>64528</v>
      </c>
      <c r="N4152">
        <v>56787</v>
      </c>
      <c r="O4152">
        <v>82759</v>
      </c>
      <c r="P4152">
        <v>82033</v>
      </c>
      <c r="Q4152">
        <v>62355</v>
      </c>
      <c r="R4152">
        <v>77491</v>
      </c>
    </row>
    <row r="4153" spans="4:19" x14ac:dyDescent="0.25">
      <c r="D4153" t="s">
        <v>110</v>
      </c>
      <c r="E4153">
        <v>2014</v>
      </c>
      <c r="F4153" t="s">
        <v>28</v>
      </c>
      <c r="G4153">
        <v>80778</v>
      </c>
      <c r="H4153">
        <v>65976</v>
      </c>
      <c r="I4153">
        <v>60335</v>
      </c>
      <c r="J4153">
        <v>58786</v>
      </c>
      <c r="K4153">
        <v>50920</v>
      </c>
      <c r="L4153">
        <v>56179</v>
      </c>
      <c r="M4153">
        <v>61132</v>
      </c>
      <c r="N4153">
        <v>60858</v>
      </c>
      <c r="O4153">
        <v>79630</v>
      </c>
      <c r="P4153">
        <v>84418</v>
      </c>
      <c r="Q4153">
        <v>70427</v>
      </c>
      <c r="R4153">
        <v>84399</v>
      </c>
    </row>
    <row r="4154" spans="4:19" x14ac:dyDescent="0.25">
      <c r="D4154" t="s">
        <v>110</v>
      </c>
      <c r="E4154">
        <v>2015</v>
      </c>
      <c r="F4154" t="s">
        <v>28</v>
      </c>
      <c r="G4154">
        <v>79098</v>
      </c>
      <c r="H4154">
        <v>71354</v>
      </c>
      <c r="I4154">
        <v>72264</v>
      </c>
      <c r="J4154">
        <v>63326</v>
      </c>
      <c r="K4154">
        <v>55066</v>
      </c>
      <c r="L4154">
        <v>72712</v>
      </c>
      <c r="M4154">
        <v>68873</v>
      </c>
    </row>
    <row r="4155" spans="4:19" x14ac:dyDescent="0.25">
      <c r="D4155" t="s">
        <v>110</v>
      </c>
      <c r="E4155">
        <v>2013</v>
      </c>
      <c r="F4155" t="s">
        <v>29</v>
      </c>
      <c r="S4155">
        <v>43875</v>
      </c>
    </row>
    <row r="4156" spans="4:19" x14ac:dyDescent="0.25">
      <c r="D4156" t="s">
        <v>110</v>
      </c>
      <c r="E4156">
        <v>2014</v>
      </c>
      <c r="F4156" t="s">
        <v>29</v>
      </c>
      <c r="S4156">
        <v>40360</v>
      </c>
    </row>
    <row r="4157" spans="4:19" x14ac:dyDescent="0.25">
      <c r="D4157" t="s">
        <v>110</v>
      </c>
      <c r="E4157">
        <v>2015</v>
      </c>
      <c r="F4157" t="s">
        <v>29</v>
      </c>
      <c r="S4157">
        <v>29082</v>
      </c>
    </row>
    <row r="4158" spans="4:19" x14ac:dyDescent="0.25">
      <c r="D4158" t="s">
        <v>110</v>
      </c>
      <c r="E4158">
        <v>2013</v>
      </c>
      <c r="F4158" t="s">
        <v>30</v>
      </c>
      <c r="G4158">
        <v>7863</v>
      </c>
      <c r="H4158">
        <v>6716</v>
      </c>
      <c r="I4158">
        <v>5893</v>
      </c>
      <c r="J4158">
        <v>6108</v>
      </c>
      <c r="K4158">
        <v>5940</v>
      </c>
      <c r="L4158">
        <v>5355</v>
      </c>
      <c r="M4158">
        <v>6000</v>
      </c>
      <c r="N4158">
        <v>5689</v>
      </c>
      <c r="O4158">
        <v>7977</v>
      </c>
      <c r="P4158">
        <v>7552</v>
      </c>
      <c r="Q4158">
        <v>6062</v>
      </c>
      <c r="R4158">
        <v>5417</v>
      </c>
    </row>
    <row r="4159" spans="4:19" x14ac:dyDescent="0.25">
      <c r="D4159" t="s">
        <v>110</v>
      </c>
      <c r="E4159">
        <v>2014</v>
      </c>
      <c r="F4159" t="s">
        <v>30</v>
      </c>
      <c r="G4159">
        <v>7136</v>
      </c>
      <c r="H4159">
        <v>6361</v>
      </c>
      <c r="I4159">
        <v>6299</v>
      </c>
      <c r="J4159">
        <v>5739</v>
      </c>
      <c r="K4159">
        <v>4633</v>
      </c>
      <c r="L4159">
        <v>5495</v>
      </c>
      <c r="M4159">
        <v>4697</v>
      </c>
      <c r="N4159">
        <v>4333</v>
      </c>
      <c r="O4159">
        <v>7343</v>
      </c>
      <c r="P4159">
        <v>5576</v>
      </c>
      <c r="Q4159">
        <v>6183</v>
      </c>
      <c r="R4159">
        <v>4739</v>
      </c>
    </row>
    <row r="4160" spans="4:19" x14ac:dyDescent="0.25">
      <c r="D4160" t="s">
        <v>110</v>
      </c>
      <c r="E4160">
        <v>2015</v>
      </c>
      <c r="F4160" t="s">
        <v>30</v>
      </c>
      <c r="G4160">
        <v>4012</v>
      </c>
      <c r="H4160">
        <v>4507</v>
      </c>
      <c r="I4160">
        <v>4536</v>
      </c>
      <c r="J4160">
        <v>4032</v>
      </c>
      <c r="K4160">
        <v>2825</v>
      </c>
      <c r="L4160">
        <v>4961</v>
      </c>
      <c r="M4160">
        <v>4209</v>
      </c>
    </row>
    <row r="4161" spans="4:19" x14ac:dyDescent="0.25">
      <c r="D4161" t="s">
        <v>110</v>
      </c>
      <c r="E4161">
        <v>2013</v>
      </c>
      <c r="F4161" t="s">
        <v>31</v>
      </c>
      <c r="S4161">
        <v>0.8734473447344735</v>
      </c>
    </row>
    <row r="4162" spans="4:19" x14ac:dyDescent="0.25">
      <c r="D4162" t="s">
        <v>110</v>
      </c>
      <c r="E4162">
        <v>2014</v>
      </c>
      <c r="F4162" t="s">
        <v>31</v>
      </c>
      <c r="S4162">
        <v>0.9178696903696083</v>
      </c>
    </row>
    <row r="4163" spans="4:19" x14ac:dyDescent="0.25">
      <c r="D4163" t="s">
        <v>110</v>
      </c>
      <c r="E4163">
        <v>2015</v>
      </c>
      <c r="F4163" t="s">
        <v>31</v>
      </c>
      <c r="S4163">
        <v>0.88034689141321609</v>
      </c>
    </row>
    <row r="4164" spans="4:19" x14ac:dyDescent="0.25">
      <c r="D4164" t="s">
        <v>110</v>
      </c>
      <c r="E4164">
        <v>2013</v>
      </c>
      <c r="F4164" t="s">
        <v>32</v>
      </c>
      <c r="G4164">
        <v>0.85781189020424098</v>
      </c>
      <c r="H4164">
        <v>0.83803296553603046</v>
      </c>
      <c r="I4164">
        <v>0.87839006367423944</v>
      </c>
      <c r="J4164">
        <v>0.86617500828637717</v>
      </c>
      <c r="K4164">
        <v>0.87538148524923698</v>
      </c>
      <c r="L4164">
        <v>0.87339220579765786</v>
      </c>
      <c r="M4164">
        <v>0.93799170966923273</v>
      </c>
      <c r="N4164">
        <v>0.90404515522107243</v>
      </c>
      <c r="O4164">
        <v>0.94723112469255422</v>
      </c>
      <c r="P4164">
        <v>0.97136772361571222</v>
      </c>
      <c r="Q4164">
        <v>0.96201071281417383</v>
      </c>
      <c r="R4164">
        <v>0.96813267214047638</v>
      </c>
    </row>
    <row r="4165" spans="4:19" x14ac:dyDescent="0.25">
      <c r="D4165" t="s">
        <v>110</v>
      </c>
      <c r="E4165">
        <v>2014</v>
      </c>
      <c r="F4165" t="s">
        <v>32</v>
      </c>
      <c r="G4165">
        <v>0.93665973665973667</v>
      </c>
      <c r="H4165">
        <v>0.89453317385492159</v>
      </c>
      <c r="I4165">
        <v>0.93387004025301901</v>
      </c>
      <c r="J4165">
        <v>0.94535705166397144</v>
      </c>
      <c r="K4165">
        <v>0.92951617032169975</v>
      </c>
      <c r="L4165">
        <v>0.90143046978816543</v>
      </c>
      <c r="M4165">
        <v>0.89104268719384183</v>
      </c>
      <c r="N4165">
        <v>0.90753049448542833</v>
      </c>
      <c r="O4165">
        <v>0.90278006251028131</v>
      </c>
      <c r="P4165">
        <v>0.92216788916055414</v>
      </c>
      <c r="Q4165">
        <v>0.91198774415932593</v>
      </c>
      <c r="R4165">
        <v>0.91934220830070479</v>
      </c>
    </row>
    <row r="4166" spans="4:19" x14ac:dyDescent="0.25">
      <c r="D4166" t="s">
        <v>110</v>
      </c>
      <c r="E4166">
        <v>2015</v>
      </c>
      <c r="F4166" t="s">
        <v>32</v>
      </c>
      <c r="G4166">
        <v>0.87940564209317351</v>
      </c>
      <c r="H4166">
        <v>0.88534297139341744</v>
      </c>
      <c r="I4166">
        <v>0.89943172033752372</v>
      </c>
      <c r="J4166">
        <v>0.88463873709775354</v>
      </c>
      <c r="K4166">
        <v>0.90046656298600314</v>
      </c>
      <c r="L4166">
        <v>0.89777370132577339</v>
      </c>
      <c r="M4166">
        <v>0.82360977177756345</v>
      </c>
    </row>
    <row r="4167" spans="4:19" x14ac:dyDescent="0.25">
      <c r="D4167" t="s">
        <v>110</v>
      </c>
      <c r="E4167">
        <v>2013</v>
      </c>
      <c r="F4167" t="s">
        <v>33</v>
      </c>
      <c r="S4167">
        <v>0.90647284252057625</v>
      </c>
    </row>
    <row r="4168" spans="4:19" x14ac:dyDescent="0.25">
      <c r="D4168" t="s">
        <v>110</v>
      </c>
      <c r="E4168">
        <v>2014</v>
      </c>
      <c r="F4168" t="s">
        <v>33</v>
      </c>
      <c r="S4168">
        <v>0.90143167311490935</v>
      </c>
    </row>
    <row r="4169" spans="4:19" x14ac:dyDescent="0.25">
      <c r="D4169" t="s">
        <v>110</v>
      </c>
      <c r="E4169">
        <v>2015</v>
      </c>
      <c r="F4169" t="s">
        <v>33</v>
      </c>
      <c r="S4169">
        <v>0.88881030142913608</v>
      </c>
    </row>
    <row r="4170" spans="4:19" x14ac:dyDescent="0.25">
      <c r="D4170" t="s">
        <v>110</v>
      </c>
      <c r="E4170">
        <v>2013</v>
      </c>
      <c r="F4170" t="s">
        <v>34</v>
      </c>
      <c r="G4170">
        <v>0.89176120513297374</v>
      </c>
      <c r="H4170">
        <v>0.8538258058195356</v>
      </c>
      <c r="I4170">
        <v>0.92464893252654412</v>
      </c>
      <c r="J4170">
        <v>0.90511472275334603</v>
      </c>
      <c r="K4170">
        <v>0.92448263342611647</v>
      </c>
      <c r="L4170">
        <v>0.92966822045516861</v>
      </c>
      <c r="M4170">
        <v>0.93449621858989995</v>
      </c>
      <c r="N4170">
        <v>0.86288786826481456</v>
      </c>
      <c r="O4170">
        <v>0.92500000000000004</v>
      </c>
      <c r="P4170">
        <v>0.95884820315157016</v>
      </c>
      <c r="Q4170">
        <v>0.94295260487563415</v>
      </c>
      <c r="R4170">
        <v>0.95476575121163165</v>
      </c>
    </row>
    <row r="4171" spans="4:19" x14ac:dyDescent="0.25">
      <c r="D4171" t="s">
        <v>110</v>
      </c>
      <c r="E4171">
        <v>2014</v>
      </c>
      <c r="F4171" t="s">
        <v>34</v>
      </c>
      <c r="G4171">
        <v>0.91181862035697059</v>
      </c>
      <c r="H4171">
        <v>0.84769355821987402</v>
      </c>
      <c r="I4171">
        <v>0.90648234200743494</v>
      </c>
      <c r="J4171">
        <v>0.92455934195064626</v>
      </c>
      <c r="K4171">
        <v>0.90281209554065189</v>
      </c>
      <c r="L4171">
        <v>0.88726805928346364</v>
      </c>
      <c r="M4171">
        <v>0.94376456876456871</v>
      </c>
      <c r="N4171">
        <v>0.94849657636201246</v>
      </c>
      <c r="O4171">
        <v>0.89269710548625414</v>
      </c>
      <c r="P4171">
        <v>0.95449735449735451</v>
      </c>
      <c r="Q4171">
        <v>0.91101321585903083</v>
      </c>
      <c r="R4171">
        <v>0.94035292401925041</v>
      </c>
    </row>
    <row r="4172" spans="4:19" x14ac:dyDescent="0.25">
      <c r="D4172" t="s">
        <v>110</v>
      </c>
      <c r="E4172">
        <v>2015</v>
      </c>
      <c r="F4172" t="s">
        <v>34</v>
      </c>
      <c r="G4172">
        <v>0.9250464314141682</v>
      </c>
      <c r="H4172">
        <v>0.88074439802506643</v>
      </c>
      <c r="I4172">
        <v>0.92269503546099296</v>
      </c>
      <c r="J4172">
        <v>0.89277066758906953</v>
      </c>
      <c r="K4172">
        <v>0.90924755887421027</v>
      </c>
      <c r="L4172">
        <v>0.91160296948034092</v>
      </c>
      <c r="M4172">
        <v>0.7869952087611225</v>
      </c>
    </row>
    <row r="4173" spans="4:19" x14ac:dyDescent="0.25">
      <c r="D4173" t="s">
        <v>111</v>
      </c>
      <c r="E4173">
        <v>2013</v>
      </c>
      <c r="F4173" t="s">
        <v>17</v>
      </c>
      <c r="S4173">
        <v>0.92274305555555558</v>
      </c>
    </row>
    <row r="4174" spans="4:19" x14ac:dyDescent="0.25">
      <c r="D4174" t="s">
        <v>111</v>
      </c>
      <c r="E4174">
        <v>2014</v>
      </c>
      <c r="F4174" t="s">
        <v>17</v>
      </c>
      <c r="S4174">
        <v>0.92071213393253992</v>
      </c>
    </row>
    <row r="4175" spans="4:19" x14ac:dyDescent="0.25">
      <c r="D4175" t="s">
        <v>111</v>
      </c>
      <c r="E4175">
        <v>2015</v>
      </c>
      <c r="F4175" t="s">
        <v>17</v>
      </c>
      <c r="S4175">
        <v>0.87532871786615141</v>
      </c>
    </row>
    <row r="4176" spans="4:19" x14ac:dyDescent="0.25">
      <c r="D4176" t="s">
        <v>111</v>
      </c>
      <c r="E4176">
        <v>2013</v>
      </c>
      <c r="F4176" t="s">
        <v>18</v>
      </c>
      <c r="G4176">
        <v>0.88259658644576167</v>
      </c>
      <c r="H4176">
        <v>0.90122609963131273</v>
      </c>
      <c r="I4176">
        <v>0.92515411999652686</v>
      </c>
      <c r="J4176">
        <v>0.92819545138544046</v>
      </c>
      <c r="K4176">
        <v>0.93071487565384969</v>
      </c>
      <c r="L4176">
        <v>0.95093283582089549</v>
      </c>
      <c r="M4176">
        <v>0.95489217440436958</v>
      </c>
      <c r="N4176">
        <v>0.96078940534925994</v>
      </c>
      <c r="O4176">
        <v>0.9400032041012496</v>
      </c>
      <c r="P4176">
        <v>0.939093591586593</v>
      </c>
      <c r="Q4176">
        <v>0.94252152080344331</v>
      </c>
      <c r="R4176">
        <v>0.90903626527749948</v>
      </c>
    </row>
    <row r="4177" spans="4:19" x14ac:dyDescent="0.25">
      <c r="D4177" t="s">
        <v>111</v>
      </c>
      <c r="E4177">
        <v>2014</v>
      </c>
      <c r="F4177" t="s">
        <v>18</v>
      </c>
      <c r="G4177">
        <v>0.89944570778851618</v>
      </c>
      <c r="H4177">
        <v>0.90143982181210724</v>
      </c>
      <c r="I4177">
        <v>0.90478932719070926</v>
      </c>
      <c r="J4177">
        <v>0.93067395850088463</v>
      </c>
      <c r="K4177">
        <v>0.93253012048192774</v>
      </c>
      <c r="L4177">
        <v>0.95553987297106568</v>
      </c>
      <c r="M4177">
        <v>0.93112329677633765</v>
      </c>
      <c r="N4177">
        <v>0.94042084658673841</v>
      </c>
      <c r="O4177">
        <v>0.93182552504038774</v>
      </c>
      <c r="P4177">
        <v>0.95120757180156656</v>
      </c>
      <c r="Q4177">
        <v>0.90510373807231026</v>
      </c>
      <c r="R4177">
        <v>0.87870752307994504</v>
      </c>
    </row>
    <row r="4178" spans="4:19" x14ac:dyDescent="0.25">
      <c r="D4178" t="s">
        <v>111</v>
      </c>
      <c r="E4178">
        <v>2015</v>
      </c>
      <c r="F4178" t="s">
        <v>18</v>
      </c>
      <c r="G4178">
        <v>0.80518942220011602</v>
      </c>
      <c r="H4178">
        <v>0.85109340252038546</v>
      </c>
      <c r="I4178">
        <v>0.87675343185057386</v>
      </c>
      <c r="J4178">
        <v>0.90621227597734233</v>
      </c>
      <c r="K4178">
        <v>0.89317205516617681</v>
      </c>
      <c r="L4178">
        <v>0.93045449123225576</v>
      </c>
      <c r="M4178">
        <v>0.88848086586780051</v>
      </c>
    </row>
    <row r="4179" spans="4:19" x14ac:dyDescent="0.25">
      <c r="D4179" t="s">
        <v>111</v>
      </c>
      <c r="E4179">
        <v>2013</v>
      </c>
      <c r="F4179" t="s">
        <v>19</v>
      </c>
      <c r="S4179">
        <v>0.80263092113485812</v>
      </c>
    </row>
    <row r="4180" spans="4:19" x14ac:dyDescent="0.25">
      <c r="D4180" t="s">
        <v>111</v>
      </c>
      <c r="E4180">
        <v>2014</v>
      </c>
      <c r="F4180" t="s">
        <v>19</v>
      </c>
      <c r="S4180">
        <v>0.914538305152512</v>
      </c>
    </row>
    <row r="4181" spans="4:19" x14ac:dyDescent="0.25">
      <c r="D4181" t="s">
        <v>111</v>
      </c>
      <c r="E4181">
        <v>2015</v>
      </c>
      <c r="F4181" t="s">
        <v>19</v>
      </c>
      <c r="S4181">
        <v>0.83838149623757285</v>
      </c>
    </row>
    <row r="4182" spans="4:19" x14ac:dyDescent="0.25">
      <c r="D4182" t="s">
        <v>111</v>
      </c>
      <c r="E4182">
        <v>2013</v>
      </c>
      <c r="F4182" t="s">
        <v>20</v>
      </c>
      <c r="G4182">
        <v>0.81932503381708965</v>
      </c>
      <c r="H4182">
        <v>0.79129510993786822</v>
      </c>
      <c r="I4182">
        <v>0.65673479787113576</v>
      </c>
      <c r="J4182">
        <v>0.77346755053605043</v>
      </c>
      <c r="K4182">
        <v>0.59282332803898286</v>
      </c>
      <c r="L4182">
        <v>0.99008321670955413</v>
      </c>
      <c r="M4182">
        <v>0.98718498263247356</v>
      </c>
      <c r="N4182">
        <v>0.99476248031351866</v>
      </c>
      <c r="O4182">
        <v>0.98570569517175721</v>
      </c>
      <c r="P4182">
        <v>0.99262274802636019</v>
      </c>
      <c r="Q4182">
        <v>0.87044304963232688</v>
      </c>
      <c r="R4182">
        <v>0.88996220710506424</v>
      </c>
    </row>
    <row r="4183" spans="4:19" x14ac:dyDescent="0.25">
      <c r="D4183" t="s">
        <v>111</v>
      </c>
      <c r="E4183">
        <v>2014</v>
      </c>
      <c r="F4183" t="s">
        <v>20</v>
      </c>
      <c r="G4183">
        <v>0.94727822948189744</v>
      </c>
      <c r="H4183">
        <v>0.99487754121978544</v>
      </c>
      <c r="I4183">
        <v>0.80633597219016062</v>
      </c>
      <c r="J4183">
        <v>0.93680366509527924</v>
      </c>
      <c r="K4183">
        <v>0.77494056396521116</v>
      </c>
      <c r="L4183">
        <v>0.90898712094001743</v>
      </c>
      <c r="M4183">
        <v>0.99201000394892724</v>
      </c>
      <c r="N4183">
        <v>0.95649962602842187</v>
      </c>
      <c r="O4183">
        <v>0.87153649396228661</v>
      </c>
      <c r="P4183">
        <v>0.97877363353332925</v>
      </c>
      <c r="Q4183">
        <v>0.94174502678604877</v>
      </c>
      <c r="R4183">
        <v>0.95954858566612922</v>
      </c>
    </row>
    <row r="4184" spans="4:19" x14ac:dyDescent="0.25">
      <c r="D4184" t="s">
        <v>111</v>
      </c>
      <c r="E4184">
        <v>2015</v>
      </c>
      <c r="F4184" t="s">
        <v>20</v>
      </c>
      <c r="G4184">
        <v>0.87305042436345481</v>
      </c>
      <c r="H4184">
        <v>0.8890508289305884</v>
      </c>
      <c r="I4184">
        <v>0.7546695325094035</v>
      </c>
      <c r="J4184">
        <v>0.74347441273341941</v>
      </c>
      <c r="K4184">
        <v>0.65137016093953892</v>
      </c>
      <c r="L4184">
        <v>0.92461989007903078</v>
      </c>
      <c r="M4184">
        <v>0.99263349406480994</v>
      </c>
    </row>
    <row r="4185" spans="4:19" x14ac:dyDescent="0.25">
      <c r="D4185" t="s">
        <v>111</v>
      </c>
      <c r="E4185">
        <v>2013</v>
      </c>
      <c r="F4185" t="s">
        <v>21</v>
      </c>
      <c r="S4185">
        <v>0.93386472445757363</v>
      </c>
    </row>
    <row r="4186" spans="4:19" x14ac:dyDescent="0.25">
      <c r="D4186" t="s">
        <v>111</v>
      </c>
      <c r="E4186">
        <v>2014</v>
      </c>
      <c r="F4186" t="s">
        <v>21</v>
      </c>
      <c r="S4186">
        <v>0.99311706737221517</v>
      </c>
    </row>
    <row r="4187" spans="4:19" x14ac:dyDescent="0.25">
      <c r="D4187" t="s">
        <v>111</v>
      </c>
      <c r="E4187">
        <v>2015</v>
      </c>
      <c r="F4187" t="s">
        <v>21</v>
      </c>
      <c r="S4187">
        <v>0.97258543017250854</v>
      </c>
    </row>
    <row r="4188" spans="4:19" x14ac:dyDescent="0.25">
      <c r="D4188" t="s">
        <v>111</v>
      </c>
      <c r="E4188">
        <v>2013</v>
      </c>
      <c r="F4188" t="s">
        <v>22</v>
      </c>
      <c r="G4188">
        <v>0.90003066544004906</v>
      </c>
      <c r="H4188">
        <v>0.92540605574493684</v>
      </c>
      <c r="I4188">
        <v>0.93638207634150838</v>
      </c>
      <c r="J4188">
        <v>0.9265650080256822</v>
      </c>
      <c r="K4188">
        <v>0.85307621671258038</v>
      </c>
      <c r="L4188">
        <v>0.99446881556360867</v>
      </c>
      <c r="M4188">
        <v>0.99504801920768304</v>
      </c>
      <c r="N4188">
        <v>0.99820645675567954</v>
      </c>
      <c r="O4188">
        <v>0.9971083517605035</v>
      </c>
      <c r="P4188">
        <v>0.9973025048169557</v>
      </c>
      <c r="Q4188">
        <v>0.99374691459601783</v>
      </c>
      <c r="R4188">
        <v>0.98893085037114203</v>
      </c>
    </row>
    <row r="4189" spans="4:19" x14ac:dyDescent="0.25">
      <c r="D4189" t="s">
        <v>111</v>
      </c>
      <c r="E4189">
        <v>2014</v>
      </c>
      <c r="F4189" t="s">
        <v>22</v>
      </c>
      <c r="G4189">
        <v>0.99594889373636641</v>
      </c>
      <c r="H4189">
        <v>0.99564775859567678</v>
      </c>
      <c r="I4189">
        <v>0.98857060185185186</v>
      </c>
      <c r="J4189">
        <v>0.98912907659627636</v>
      </c>
      <c r="K4189">
        <v>0.99286543885847023</v>
      </c>
      <c r="L4189">
        <v>0.99207606973058637</v>
      </c>
      <c r="M4189">
        <v>0.99664732430689873</v>
      </c>
      <c r="N4189">
        <v>0.98913951545530487</v>
      </c>
      <c r="O4189">
        <v>0.99362688296639634</v>
      </c>
      <c r="P4189">
        <v>0.99349105019401673</v>
      </c>
      <c r="Q4189">
        <v>0.99381261048909841</v>
      </c>
      <c r="R4189">
        <v>0.99225774225774221</v>
      </c>
    </row>
    <row r="4190" spans="4:19" x14ac:dyDescent="0.25">
      <c r="D4190" t="s">
        <v>111</v>
      </c>
      <c r="E4190">
        <v>2015</v>
      </c>
      <c r="F4190" t="s">
        <v>22</v>
      </c>
      <c r="G4190">
        <v>0.94574907588606216</v>
      </c>
      <c r="H4190">
        <v>0.94596190757419163</v>
      </c>
      <c r="I4190">
        <v>0.98599752168525401</v>
      </c>
      <c r="J4190">
        <v>0.97896178264658285</v>
      </c>
      <c r="K4190">
        <v>0.97714822350915631</v>
      </c>
      <c r="L4190">
        <v>0.98130726939523516</v>
      </c>
      <c r="M4190">
        <v>0.99359135461171144</v>
      </c>
    </row>
    <row r="4191" spans="4:19" x14ac:dyDescent="0.25">
      <c r="D4191" t="s">
        <v>111</v>
      </c>
      <c r="E4191">
        <v>2013</v>
      </c>
      <c r="F4191" t="s">
        <v>23</v>
      </c>
      <c r="S4191">
        <v>184360</v>
      </c>
    </row>
    <row r="4192" spans="4:19" x14ac:dyDescent="0.25">
      <c r="D4192" t="s">
        <v>111</v>
      </c>
      <c r="E4192">
        <v>2014</v>
      </c>
      <c r="F4192" t="s">
        <v>23</v>
      </c>
      <c r="S4192">
        <v>162228</v>
      </c>
    </row>
    <row r="4193" spans="4:19" x14ac:dyDescent="0.25">
      <c r="D4193" t="s">
        <v>111</v>
      </c>
      <c r="E4193">
        <v>2015</v>
      </c>
      <c r="F4193" t="s">
        <v>23</v>
      </c>
      <c r="S4193">
        <v>171472</v>
      </c>
    </row>
    <row r="4194" spans="4:19" x14ac:dyDescent="0.25">
      <c r="D4194" t="s">
        <v>111</v>
      </c>
      <c r="E4194">
        <v>2013</v>
      </c>
      <c r="F4194" t="s">
        <v>24</v>
      </c>
      <c r="G4194">
        <v>35503</v>
      </c>
      <c r="H4194">
        <v>36598</v>
      </c>
      <c r="I4194">
        <v>28991</v>
      </c>
      <c r="J4194">
        <v>23615</v>
      </c>
      <c r="K4194">
        <v>22439</v>
      </c>
      <c r="L4194">
        <v>18161</v>
      </c>
      <c r="M4194">
        <v>19053</v>
      </c>
      <c r="N4194">
        <v>19018</v>
      </c>
      <c r="O4194">
        <v>21937</v>
      </c>
      <c r="P4194">
        <v>21058</v>
      </c>
      <c r="Q4194">
        <v>19134</v>
      </c>
      <c r="R4194">
        <v>18844</v>
      </c>
    </row>
    <row r="4195" spans="4:19" x14ac:dyDescent="0.25">
      <c r="D4195" t="s">
        <v>111</v>
      </c>
      <c r="E4195">
        <v>2014</v>
      </c>
      <c r="F4195" t="s">
        <v>24</v>
      </c>
      <c r="G4195">
        <v>26370</v>
      </c>
      <c r="H4195">
        <v>28420</v>
      </c>
      <c r="I4195">
        <v>23541</v>
      </c>
      <c r="J4195">
        <v>21576</v>
      </c>
      <c r="K4195">
        <v>19989</v>
      </c>
      <c r="L4195">
        <v>19399</v>
      </c>
      <c r="M4195">
        <v>22933</v>
      </c>
      <c r="N4195">
        <v>21489</v>
      </c>
      <c r="O4195">
        <v>30832</v>
      </c>
      <c r="P4195">
        <v>24802</v>
      </c>
      <c r="Q4195">
        <v>21221</v>
      </c>
      <c r="R4195">
        <v>20477</v>
      </c>
    </row>
    <row r="4196" spans="4:19" x14ac:dyDescent="0.25">
      <c r="D4196" t="s">
        <v>111</v>
      </c>
      <c r="E4196">
        <v>2015</v>
      </c>
      <c r="F4196" t="s">
        <v>24</v>
      </c>
      <c r="G4196">
        <v>25550</v>
      </c>
      <c r="H4196">
        <v>26347</v>
      </c>
      <c r="I4196">
        <v>28456</v>
      </c>
      <c r="J4196">
        <v>24944</v>
      </c>
      <c r="K4196">
        <v>21630</v>
      </c>
      <c r="L4196">
        <v>24214</v>
      </c>
      <c r="M4196">
        <v>20331</v>
      </c>
    </row>
    <row r="4197" spans="4:19" x14ac:dyDescent="0.25">
      <c r="D4197" t="s">
        <v>111</v>
      </c>
      <c r="E4197">
        <v>2013</v>
      </c>
      <c r="F4197" t="s">
        <v>25</v>
      </c>
      <c r="S4197">
        <v>379377</v>
      </c>
    </row>
    <row r="4198" spans="4:19" x14ac:dyDescent="0.25">
      <c r="D4198" t="s">
        <v>111</v>
      </c>
      <c r="E4198">
        <v>2014</v>
      </c>
      <c r="F4198" t="s">
        <v>25</v>
      </c>
      <c r="S4198">
        <v>381123</v>
      </c>
    </row>
    <row r="4199" spans="4:19" x14ac:dyDescent="0.25">
      <c r="D4199" t="s">
        <v>111</v>
      </c>
      <c r="E4199">
        <v>2015</v>
      </c>
      <c r="F4199" t="s">
        <v>25</v>
      </c>
      <c r="S4199">
        <v>415427</v>
      </c>
    </row>
    <row r="4200" spans="4:19" x14ac:dyDescent="0.25">
      <c r="D4200" t="s">
        <v>111</v>
      </c>
      <c r="E4200">
        <v>2013</v>
      </c>
      <c r="F4200" t="s">
        <v>26</v>
      </c>
      <c r="G4200">
        <v>75770</v>
      </c>
      <c r="H4200">
        <v>52738</v>
      </c>
      <c r="I4200">
        <v>51256</v>
      </c>
      <c r="J4200">
        <v>48525</v>
      </c>
      <c r="K4200">
        <v>46882</v>
      </c>
      <c r="L4200">
        <v>49372</v>
      </c>
      <c r="M4200">
        <v>54834</v>
      </c>
      <c r="N4200">
        <v>48095</v>
      </c>
      <c r="O4200">
        <v>61797</v>
      </c>
      <c r="P4200">
        <v>64674</v>
      </c>
      <c r="Q4200">
        <v>60994</v>
      </c>
      <c r="R4200">
        <v>59601</v>
      </c>
    </row>
    <row r="4201" spans="4:19" x14ac:dyDescent="0.25">
      <c r="D4201" t="s">
        <v>111</v>
      </c>
      <c r="E4201">
        <v>2014</v>
      </c>
      <c r="F4201" t="s">
        <v>26</v>
      </c>
      <c r="G4201">
        <v>75536</v>
      </c>
      <c r="H4201">
        <v>57304</v>
      </c>
      <c r="I4201">
        <v>47703</v>
      </c>
      <c r="J4201">
        <v>52912</v>
      </c>
      <c r="K4201">
        <v>46308</v>
      </c>
      <c r="L4201">
        <v>47129</v>
      </c>
      <c r="M4201">
        <v>54231</v>
      </c>
      <c r="N4201">
        <v>51026</v>
      </c>
      <c r="O4201">
        <v>59689</v>
      </c>
      <c r="P4201">
        <v>66603</v>
      </c>
      <c r="Q4201">
        <v>65599</v>
      </c>
      <c r="R4201">
        <v>65539</v>
      </c>
    </row>
    <row r="4202" spans="4:19" x14ac:dyDescent="0.25">
      <c r="D4202" t="s">
        <v>111</v>
      </c>
      <c r="E4202">
        <v>2015</v>
      </c>
      <c r="F4202" t="s">
        <v>26</v>
      </c>
      <c r="G4202">
        <v>74392</v>
      </c>
      <c r="H4202">
        <v>56680</v>
      </c>
      <c r="I4202">
        <v>59628</v>
      </c>
      <c r="J4202">
        <v>55610</v>
      </c>
      <c r="K4202">
        <v>49079</v>
      </c>
      <c r="L4202">
        <v>57954</v>
      </c>
      <c r="M4202">
        <v>62084</v>
      </c>
    </row>
    <row r="4203" spans="4:19" x14ac:dyDescent="0.25">
      <c r="D4203" t="s">
        <v>111</v>
      </c>
      <c r="E4203">
        <v>2013</v>
      </c>
      <c r="F4203" t="s">
        <v>27</v>
      </c>
      <c r="S4203">
        <v>712619</v>
      </c>
    </row>
    <row r="4204" spans="4:19" x14ac:dyDescent="0.25">
      <c r="D4204" t="s">
        <v>111</v>
      </c>
      <c r="E4204">
        <v>2014</v>
      </c>
      <c r="F4204" t="s">
        <v>27</v>
      </c>
      <c r="S4204">
        <v>722223</v>
      </c>
    </row>
    <row r="4205" spans="4:19" x14ac:dyDescent="0.25">
      <c r="D4205" t="s">
        <v>111</v>
      </c>
      <c r="E4205">
        <v>2015</v>
      </c>
      <c r="F4205" t="s">
        <v>27</v>
      </c>
      <c r="S4205">
        <v>749937</v>
      </c>
    </row>
    <row r="4206" spans="4:19" x14ac:dyDescent="0.25">
      <c r="D4206" t="s">
        <v>111</v>
      </c>
      <c r="E4206">
        <v>2013</v>
      </c>
      <c r="F4206" t="s">
        <v>28</v>
      </c>
      <c r="G4206">
        <v>132328</v>
      </c>
      <c r="H4206">
        <v>100807</v>
      </c>
      <c r="I4206">
        <v>98769</v>
      </c>
      <c r="J4206">
        <v>92287</v>
      </c>
      <c r="K4206">
        <v>90186</v>
      </c>
      <c r="L4206">
        <v>95837</v>
      </c>
      <c r="M4206">
        <v>102405</v>
      </c>
      <c r="N4206">
        <v>90565</v>
      </c>
      <c r="O4206">
        <v>119702</v>
      </c>
      <c r="P4206">
        <v>126559</v>
      </c>
      <c r="Q4206">
        <v>109470</v>
      </c>
      <c r="R4206">
        <v>109745</v>
      </c>
    </row>
    <row r="4207" spans="4:19" x14ac:dyDescent="0.25">
      <c r="D4207" t="s">
        <v>111</v>
      </c>
      <c r="E4207">
        <v>2014</v>
      </c>
      <c r="F4207" t="s">
        <v>28</v>
      </c>
      <c r="G4207">
        <v>135786</v>
      </c>
      <c r="H4207">
        <v>112696</v>
      </c>
      <c r="I4207">
        <v>92498</v>
      </c>
      <c r="J4207">
        <v>99935</v>
      </c>
      <c r="K4207">
        <v>89172</v>
      </c>
      <c r="L4207">
        <v>90339</v>
      </c>
      <c r="M4207">
        <v>101797</v>
      </c>
      <c r="N4207">
        <v>90551</v>
      </c>
      <c r="O4207">
        <v>114282</v>
      </c>
      <c r="P4207">
        <v>127809</v>
      </c>
      <c r="Q4207">
        <v>116415</v>
      </c>
      <c r="R4207">
        <v>114382</v>
      </c>
    </row>
    <row r="4208" spans="4:19" x14ac:dyDescent="0.25">
      <c r="D4208" t="s">
        <v>111</v>
      </c>
      <c r="E4208">
        <v>2015</v>
      </c>
      <c r="F4208" t="s">
        <v>28</v>
      </c>
      <c r="G4208">
        <v>129435</v>
      </c>
      <c r="H4208">
        <v>103812</v>
      </c>
      <c r="I4208">
        <v>113001</v>
      </c>
      <c r="J4208">
        <v>99389</v>
      </c>
      <c r="K4208">
        <v>88833</v>
      </c>
      <c r="L4208">
        <v>103412</v>
      </c>
      <c r="M4208">
        <v>112055</v>
      </c>
    </row>
    <row r="4209" spans="4:19" x14ac:dyDescent="0.25">
      <c r="D4209" t="s">
        <v>111</v>
      </c>
      <c r="E4209">
        <v>2013</v>
      </c>
      <c r="F4209" t="s">
        <v>29</v>
      </c>
      <c r="S4209">
        <v>79488</v>
      </c>
    </row>
    <row r="4210" spans="4:19" x14ac:dyDescent="0.25">
      <c r="D4210" t="s">
        <v>111</v>
      </c>
      <c r="E4210">
        <v>2014</v>
      </c>
      <c r="F4210" t="s">
        <v>29</v>
      </c>
      <c r="S4210">
        <v>80996</v>
      </c>
    </row>
    <row r="4211" spans="4:19" x14ac:dyDescent="0.25">
      <c r="D4211" t="s">
        <v>111</v>
      </c>
      <c r="E4211">
        <v>2015</v>
      </c>
      <c r="F4211" t="s">
        <v>29</v>
      </c>
      <c r="S4211">
        <v>74532</v>
      </c>
    </row>
    <row r="4212" spans="4:19" x14ac:dyDescent="0.25">
      <c r="D4212" t="s">
        <v>111</v>
      </c>
      <c r="E4212">
        <v>2013</v>
      </c>
      <c r="F4212" t="s">
        <v>30</v>
      </c>
      <c r="G4212">
        <v>14003</v>
      </c>
      <c r="H4212">
        <v>11663</v>
      </c>
      <c r="I4212">
        <v>11517</v>
      </c>
      <c r="J4212">
        <v>10069</v>
      </c>
      <c r="K4212">
        <v>10897</v>
      </c>
      <c r="L4212">
        <v>10720</v>
      </c>
      <c r="M4212">
        <v>10619</v>
      </c>
      <c r="N4212">
        <v>7702</v>
      </c>
      <c r="O4212">
        <v>12484</v>
      </c>
      <c r="P4212">
        <v>13217</v>
      </c>
      <c r="Q4212">
        <v>11152</v>
      </c>
      <c r="R4212">
        <v>9982</v>
      </c>
    </row>
    <row r="4213" spans="4:19" x14ac:dyDescent="0.25">
      <c r="D4213" t="s">
        <v>111</v>
      </c>
      <c r="E4213">
        <v>2014</v>
      </c>
      <c r="F4213" t="s">
        <v>30</v>
      </c>
      <c r="G4213">
        <v>14072</v>
      </c>
      <c r="H4213">
        <v>12571</v>
      </c>
      <c r="I4213">
        <v>10419</v>
      </c>
      <c r="J4213">
        <v>12434</v>
      </c>
      <c r="K4213">
        <v>9545</v>
      </c>
      <c r="L4213">
        <v>9919</v>
      </c>
      <c r="M4213">
        <v>12036</v>
      </c>
      <c r="N4213">
        <v>8174</v>
      </c>
      <c r="O4213">
        <v>12380</v>
      </c>
      <c r="P4213">
        <v>12256</v>
      </c>
      <c r="Q4213">
        <v>11423</v>
      </c>
      <c r="R4213">
        <v>10182</v>
      </c>
    </row>
    <row r="4214" spans="4:19" x14ac:dyDescent="0.25">
      <c r="D4214" t="s">
        <v>111</v>
      </c>
      <c r="E4214">
        <v>2015</v>
      </c>
      <c r="F4214" t="s">
        <v>30</v>
      </c>
      <c r="G4214">
        <v>12063</v>
      </c>
      <c r="H4214">
        <v>10792</v>
      </c>
      <c r="I4214">
        <v>13331</v>
      </c>
      <c r="J4214">
        <v>10769</v>
      </c>
      <c r="K4214">
        <v>8846</v>
      </c>
      <c r="L4214">
        <v>8383</v>
      </c>
      <c r="M4214">
        <v>10348</v>
      </c>
    </row>
    <row r="4215" spans="4:19" x14ac:dyDescent="0.25">
      <c r="D4215" t="s">
        <v>111</v>
      </c>
      <c r="E4215">
        <v>2013</v>
      </c>
      <c r="F4215" t="s">
        <v>31</v>
      </c>
      <c r="S4215">
        <v>0.74470058581037102</v>
      </c>
    </row>
    <row r="4216" spans="4:19" x14ac:dyDescent="0.25">
      <c r="D4216" t="s">
        <v>111</v>
      </c>
      <c r="E4216">
        <v>2014</v>
      </c>
      <c r="F4216" t="s">
        <v>31</v>
      </c>
      <c r="S4216">
        <v>0.94803609734447813</v>
      </c>
    </row>
    <row r="4217" spans="4:19" x14ac:dyDescent="0.25">
      <c r="D4217" t="s">
        <v>111</v>
      </c>
      <c r="E4217">
        <v>2015</v>
      </c>
      <c r="F4217" t="s">
        <v>31</v>
      </c>
      <c r="S4217">
        <v>0.91906550340580384</v>
      </c>
    </row>
    <row r="4218" spans="4:19" x14ac:dyDescent="0.25">
      <c r="D4218" t="s">
        <v>111</v>
      </c>
      <c r="E4218">
        <v>2013</v>
      </c>
      <c r="F4218" t="s">
        <v>32</v>
      </c>
      <c r="G4218">
        <v>0.69143452665971894</v>
      </c>
      <c r="H4218">
        <v>0.66716760478714687</v>
      </c>
      <c r="I4218">
        <v>0.73698734089889961</v>
      </c>
      <c r="J4218">
        <v>0.72784247300444638</v>
      </c>
      <c r="K4218">
        <v>0.73884754222558935</v>
      </c>
      <c r="L4218">
        <v>0.82996531028027087</v>
      </c>
      <c r="M4218">
        <v>0.95113630399412163</v>
      </c>
      <c r="N4218">
        <v>0.96540119886423392</v>
      </c>
      <c r="O4218">
        <v>0.970597620458586</v>
      </c>
      <c r="P4218">
        <v>0.96352930002849269</v>
      </c>
      <c r="Q4218">
        <v>0.95939165882721855</v>
      </c>
      <c r="R4218">
        <v>0.96184461897686269</v>
      </c>
    </row>
    <row r="4219" spans="4:19" x14ac:dyDescent="0.25">
      <c r="D4219" t="s">
        <v>111</v>
      </c>
      <c r="E4219">
        <v>2014</v>
      </c>
      <c r="F4219" t="s">
        <v>32</v>
      </c>
      <c r="G4219">
        <v>0.96738718240424726</v>
      </c>
      <c r="H4219">
        <v>0.95235749472202669</v>
      </c>
      <c r="I4219">
        <v>0.95845546068561238</v>
      </c>
      <c r="J4219">
        <v>0.96491472005932521</v>
      </c>
      <c r="K4219">
        <v>0.95307419080494271</v>
      </c>
      <c r="L4219">
        <v>0.93705861126862211</v>
      </c>
      <c r="M4219">
        <v>0.89874852832163254</v>
      </c>
      <c r="N4219">
        <v>0.89548140909302432</v>
      </c>
      <c r="O4219">
        <v>0.90980150492994294</v>
      </c>
      <c r="P4219">
        <v>0.93270703975485847</v>
      </c>
      <c r="Q4219">
        <v>0.94119033033316057</v>
      </c>
      <c r="R4219">
        <v>0.93221663329589299</v>
      </c>
    </row>
    <row r="4220" spans="4:19" x14ac:dyDescent="0.25">
      <c r="D4220" t="s">
        <v>111</v>
      </c>
      <c r="E4220">
        <v>2015</v>
      </c>
      <c r="F4220" t="s">
        <v>32</v>
      </c>
      <c r="G4220">
        <v>0.92313111545988258</v>
      </c>
      <c r="H4220">
        <v>0.92507685884540936</v>
      </c>
      <c r="I4220">
        <v>0.92317964576890643</v>
      </c>
      <c r="J4220">
        <v>0.9085150737652341</v>
      </c>
      <c r="K4220">
        <v>0.92353213129912159</v>
      </c>
      <c r="L4220">
        <v>0.91459486247625343</v>
      </c>
      <c r="M4220">
        <v>0.91392454871870543</v>
      </c>
    </row>
    <row r="4221" spans="4:19" x14ac:dyDescent="0.25">
      <c r="D4221" t="s">
        <v>111</v>
      </c>
      <c r="E4221">
        <v>2013</v>
      </c>
      <c r="F4221" t="s">
        <v>33</v>
      </c>
      <c r="S4221">
        <v>0.83994268661861826</v>
      </c>
    </row>
    <row r="4222" spans="4:19" x14ac:dyDescent="0.25">
      <c r="D4222" t="s">
        <v>111</v>
      </c>
      <c r="E4222">
        <v>2014</v>
      </c>
      <c r="F4222" t="s">
        <v>33</v>
      </c>
      <c r="S4222">
        <v>0.93340606589570152</v>
      </c>
    </row>
    <row r="4223" spans="4:19" x14ac:dyDescent="0.25">
      <c r="D4223" t="s">
        <v>111</v>
      </c>
      <c r="E4223">
        <v>2015</v>
      </c>
      <c r="F4223" t="s">
        <v>33</v>
      </c>
      <c r="S4223">
        <v>0.9149865346822913</v>
      </c>
    </row>
    <row r="4224" spans="4:19" x14ac:dyDescent="0.25">
      <c r="D4224" t="s">
        <v>111</v>
      </c>
      <c r="E4224">
        <v>2013</v>
      </c>
      <c r="F4224" t="s">
        <v>34</v>
      </c>
      <c r="G4224">
        <v>0.78750447547440028</v>
      </c>
      <c r="H4224">
        <v>0.7515320334261838</v>
      </c>
      <c r="I4224">
        <v>0.84725111441307577</v>
      </c>
      <c r="J4224">
        <v>0.83928885759549376</v>
      </c>
      <c r="K4224">
        <v>0.83803569959694002</v>
      </c>
      <c r="L4224">
        <v>0.92549379880569593</v>
      </c>
      <c r="M4224">
        <v>0.94853063257512871</v>
      </c>
      <c r="N4224">
        <v>0.94354354354354353</v>
      </c>
      <c r="O4224">
        <v>0.95046463405268411</v>
      </c>
      <c r="P4224">
        <v>0.94221653750658341</v>
      </c>
      <c r="Q4224">
        <v>0.93148752314610705</v>
      </c>
      <c r="R4224">
        <v>0.93584366913536188</v>
      </c>
    </row>
    <row r="4225" spans="4:19" x14ac:dyDescent="0.25">
      <c r="D4225" t="s">
        <v>111</v>
      </c>
      <c r="E4225">
        <v>2014</v>
      </c>
      <c r="F4225" t="s">
        <v>34</v>
      </c>
      <c r="G4225">
        <v>0.948023691526653</v>
      </c>
      <c r="H4225">
        <v>0.91264516129032258</v>
      </c>
      <c r="I4225">
        <v>0.92875874125874125</v>
      </c>
      <c r="J4225">
        <v>0.94034672970843181</v>
      </c>
      <c r="K4225">
        <v>0.91922149500516703</v>
      </c>
      <c r="L4225">
        <v>0.93739038933707475</v>
      </c>
      <c r="M4225">
        <v>0.95058939096267192</v>
      </c>
      <c r="N4225">
        <v>0.91904988123515441</v>
      </c>
      <c r="O4225">
        <v>0.87648476501979689</v>
      </c>
      <c r="P4225">
        <v>0.95546666666666669</v>
      </c>
      <c r="Q4225">
        <v>0.96176003178386971</v>
      </c>
      <c r="R4225">
        <v>0.95935655815724352</v>
      </c>
    </row>
    <row r="4226" spans="4:19" x14ac:dyDescent="0.25">
      <c r="D4226" t="s">
        <v>111</v>
      </c>
      <c r="E4226">
        <v>2015</v>
      </c>
      <c r="F4226" t="s">
        <v>34</v>
      </c>
      <c r="G4226">
        <v>0.92624630093330296</v>
      </c>
      <c r="H4226">
        <v>0.92928937934912492</v>
      </c>
      <c r="I4226">
        <v>0.91849102340731759</v>
      </c>
      <c r="J4226">
        <v>0.87679952991871513</v>
      </c>
      <c r="K4226">
        <v>0.90625347106520049</v>
      </c>
      <c r="L4226">
        <v>0.90500356125356129</v>
      </c>
      <c r="M4226">
        <v>0.93102539319919164</v>
      </c>
    </row>
    <row r="4227" spans="4:19" x14ac:dyDescent="0.25">
      <c r="D4227" t="s">
        <v>112</v>
      </c>
      <c r="E4227">
        <v>2013</v>
      </c>
      <c r="F4227" t="s">
        <v>17</v>
      </c>
      <c r="S4227">
        <v>0.84479640917716836</v>
      </c>
    </row>
    <row r="4228" spans="4:19" x14ac:dyDescent="0.25">
      <c r="D4228" t="s">
        <v>112</v>
      </c>
      <c r="E4228">
        <v>2014</v>
      </c>
      <c r="F4228" t="s">
        <v>17</v>
      </c>
      <c r="S4228">
        <v>0.92151566036358323</v>
      </c>
    </row>
    <row r="4229" spans="4:19" x14ac:dyDescent="0.25">
      <c r="D4229" t="s">
        <v>112</v>
      </c>
      <c r="E4229">
        <v>2015</v>
      </c>
      <c r="F4229" t="s">
        <v>17</v>
      </c>
      <c r="S4229">
        <v>0.94903773199486396</v>
      </c>
    </row>
    <row r="4230" spans="4:19" x14ac:dyDescent="0.25">
      <c r="D4230" t="s">
        <v>112</v>
      </c>
      <c r="E4230">
        <v>2013</v>
      </c>
      <c r="F4230" t="s">
        <v>18</v>
      </c>
      <c r="G4230">
        <v>0.84912200072767663</v>
      </c>
      <c r="H4230">
        <v>0.83121724482156223</v>
      </c>
      <c r="I4230">
        <v>0.85095812633073098</v>
      </c>
      <c r="J4230">
        <v>0.80170381376919264</v>
      </c>
      <c r="K4230">
        <v>0.80414846217069691</v>
      </c>
      <c r="L4230">
        <v>0.88720655958665617</v>
      </c>
      <c r="M4230">
        <v>0.89177070348112453</v>
      </c>
      <c r="N4230">
        <v>0.89045413767184733</v>
      </c>
      <c r="O4230">
        <v>0.8807167741457268</v>
      </c>
      <c r="P4230">
        <v>0.87895256916996045</v>
      </c>
      <c r="Q4230">
        <v>0.85961547798223037</v>
      </c>
      <c r="R4230">
        <v>0.87480931056542488</v>
      </c>
    </row>
    <row r="4231" spans="4:19" x14ac:dyDescent="0.25">
      <c r="D4231" t="s">
        <v>112</v>
      </c>
      <c r="E4231">
        <v>2014</v>
      </c>
      <c r="F4231" t="s">
        <v>18</v>
      </c>
      <c r="G4231">
        <v>0.90140162098506016</v>
      </c>
      <c r="H4231">
        <v>0.9173169428113308</v>
      </c>
      <c r="I4231">
        <v>0.90203261640274168</v>
      </c>
      <c r="J4231">
        <v>0.91274078726968177</v>
      </c>
      <c r="K4231">
        <v>0.92615131976140452</v>
      </c>
      <c r="L4231">
        <v>0.94425981873111786</v>
      </c>
      <c r="M4231">
        <v>0.95060869565217387</v>
      </c>
      <c r="N4231">
        <v>0.95974093690825768</v>
      </c>
      <c r="O4231">
        <v>0.94395246132858568</v>
      </c>
      <c r="P4231">
        <v>0.95485548979537671</v>
      </c>
      <c r="Q4231">
        <v>0.96064948572749331</v>
      </c>
      <c r="R4231">
        <v>0.96453097515722508</v>
      </c>
    </row>
    <row r="4232" spans="4:19" x14ac:dyDescent="0.25">
      <c r="D4232" t="s">
        <v>112</v>
      </c>
      <c r="E4232">
        <v>2015</v>
      </c>
      <c r="F4232" t="s">
        <v>18</v>
      </c>
      <c r="G4232">
        <v>0.96620256620256617</v>
      </c>
      <c r="H4232">
        <v>0.95054804996176401</v>
      </c>
      <c r="I4232">
        <v>0.94091723227752644</v>
      </c>
      <c r="J4232">
        <v>0.93650368784201765</v>
      </c>
      <c r="K4232">
        <v>0.93668137813211849</v>
      </c>
      <c r="L4232">
        <v>0.94877054011363371</v>
      </c>
      <c r="M4232">
        <v>0.95871800132211815</v>
      </c>
    </row>
    <row r="4233" spans="4:19" x14ac:dyDescent="0.25">
      <c r="D4233" t="s">
        <v>112</v>
      </c>
      <c r="E4233">
        <v>2013</v>
      </c>
      <c r="F4233" t="s">
        <v>19</v>
      </c>
      <c r="S4233">
        <v>0.67737400408772719</v>
      </c>
    </row>
    <row r="4234" spans="4:19" x14ac:dyDescent="0.25">
      <c r="D4234" t="s">
        <v>112</v>
      </c>
      <c r="E4234">
        <v>2014</v>
      </c>
      <c r="F4234" t="s">
        <v>19</v>
      </c>
      <c r="S4234">
        <v>0.78654638299401247</v>
      </c>
    </row>
    <row r="4235" spans="4:19" x14ac:dyDescent="0.25">
      <c r="D4235" t="s">
        <v>112</v>
      </c>
      <c r="E4235">
        <v>2015</v>
      </c>
      <c r="F4235" t="s">
        <v>19</v>
      </c>
      <c r="S4235">
        <v>0.81270907079945154</v>
      </c>
    </row>
    <row r="4236" spans="4:19" x14ac:dyDescent="0.25">
      <c r="D4236" t="s">
        <v>112</v>
      </c>
      <c r="E4236">
        <v>2013</v>
      </c>
      <c r="F4236" t="s">
        <v>20</v>
      </c>
      <c r="G4236">
        <v>0.72757652450924837</v>
      </c>
      <c r="H4236">
        <v>0.75067648212366012</v>
      </c>
      <c r="I4236">
        <v>0.67841386901802314</v>
      </c>
      <c r="J4236">
        <v>0.57491482541005989</v>
      </c>
      <c r="K4236">
        <v>0.57035356947527582</v>
      </c>
      <c r="L4236">
        <v>0.68091524358814037</v>
      </c>
      <c r="M4236">
        <v>0.73792095769197141</v>
      </c>
      <c r="N4236">
        <v>0.74132388305277808</v>
      </c>
      <c r="O4236">
        <v>0.77333031400966179</v>
      </c>
      <c r="P4236">
        <v>0.76185814102771321</v>
      </c>
      <c r="Q4236">
        <v>0.69203901085021935</v>
      </c>
      <c r="R4236">
        <v>0.75688617738625419</v>
      </c>
    </row>
    <row r="4237" spans="4:19" x14ac:dyDescent="0.25">
      <c r="D4237" t="s">
        <v>112</v>
      </c>
      <c r="E4237">
        <v>2014</v>
      </c>
      <c r="F4237" t="s">
        <v>20</v>
      </c>
      <c r="G4237">
        <v>0.8260484416159638</v>
      </c>
      <c r="H4237">
        <v>0.82275945804870299</v>
      </c>
      <c r="I4237">
        <v>0.72882751051765138</v>
      </c>
      <c r="J4237">
        <v>0.74900288190630182</v>
      </c>
      <c r="K4237">
        <v>0.7897421020568014</v>
      </c>
      <c r="L4237">
        <v>0.76241618013720902</v>
      </c>
      <c r="M4237">
        <v>0.82537716300017583</v>
      </c>
      <c r="N4237">
        <v>0.86615458091220254</v>
      </c>
      <c r="O4237">
        <v>0.94824732309061599</v>
      </c>
      <c r="P4237">
        <v>0.91149312141365157</v>
      </c>
      <c r="Q4237">
        <v>0.80528699485277322</v>
      </c>
      <c r="R4237">
        <v>0.8390497413621415</v>
      </c>
    </row>
    <row r="4238" spans="4:19" x14ac:dyDescent="0.25">
      <c r="D4238" t="s">
        <v>112</v>
      </c>
      <c r="E4238">
        <v>2015</v>
      </c>
      <c r="F4238" t="s">
        <v>20</v>
      </c>
      <c r="G4238">
        <v>0.8347867481826251</v>
      </c>
      <c r="H4238">
        <v>0.81996661281901062</v>
      </c>
      <c r="I4238">
        <v>0.78048879203651989</v>
      </c>
      <c r="J4238">
        <v>0.78227884792748159</v>
      </c>
      <c r="K4238">
        <v>0.78312152317110073</v>
      </c>
      <c r="L4238">
        <v>0.8236686981036645</v>
      </c>
      <c r="M4238">
        <v>0.85499866910205691</v>
      </c>
    </row>
    <row r="4239" spans="4:19" x14ac:dyDescent="0.25">
      <c r="D4239" t="s">
        <v>112</v>
      </c>
      <c r="E4239">
        <v>2013</v>
      </c>
      <c r="F4239" t="s">
        <v>21</v>
      </c>
      <c r="S4239">
        <v>0.86612708300768959</v>
      </c>
    </row>
    <row r="4240" spans="4:19" x14ac:dyDescent="0.25">
      <c r="D4240" t="s">
        <v>112</v>
      </c>
      <c r="E4240">
        <v>2014</v>
      </c>
      <c r="F4240" t="s">
        <v>21</v>
      </c>
      <c r="S4240">
        <v>0.90919010869099381</v>
      </c>
    </row>
    <row r="4241" spans="4:19" x14ac:dyDescent="0.25">
      <c r="D4241" t="s">
        <v>112</v>
      </c>
      <c r="E4241">
        <v>2015</v>
      </c>
      <c r="F4241" t="s">
        <v>21</v>
      </c>
      <c r="S4241">
        <v>0.95072266775406644</v>
      </c>
    </row>
    <row r="4242" spans="4:19" x14ac:dyDescent="0.25">
      <c r="D4242" t="s">
        <v>112</v>
      </c>
      <c r="E4242">
        <v>2013</v>
      </c>
      <c r="F4242" t="s">
        <v>22</v>
      </c>
      <c r="G4242">
        <v>0.89398745671598423</v>
      </c>
      <c r="H4242">
        <v>0.86222627737226276</v>
      </c>
      <c r="I4242">
        <v>0.86068111455108354</v>
      </c>
      <c r="J4242">
        <v>0.83553997923156798</v>
      </c>
      <c r="K4242">
        <v>0.79518510657651376</v>
      </c>
      <c r="L4242">
        <v>0.8815381661592474</v>
      </c>
      <c r="M4242">
        <v>0.91468502770114679</v>
      </c>
      <c r="N4242">
        <v>0.89874635181745821</v>
      </c>
      <c r="O4242">
        <v>0.89096438981117732</v>
      </c>
      <c r="P4242">
        <v>0.87121358286706541</v>
      </c>
      <c r="Q4242">
        <v>0.9313417507400471</v>
      </c>
      <c r="R4242">
        <v>0.92064878353087964</v>
      </c>
    </row>
    <row r="4243" spans="4:19" x14ac:dyDescent="0.25">
      <c r="D4243" t="s">
        <v>112</v>
      </c>
      <c r="E4243">
        <v>2014</v>
      </c>
      <c r="F4243" t="s">
        <v>22</v>
      </c>
      <c r="G4243">
        <v>0.96693854061241091</v>
      </c>
      <c r="H4243">
        <v>0.91175284342986207</v>
      </c>
      <c r="I4243">
        <v>0.90242943991123648</v>
      </c>
      <c r="J4243">
        <v>0.92847341337907374</v>
      </c>
      <c r="K4243">
        <v>0.90604851860214242</v>
      </c>
      <c r="L4243">
        <v>0.87492150896005405</v>
      </c>
      <c r="M4243">
        <v>0.86280754480005384</v>
      </c>
      <c r="N4243">
        <v>0.87034999553956405</v>
      </c>
      <c r="O4243">
        <v>0.90002296738631149</v>
      </c>
      <c r="P4243">
        <v>0.96010016694490818</v>
      </c>
      <c r="Q4243">
        <v>0.96448206203492981</v>
      </c>
      <c r="R4243">
        <v>0.9611053002845954</v>
      </c>
    </row>
    <row r="4244" spans="4:19" x14ac:dyDescent="0.25">
      <c r="D4244" t="s">
        <v>112</v>
      </c>
      <c r="E4244">
        <v>2015</v>
      </c>
      <c r="F4244" t="s">
        <v>22</v>
      </c>
      <c r="G4244">
        <v>0.96699442240239208</v>
      </c>
      <c r="H4244">
        <v>0.94279220361515537</v>
      </c>
      <c r="I4244">
        <v>0.9677489177489178</v>
      </c>
      <c r="J4244">
        <v>0.93709582598471486</v>
      </c>
      <c r="K4244">
        <v>0.94003941962907556</v>
      </c>
      <c r="L4244">
        <v>0.94406882548719984</v>
      </c>
      <c r="M4244">
        <v>0.95237119504587575</v>
      </c>
    </row>
    <row r="4245" spans="4:19" x14ac:dyDescent="0.25">
      <c r="D4245" t="s">
        <v>112</v>
      </c>
      <c r="E4245">
        <v>2013</v>
      </c>
      <c r="F4245" t="s">
        <v>23</v>
      </c>
      <c r="S4245">
        <v>701682</v>
      </c>
    </row>
    <row r="4246" spans="4:19" x14ac:dyDescent="0.25">
      <c r="D4246" t="s">
        <v>112</v>
      </c>
      <c r="E4246">
        <v>2014</v>
      </c>
      <c r="F4246" t="s">
        <v>23</v>
      </c>
      <c r="S4246">
        <v>698970</v>
      </c>
    </row>
    <row r="4247" spans="4:19" x14ac:dyDescent="0.25">
      <c r="D4247" t="s">
        <v>112</v>
      </c>
      <c r="E4247">
        <v>2015</v>
      </c>
      <c r="F4247" t="s">
        <v>23</v>
      </c>
      <c r="S4247">
        <v>650063</v>
      </c>
    </row>
    <row r="4248" spans="4:19" x14ac:dyDescent="0.25">
      <c r="D4248" t="s">
        <v>112</v>
      </c>
      <c r="E4248">
        <v>2013</v>
      </c>
      <c r="F4248" t="s">
        <v>24</v>
      </c>
      <c r="G4248">
        <v>116429</v>
      </c>
      <c r="H4248">
        <v>131254</v>
      </c>
      <c r="I4248">
        <v>96876</v>
      </c>
      <c r="J4248">
        <v>93373</v>
      </c>
      <c r="K4248">
        <v>91535</v>
      </c>
      <c r="L4248">
        <v>83773</v>
      </c>
      <c r="M4248">
        <v>88442</v>
      </c>
      <c r="N4248">
        <v>83840</v>
      </c>
      <c r="O4248">
        <v>93944</v>
      </c>
      <c r="P4248">
        <v>103400</v>
      </c>
      <c r="Q4248">
        <v>94154</v>
      </c>
      <c r="R4248">
        <v>82892</v>
      </c>
    </row>
    <row r="4249" spans="4:19" x14ac:dyDescent="0.25">
      <c r="D4249" t="s">
        <v>112</v>
      </c>
      <c r="E4249">
        <v>2014</v>
      </c>
      <c r="F4249" t="s">
        <v>24</v>
      </c>
      <c r="G4249">
        <v>104875</v>
      </c>
      <c r="H4249">
        <v>111578</v>
      </c>
      <c r="I4249">
        <v>111049</v>
      </c>
      <c r="J4249">
        <v>96881</v>
      </c>
      <c r="K4249">
        <v>87974</v>
      </c>
      <c r="L4249">
        <v>89486</v>
      </c>
      <c r="M4249">
        <v>97127</v>
      </c>
      <c r="N4249">
        <v>79997</v>
      </c>
      <c r="O4249">
        <v>114245</v>
      </c>
      <c r="P4249">
        <v>107193</v>
      </c>
      <c r="Q4249">
        <v>88488</v>
      </c>
      <c r="R4249">
        <v>92981</v>
      </c>
    </row>
    <row r="4250" spans="4:19" x14ac:dyDescent="0.25">
      <c r="D4250" t="s">
        <v>112</v>
      </c>
      <c r="E4250">
        <v>2015</v>
      </c>
      <c r="F4250" t="s">
        <v>24</v>
      </c>
      <c r="G4250">
        <v>99717</v>
      </c>
      <c r="H4250">
        <v>100136</v>
      </c>
      <c r="I4250">
        <v>98097</v>
      </c>
      <c r="J4250">
        <v>87613</v>
      </c>
      <c r="K4250">
        <v>76550</v>
      </c>
      <c r="L4250">
        <v>94226</v>
      </c>
      <c r="M4250">
        <v>93724</v>
      </c>
    </row>
    <row r="4251" spans="4:19" x14ac:dyDescent="0.25">
      <c r="D4251" t="s">
        <v>112</v>
      </c>
      <c r="E4251">
        <v>2013</v>
      </c>
      <c r="F4251" t="s">
        <v>25</v>
      </c>
      <c r="S4251">
        <v>1663701</v>
      </c>
    </row>
    <row r="4252" spans="4:19" x14ac:dyDescent="0.25">
      <c r="D4252" t="s">
        <v>112</v>
      </c>
      <c r="E4252">
        <v>2014</v>
      </c>
      <c r="F4252" t="s">
        <v>25</v>
      </c>
      <c r="S4252">
        <v>1803632</v>
      </c>
    </row>
    <row r="4253" spans="4:19" x14ac:dyDescent="0.25">
      <c r="D4253" t="s">
        <v>112</v>
      </c>
      <c r="E4253">
        <v>2015</v>
      </c>
      <c r="F4253" t="s">
        <v>25</v>
      </c>
      <c r="S4253">
        <v>2030923</v>
      </c>
    </row>
    <row r="4254" spans="4:19" x14ac:dyDescent="0.25">
      <c r="D4254" t="s">
        <v>112</v>
      </c>
      <c r="E4254">
        <v>2013</v>
      </c>
      <c r="F4254" t="s">
        <v>26</v>
      </c>
      <c r="G4254">
        <v>277248</v>
      </c>
      <c r="H4254">
        <v>244387</v>
      </c>
      <c r="I4254">
        <v>231643</v>
      </c>
      <c r="J4254">
        <v>214763</v>
      </c>
      <c r="K4254">
        <v>205308</v>
      </c>
      <c r="L4254">
        <v>228775</v>
      </c>
      <c r="M4254">
        <v>261577</v>
      </c>
      <c r="N4254">
        <v>253627</v>
      </c>
      <c r="O4254">
        <v>266314</v>
      </c>
      <c r="P4254">
        <v>319589</v>
      </c>
      <c r="Q4254">
        <v>310307</v>
      </c>
      <c r="R4254">
        <v>290876</v>
      </c>
    </row>
    <row r="4255" spans="4:19" x14ac:dyDescent="0.25">
      <c r="D4255" t="s">
        <v>112</v>
      </c>
      <c r="E4255">
        <v>2014</v>
      </c>
      <c r="F4255" t="s">
        <v>26</v>
      </c>
      <c r="G4255">
        <v>283532</v>
      </c>
      <c r="H4255">
        <v>267420</v>
      </c>
      <c r="I4255">
        <v>257125</v>
      </c>
      <c r="J4255">
        <v>238661</v>
      </c>
      <c r="K4255">
        <v>241182</v>
      </c>
      <c r="L4255">
        <v>248679</v>
      </c>
      <c r="M4255">
        <v>267033</v>
      </c>
      <c r="N4255">
        <v>241490</v>
      </c>
      <c r="O4255">
        <v>290858</v>
      </c>
      <c r="P4255">
        <v>316685</v>
      </c>
      <c r="Q4255">
        <v>291107</v>
      </c>
      <c r="R4255">
        <v>358747</v>
      </c>
    </row>
    <row r="4256" spans="4:19" x14ac:dyDescent="0.25">
      <c r="D4256" t="s">
        <v>112</v>
      </c>
      <c r="E4256">
        <v>2015</v>
      </c>
      <c r="F4256" t="s">
        <v>26</v>
      </c>
      <c r="G4256">
        <v>335648</v>
      </c>
      <c r="H4256">
        <v>287643</v>
      </c>
      <c r="I4256">
        <v>295204</v>
      </c>
      <c r="J4256">
        <v>260409</v>
      </c>
      <c r="K4256">
        <v>237931</v>
      </c>
      <c r="L4256">
        <v>291605</v>
      </c>
      <c r="M4256">
        <v>322483</v>
      </c>
    </row>
    <row r="4257" spans="4:19" x14ac:dyDescent="0.25">
      <c r="D4257" t="s">
        <v>112</v>
      </c>
      <c r="E4257">
        <v>2013</v>
      </c>
      <c r="F4257" t="s">
        <v>27</v>
      </c>
      <c r="S4257">
        <v>3244385</v>
      </c>
    </row>
    <row r="4258" spans="4:19" x14ac:dyDescent="0.25">
      <c r="D4258" t="s">
        <v>112</v>
      </c>
      <c r="E4258">
        <v>2014</v>
      </c>
      <c r="F4258" t="s">
        <v>27</v>
      </c>
      <c r="S4258">
        <v>3372493</v>
      </c>
    </row>
    <row r="4259" spans="4:19" x14ac:dyDescent="0.25">
      <c r="D4259" t="s">
        <v>112</v>
      </c>
      <c r="E4259">
        <v>2015</v>
      </c>
      <c r="F4259" t="s">
        <v>27</v>
      </c>
      <c r="S4259">
        <v>3632556</v>
      </c>
    </row>
    <row r="4260" spans="4:19" x14ac:dyDescent="0.25">
      <c r="D4260" t="s">
        <v>112</v>
      </c>
      <c r="E4260">
        <v>2013</v>
      </c>
      <c r="F4260" t="s">
        <v>28</v>
      </c>
      <c r="G4260">
        <v>531927</v>
      </c>
      <c r="H4260">
        <v>506417</v>
      </c>
      <c r="I4260">
        <v>471619</v>
      </c>
      <c r="J4260">
        <v>420546</v>
      </c>
      <c r="K4260">
        <v>397220</v>
      </c>
      <c r="L4260">
        <v>419814</v>
      </c>
      <c r="M4260">
        <v>496842</v>
      </c>
      <c r="N4260">
        <v>445342</v>
      </c>
      <c r="O4260">
        <v>523498</v>
      </c>
      <c r="P4260">
        <v>614842</v>
      </c>
      <c r="Q4260">
        <v>548869</v>
      </c>
      <c r="R4260">
        <v>543415</v>
      </c>
    </row>
    <row r="4261" spans="4:19" x14ac:dyDescent="0.25">
      <c r="D4261" t="s">
        <v>112</v>
      </c>
      <c r="E4261">
        <v>2014</v>
      </c>
      <c r="F4261" t="s">
        <v>28</v>
      </c>
      <c r="G4261">
        <v>538700</v>
      </c>
      <c r="H4261">
        <v>518202</v>
      </c>
      <c r="I4261">
        <v>485177</v>
      </c>
      <c r="J4261">
        <v>448996</v>
      </c>
      <c r="K4261">
        <v>437535</v>
      </c>
      <c r="L4261">
        <v>460251</v>
      </c>
      <c r="M4261">
        <v>483632</v>
      </c>
      <c r="N4261">
        <v>411899</v>
      </c>
      <c r="O4261">
        <v>540975</v>
      </c>
      <c r="P4261">
        <v>574230</v>
      </c>
      <c r="Q4261">
        <v>524802</v>
      </c>
      <c r="R4261">
        <v>616793</v>
      </c>
    </row>
    <row r="4262" spans="4:19" x14ac:dyDescent="0.25">
      <c r="D4262" t="s">
        <v>112</v>
      </c>
      <c r="E4262">
        <v>2015</v>
      </c>
      <c r="F4262" t="s">
        <v>28</v>
      </c>
      <c r="G4262">
        <v>589964</v>
      </c>
      <c r="H4262">
        <v>523660</v>
      </c>
      <c r="I4262">
        <v>553065</v>
      </c>
      <c r="J4262">
        <v>465262</v>
      </c>
      <c r="K4262">
        <v>420004</v>
      </c>
      <c r="L4262">
        <v>516578</v>
      </c>
      <c r="M4262">
        <v>564023</v>
      </c>
    </row>
    <row r="4263" spans="4:19" x14ac:dyDescent="0.25">
      <c r="D4263" t="s">
        <v>112</v>
      </c>
      <c r="E4263">
        <v>2013</v>
      </c>
      <c r="F4263" t="s">
        <v>29</v>
      </c>
      <c r="S4263">
        <v>357801</v>
      </c>
    </row>
    <row r="4264" spans="4:19" x14ac:dyDescent="0.25">
      <c r="D4264" t="s">
        <v>112</v>
      </c>
      <c r="E4264">
        <v>2014</v>
      </c>
      <c r="F4264" t="s">
        <v>29</v>
      </c>
      <c r="S4264">
        <v>301334</v>
      </c>
    </row>
    <row r="4265" spans="4:19" x14ac:dyDescent="0.25">
      <c r="D4265" t="s">
        <v>112</v>
      </c>
      <c r="E4265">
        <v>2015</v>
      </c>
      <c r="F4265" t="s">
        <v>29</v>
      </c>
      <c r="S4265">
        <v>274144</v>
      </c>
    </row>
    <row r="4266" spans="4:19" x14ac:dyDescent="0.25">
      <c r="D4266" t="s">
        <v>112</v>
      </c>
      <c r="E4266">
        <v>2013</v>
      </c>
      <c r="F4266" t="s">
        <v>30</v>
      </c>
      <c r="G4266">
        <v>52221</v>
      </c>
      <c r="H4266">
        <v>64112</v>
      </c>
      <c r="I4266">
        <v>46497</v>
      </c>
      <c r="J4266">
        <v>50475</v>
      </c>
      <c r="K4266">
        <v>46234</v>
      </c>
      <c r="L4266">
        <v>44515</v>
      </c>
      <c r="M4266">
        <v>53747</v>
      </c>
      <c r="N4266">
        <v>41243</v>
      </c>
      <c r="O4266">
        <v>53964</v>
      </c>
      <c r="P4266">
        <v>48576</v>
      </c>
      <c r="Q4266">
        <v>41194</v>
      </c>
      <c r="R4266">
        <v>40642</v>
      </c>
    </row>
    <row r="4267" spans="4:19" x14ac:dyDescent="0.25">
      <c r="D4267" t="s">
        <v>112</v>
      </c>
      <c r="E4267">
        <v>2014</v>
      </c>
      <c r="F4267" t="s">
        <v>30</v>
      </c>
      <c r="G4267">
        <v>43307</v>
      </c>
      <c r="H4267">
        <v>56130</v>
      </c>
      <c r="I4267">
        <v>42310</v>
      </c>
      <c r="J4267">
        <v>38208</v>
      </c>
      <c r="K4267">
        <v>41409</v>
      </c>
      <c r="L4267">
        <v>39720</v>
      </c>
      <c r="M4267">
        <v>40250</v>
      </c>
      <c r="N4267">
        <v>36439</v>
      </c>
      <c r="O4267">
        <v>43249</v>
      </c>
      <c r="P4267">
        <v>37679</v>
      </c>
      <c r="Q4267">
        <v>34612</v>
      </c>
      <c r="R4267">
        <v>41501</v>
      </c>
    </row>
    <row r="4268" spans="4:19" x14ac:dyDescent="0.25">
      <c r="D4268" t="s">
        <v>112</v>
      </c>
      <c r="E4268">
        <v>2015</v>
      </c>
      <c r="F4268" t="s">
        <v>30</v>
      </c>
      <c r="G4268">
        <v>36630</v>
      </c>
      <c r="H4268">
        <v>47076</v>
      </c>
      <c r="I4268">
        <v>42432</v>
      </c>
      <c r="J4268">
        <v>33624</v>
      </c>
      <c r="K4268">
        <v>28096</v>
      </c>
      <c r="L4268">
        <v>42417</v>
      </c>
      <c r="M4268">
        <v>43869</v>
      </c>
    </row>
    <row r="4269" spans="4:19" x14ac:dyDescent="0.25">
      <c r="D4269" t="s">
        <v>112</v>
      </c>
      <c r="E4269">
        <v>2013</v>
      </c>
      <c r="F4269" t="s">
        <v>31</v>
      </c>
      <c r="S4269">
        <v>0.84320532662944181</v>
      </c>
    </row>
    <row r="4270" spans="4:19" x14ac:dyDescent="0.25">
      <c r="D4270" t="s">
        <v>112</v>
      </c>
      <c r="E4270">
        <v>2014</v>
      </c>
      <c r="F4270" t="s">
        <v>31</v>
      </c>
      <c r="S4270">
        <v>0.92912714422650466</v>
      </c>
    </row>
    <row r="4271" spans="4:19" x14ac:dyDescent="0.25">
      <c r="D4271" t="s">
        <v>112</v>
      </c>
      <c r="E4271">
        <v>2015</v>
      </c>
      <c r="F4271" t="s">
        <v>31</v>
      </c>
      <c r="S4271">
        <v>0.90196642479267397</v>
      </c>
    </row>
    <row r="4272" spans="4:19" x14ac:dyDescent="0.25">
      <c r="D4272" t="s">
        <v>112</v>
      </c>
      <c r="E4272">
        <v>2013</v>
      </c>
      <c r="F4272" t="s">
        <v>32</v>
      </c>
      <c r="G4272">
        <v>0.78740691752054903</v>
      </c>
      <c r="H4272">
        <v>0.77480305362122293</v>
      </c>
      <c r="I4272">
        <v>0.86104917626656752</v>
      </c>
      <c r="J4272">
        <v>0.869619697342915</v>
      </c>
      <c r="K4272">
        <v>0.84745725678702133</v>
      </c>
      <c r="L4272">
        <v>0.8565886383440966</v>
      </c>
      <c r="M4272">
        <v>0.95366454851767257</v>
      </c>
      <c r="N4272">
        <v>0.93307490458015263</v>
      </c>
      <c r="O4272">
        <v>0.946957762071021</v>
      </c>
      <c r="P4272">
        <v>0.97058027079303677</v>
      </c>
      <c r="Q4272">
        <v>0.94381545128194233</v>
      </c>
      <c r="R4272">
        <v>0.96665540703566089</v>
      </c>
    </row>
    <row r="4273" spans="4:19" x14ac:dyDescent="0.25">
      <c r="D4273" t="s">
        <v>112</v>
      </c>
      <c r="E4273">
        <v>2014</v>
      </c>
      <c r="F4273" t="s">
        <v>32</v>
      </c>
      <c r="G4273">
        <v>0.92176400476758047</v>
      </c>
      <c r="H4273">
        <v>0.91493842872250797</v>
      </c>
      <c r="I4273">
        <v>0.90692397049950924</v>
      </c>
      <c r="J4273">
        <v>0.91731092783930801</v>
      </c>
      <c r="K4273">
        <v>0.95945392957010023</v>
      </c>
      <c r="L4273">
        <v>0.95768053103278727</v>
      </c>
      <c r="M4273">
        <v>0.93677350273353444</v>
      </c>
      <c r="N4273">
        <v>0.92439716489368351</v>
      </c>
      <c r="O4273">
        <v>0.93191824587509298</v>
      </c>
      <c r="P4273">
        <v>0.93863405259671806</v>
      </c>
      <c r="Q4273">
        <v>0.94238766838441368</v>
      </c>
      <c r="R4273">
        <v>0.929598520127768</v>
      </c>
    </row>
    <row r="4274" spans="4:19" x14ac:dyDescent="0.25">
      <c r="D4274" t="s">
        <v>112</v>
      </c>
      <c r="E4274">
        <v>2015</v>
      </c>
      <c r="F4274" t="s">
        <v>32</v>
      </c>
      <c r="G4274">
        <v>0.90951392440606915</v>
      </c>
      <c r="H4274">
        <v>0.9039606135655508</v>
      </c>
      <c r="I4274">
        <v>0.91400348634514816</v>
      </c>
      <c r="J4274">
        <v>0.89724127697944367</v>
      </c>
      <c r="K4274">
        <v>0.912305682560418</v>
      </c>
      <c r="L4274">
        <v>0.88741960817608723</v>
      </c>
      <c r="M4274">
        <v>0.88980410567197299</v>
      </c>
    </row>
    <row r="4275" spans="4:19" x14ac:dyDescent="0.25">
      <c r="D4275" t="s">
        <v>112</v>
      </c>
      <c r="E4275">
        <v>2013</v>
      </c>
      <c r="F4275" t="s">
        <v>33</v>
      </c>
      <c r="S4275">
        <v>0.89319992011009008</v>
      </c>
    </row>
    <row r="4276" spans="4:19" x14ac:dyDescent="0.25">
      <c r="D4276" t="s">
        <v>112</v>
      </c>
      <c r="E4276">
        <v>2014</v>
      </c>
      <c r="F4276" t="s">
        <v>33</v>
      </c>
      <c r="S4276">
        <v>0.90212335824781009</v>
      </c>
    </row>
    <row r="4277" spans="4:19" x14ac:dyDescent="0.25">
      <c r="D4277" t="s">
        <v>112</v>
      </c>
      <c r="E4277">
        <v>2015</v>
      </c>
      <c r="F4277" t="s">
        <v>33</v>
      </c>
      <c r="S4277">
        <v>0.90223353490810243</v>
      </c>
    </row>
    <row r="4278" spans="4:19" x14ac:dyDescent="0.25">
      <c r="D4278" t="s">
        <v>112</v>
      </c>
      <c r="E4278">
        <v>2013</v>
      </c>
      <c r="F4278" t="s">
        <v>34</v>
      </c>
      <c r="G4278">
        <v>0.84936506729526273</v>
      </c>
      <c r="H4278">
        <v>0.76695565444222802</v>
      </c>
      <c r="I4278">
        <v>0.93680163214061518</v>
      </c>
      <c r="J4278">
        <v>0.93189535606676555</v>
      </c>
      <c r="K4278">
        <v>0.91012037294739767</v>
      </c>
      <c r="L4278">
        <v>0.94894905467732282</v>
      </c>
      <c r="M4278">
        <v>0.9621988368872888</v>
      </c>
      <c r="N4278">
        <v>0.8939279367839994</v>
      </c>
      <c r="O4278">
        <v>0.92153991497401988</v>
      </c>
      <c r="P4278">
        <v>0.95707997065297135</v>
      </c>
      <c r="Q4278">
        <v>0.91264861294583888</v>
      </c>
      <c r="R4278">
        <v>0.95059786591359985</v>
      </c>
    </row>
    <row r="4279" spans="4:19" x14ac:dyDescent="0.25">
      <c r="D4279" t="s">
        <v>112</v>
      </c>
      <c r="E4279">
        <v>2014</v>
      </c>
      <c r="F4279" t="s">
        <v>34</v>
      </c>
      <c r="G4279">
        <v>0.8884962967996195</v>
      </c>
      <c r="H4279">
        <v>0.87377478687608889</v>
      </c>
      <c r="I4279">
        <v>0.86330935251798557</v>
      </c>
      <c r="J4279">
        <v>0.88003713742344147</v>
      </c>
      <c r="K4279">
        <v>0.93941504178272983</v>
      </c>
      <c r="L4279">
        <v>0.9368138285447325</v>
      </c>
      <c r="M4279">
        <v>0.96877038486627531</v>
      </c>
      <c r="N4279">
        <v>0.97993329783358085</v>
      </c>
      <c r="O4279">
        <v>0.95106635071090051</v>
      </c>
      <c r="P4279">
        <v>0.97094602814160014</v>
      </c>
      <c r="Q4279">
        <v>0.96723533535872863</v>
      </c>
      <c r="R4279">
        <v>0.9465247312722207</v>
      </c>
    </row>
    <row r="4280" spans="4:19" x14ac:dyDescent="0.25">
      <c r="D4280" t="s">
        <v>112</v>
      </c>
      <c r="E4280">
        <v>2015</v>
      </c>
      <c r="F4280" t="s">
        <v>34</v>
      </c>
      <c r="G4280">
        <v>0.90874687611567295</v>
      </c>
      <c r="H4280">
        <v>0.89823254202044711</v>
      </c>
      <c r="I4280">
        <v>0.93141476735637008</v>
      </c>
      <c r="J4280">
        <v>0.89934156212874772</v>
      </c>
      <c r="K4280">
        <v>0.91739906941768101</v>
      </c>
      <c r="L4280">
        <v>0.88006122672109044</v>
      </c>
      <c r="M4280">
        <v>0.88140404718519227</v>
      </c>
    </row>
    <row r="4281" spans="4:19" x14ac:dyDescent="0.25">
      <c r="D4281" t="s">
        <v>113</v>
      </c>
      <c r="E4281">
        <v>2013</v>
      </c>
      <c r="F4281" t="s">
        <v>17</v>
      </c>
      <c r="S4281">
        <v>0.8880268334352126</v>
      </c>
    </row>
    <row r="4282" spans="4:19" x14ac:dyDescent="0.25">
      <c r="D4282" t="s">
        <v>113</v>
      </c>
      <c r="E4282">
        <v>2014</v>
      </c>
      <c r="F4282" t="s">
        <v>17</v>
      </c>
      <c r="S4282">
        <v>0.86117740354762207</v>
      </c>
    </row>
    <row r="4283" spans="4:19" x14ac:dyDescent="0.25">
      <c r="D4283" t="s">
        <v>113</v>
      </c>
      <c r="E4283">
        <v>2015</v>
      </c>
      <c r="F4283" t="s">
        <v>17</v>
      </c>
      <c r="S4283">
        <v>0.89803820530751965</v>
      </c>
    </row>
    <row r="4284" spans="4:19" x14ac:dyDescent="0.25">
      <c r="D4284" t="s">
        <v>113</v>
      </c>
      <c r="E4284">
        <v>2013</v>
      </c>
      <c r="F4284" t="s">
        <v>18</v>
      </c>
      <c r="G4284">
        <v>0.86909324530893461</v>
      </c>
      <c r="H4284">
        <v>0.84606625532929058</v>
      </c>
      <c r="I4284">
        <v>0.90798611111111116</v>
      </c>
      <c r="J4284">
        <v>0.9152603132583278</v>
      </c>
      <c r="K4284">
        <v>0.89531438604191815</v>
      </c>
      <c r="L4284">
        <v>0.89548336492581215</v>
      </c>
      <c r="M4284">
        <v>0.89657519329195257</v>
      </c>
      <c r="N4284">
        <v>0.89118959341418968</v>
      </c>
      <c r="O4284">
        <v>0.78901498826796912</v>
      </c>
      <c r="P4284">
        <v>0.88499505164057146</v>
      </c>
      <c r="Q4284">
        <v>0.8662752772341813</v>
      </c>
      <c r="R4284">
        <v>0.89367295372757205</v>
      </c>
    </row>
    <row r="4285" spans="4:19" x14ac:dyDescent="0.25">
      <c r="D4285" t="s">
        <v>113</v>
      </c>
      <c r="E4285">
        <v>2014</v>
      </c>
      <c r="F4285" t="s">
        <v>18</v>
      </c>
      <c r="G4285">
        <v>0.85201484741392719</v>
      </c>
      <c r="H4285">
        <v>0.81193202362299621</v>
      </c>
      <c r="I4285">
        <v>0.86800732245733059</v>
      </c>
      <c r="J4285">
        <v>0.86909578101192664</v>
      </c>
      <c r="K4285">
        <v>0.86511587785381561</v>
      </c>
      <c r="L4285">
        <v>0.87851312035703188</v>
      </c>
      <c r="M4285">
        <v>0.89358522486958969</v>
      </c>
      <c r="N4285">
        <v>0.89186499224261584</v>
      </c>
      <c r="O4285">
        <v>0.85550895920701486</v>
      </c>
      <c r="P4285">
        <v>0.90999701444549064</v>
      </c>
      <c r="Q4285">
        <v>0.88609604445032408</v>
      </c>
      <c r="R4285">
        <v>0.90480766920544919</v>
      </c>
    </row>
    <row r="4286" spans="4:19" x14ac:dyDescent="0.25">
      <c r="D4286" t="s">
        <v>113</v>
      </c>
      <c r="E4286">
        <v>2015</v>
      </c>
      <c r="F4286" t="s">
        <v>18</v>
      </c>
      <c r="G4286">
        <v>0.90809791089270331</v>
      </c>
      <c r="H4286">
        <v>0.91978481195062201</v>
      </c>
      <c r="I4286">
        <v>0.76293326726875521</v>
      </c>
      <c r="J4286">
        <v>0.93561118317555825</v>
      </c>
      <c r="K4286">
        <v>0.9111056915526019</v>
      </c>
      <c r="L4286">
        <v>0.94072282681714359</v>
      </c>
      <c r="M4286">
        <v>0.93321997641444754</v>
      </c>
    </row>
    <row r="4287" spans="4:19" x14ac:dyDescent="0.25">
      <c r="D4287" t="s">
        <v>113</v>
      </c>
      <c r="E4287">
        <v>2013</v>
      </c>
      <c r="F4287" t="s">
        <v>19</v>
      </c>
      <c r="S4287">
        <v>0.71037649683178838</v>
      </c>
    </row>
    <row r="4288" spans="4:19" x14ac:dyDescent="0.25">
      <c r="D4288" t="s">
        <v>113</v>
      </c>
      <c r="E4288">
        <v>2014</v>
      </c>
      <c r="F4288" t="s">
        <v>19</v>
      </c>
      <c r="S4288">
        <v>0.99053462144233972</v>
      </c>
    </row>
    <row r="4289" spans="4:19" x14ac:dyDescent="0.25">
      <c r="D4289" t="s">
        <v>113</v>
      </c>
      <c r="E4289">
        <v>2015</v>
      </c>
      <c r="F4289" t="s">
        <v>19</v>
      </c>
      <c r="S4289">
        <v>0.98362736216405222</v>
      </c>
    </row>
    <row r="4290" spans="4:19" x14ac:dyDescent="0.25">
      <c r="D4290" t="s">
        <v>113</v>
      </c>
      <c r="E4290">
        <v>2013</v>
      </c>
      <c r="F4290" t="s">
        <v>20</v>
      </c>
      <c r="G4290">
        <v>0.59202224291397798</v>
      </c>
      <c r="H4290">
        <v>0.5967137712078916</v>
      </c>
      <c r="I4290">
        <v>0.60481359347806174</v>
      </c>
      <c r="J4290">
        <v>0.63530778164924506</v>
      </c>
      <c r="K4290">
        <v>0.70649889975347857</v>
      </c>
      <c r="L4290">
        <v>0.91256995196499624</v>
      </c>
      <c r="M4290">
        <v>0.95981855079384026</v>
      </c>
      <c r="N4290">
        <v>0.70836976461108536</v>
      </c>
      <c r="O4290">
        <v>0.92917133666176621</v>
      </c>
      <c r="P4290">
        <v>0.90899078949531253</v>
      </c>
      <c r="Q4290">
        <v>0.81658527163866124</v>
      </c>
      <c r="R4290">
        <v>0.98271093134846654</v>
      </c>
    </row>
    <row r="4291" spans="4:19" x14ac:dyDescent="0.25">
      <c r="D4291" t="s">
        <v>113</v>
      </c>
      <c r="E4291">
        <v>2014</v>
      </c>
      <c r="F4291" t="s">
        <v>20</v>
      </c>
      <c r="G4291">
        <v>0.98117973841914174</v>
      </c>
      <c r="H4291">
        <v>0.99351751997473736</v>
      </c>
      <c r="I4291">
        <v>0.99551998356899418</v>
      </c>
      <c r="J4291">
        <v>0.99569860575496882</v>
      </c>
      <c r="K4291">
        <v>0.99370522786160642</v>
      </c>
      <c r="L4291">
        <v>0.99311994259975289</v>
      </c>
      <c r="M4291">
        <v>0.98365356253558422</v>
      </c>
      <c r="N4291">
        <v>0.9595539595539595</v>
      </c>
      <c r="O4291">
        <v>0.85114705445911853</v>
      </c>
      <c r="P4291">
        <v>0.98509955831565577</v>
      </c>
      <c r="Q4291">
        <v>0.99419532537067545</v>
      </c>
      <c r="R4291">
        <v>0.99735838504512764</v>
      </c>
    </row>
    <row r="4292" spans="4:19" x14ac:dyDescent="0.25">
      <c r="D4292" t="s">
        <v>113</v>
      </c>
      <c r="E4292">
        <v>2015</v>
      </c>
      <c r="F4292" t="s">
        <v>20</v>
      </c>
      <c r="G4292">
        <v>0.9505408429690414</v>
      </c>
      <c r="H4292">
        <v>0.98543973007542007</v>
      </c>
      <c r="I4292">
        <v>0.98263899973397184</v>
      </c>
      <c r="J4292">
        <v>0.98709050783483232</v>
      </c>
      <c r="K4292">
        <v>0.99054291881122369</v>
      </c>
      <c r="L4292">
        <v>0.99489375133638114</v>
      </c>
      <c r="M4292">
        <v>0.995357426031799</v>
      </c>
    </row>
    <row r="4293" spans="4:19" x14ac:dyDescent="0.25">
      <c r="D4293" t="s">
        <v>113</v>
      </c>
      <c r="E4293">
        <v>2013</v>
      </c>
      <c r="F4293" t="s">
        <v>21</v>
      </c>
      <c r="S4293">
        <v>0.98535571306080405</v>
      </c>
    </row>
    <row r="4294" spans="4:19" x14ac:dyDescent="0.25">
      <c r="D4294" t="s">
        <v>113</v>
      </c>
      <c r="E4294">
        <v>2014</v>
      </c>
      <c r="F4294" t="s">
        <v>21</v>
      </c>
      <c r="S4294">
        <v>0.99799340933884251</v>
      </c>
    </row>
    <row r="4295" spans="4:19" x14ac:dyDescent="0.25">
      <c r="D4295" t="s">
        <v>113</v>
      </c>
      <c r="E4295">
        <v>2015</v>
      </c>
      <c r="F4295" t="s">
        <v>21</v>
      </c>
      <c r="S4295">
        <v>0.99738261979161436</v>
      </c>
    </row>
    <row r="4296" spans="4:19" x14ac:dyDescent="0.25">
      <c r="D4296" t="s">
        <v>113</v>
      </c>
      <c r="E4296">
        <v>2013</v>
      </c>
      <c r="F4296" t="s">
        <v>22</v>
      </c>
      <c r="G4296">
        <v>0.95994561422849378</v>
      </c>
      <c r="H4296">
        <v>0.98273450687243791</v>
      </c>
      <c r="I4296">
        <v>0.99202336326388285</v>
      </c>
      <c r="J4296">
        <v>0.99040021633315301</v>
      </c>
      <c r="K4296">
        <v>0.98510516798324921</v>
      </c>
      <c r="L4296">
        <v>0.99559357179885954</v>
      </c>
      <c r="M4296">
        <v>0.99537614088697679</v>
      </c>
      <c r="N4296">
        <v>0.98113508343075784</v>
      </c>
      <c r="O4296">
        <v>0.99586002957121733</v>
      </c>
      <c r="P4296">
        <v>0.99321501130831447</v>
      </c>
      <c r="Q4296">
        <v>0.98645350864086856</v>
      </c>
      <c r="R4296">
        <v>0.99063018897762312</v>
      </c>
    </row>
    <row r="4297" spans="4:19" x14ac:dyDescent="0.25">
      <c r="D4297" t="s">
        <v>113</v>
      </c>
      <c r="E4297">
        <v>2014</v>
      </c>
      <c r="F4297" t="s">
        <v>22</v>
      </c>
      <c r="G4297">
        <v>0.99894197952218433</v>
      </c>
      <c r="H4297">
        <v>0.99870681692222429</v>
      </c>
      <c r="I4297">
        <v>0.99918443434696491</v>
      </c>
      <c r="J4297">
        <v>0.99793719917487966</v>
      </c>
      <c r="K4297">
        <v>0.99810669808145402</v>
      </c>
      <c r="L4297">
        <v>0.99673807989690721</v>
      </c>
      <c r="M4297">
        <v>0.99626542967214404</v>
      </c>
      <c r="N4297">
        <v>0.99790173107186575</v>
      </c>
      <c r="O4297">
        <v>0.99509952894696851</v>
      </c>
      <c r="P4297">
        <v>0.99681374526095023</v>
      </c>
      <c r="Q4297">
        <v>0.99861029225974896</v>
      </c>
      <c r="R4297">
        <v>0.99820536595579223</v>
      </c>
    </row>
    <row r="4298" spans="4:19" x14ac:dyDescent="0.25">
      <c r="D4298" t="s">
        <v>113</v>
      </c>
      <c r="E4298">
        <v>2015</v>
      </c>
      <c r="F4298" t="s">
        <v>22</v>
      </c>
      <c r="G4298">
        <v>0.99699699699699695</v>
      </c>
      <c r="H4298">
        <v>0.99579545046178175</v>
      </c>
      <c r="I4298">
        <v>0.99683123786159666</v>
      </c>
      <c r="J4298">
        <v>0.99763406940063093</v>
      </c>
      <c r="K4298">
        <v>0.99870529211846581</v>
      </c>
      <c r="L4298">
        <v>0.99758809710258423</v>
      </c>
      <c r="M4298">
        <v>0.99830270828721124</v>
      </c>
    </row>
    <row r="4299" spans="4:19" x14ac:dyDescent="0.25">
      <c r="D4299" t="s">
        <v>113</v>
      </c>
      <c r="E4299">
        <v>2013</v>
      </c>
      <c r="F4299" t="s">
        <v>23</v>
      </c>
      <c r="S4299">
        <v>332573</v>
      </c>
    </row>
    <row r="4300" spans="4:19" x14ac:dyDescent="0.25">
      <c r="D4300" t="s">
        <v>113</v>
      </c>
      <c r="E4300">
        <v>2014</v>
      </c>
      <c r="F4300" t="s">
        <v>23</v>
      </c>
      <c r="S4300">
        <v>311866</v>
      </c>
    </row>
    <row r="4301" spans="4:19" x14ac:dyDescent="0.25">
      <c r="D4301" t="s">
        <v>113</v>
      </c>
      <c r="E4301">
        <v>2015</v>
      </c>
      <c r="F4301" t="s">
        <v>23</v>
      </c>
      <c r="S4301">
        <v>307217</v>
      </c>
    </row>
    <row r="4302" spans="4:19" x14ac:dyDescent="0.25">
      <c r="D4302" t="s">
        <v>113</v>
      </c>
      <c r="E4302">
        <v>2013</v>
      </c>
      <c r="F4302" t="s">
        <v>24</v>
      </c>
      <c r="G4302">
        <v>57624</v>
      </c>
      <c r="H4302">
        <v>56932</v>
      </c>
      <c r="I4302">
        <v>47135</v>
      </c>
      <c r="J4302">
        <v>44117</v>
      </c>
      <c r="K4302">
        <v>45442</v>
      </c>
      <c r="L4302">
        <v>38298</v>
      </c>
      <c r="M4302">
        <v>43025</v>
      </c>
      <c r="N4302">
        <v>43466</v>
      </c>
      <c r="O4302">
        <v>52000</v>
      </c>
      <c r="P4302">
        <v>51476</v>
      </c>
      <c r="Q4302">
        <v>45569</v>
      </c>
      <c r="R4302">
        <v>47666</v>
      </c>
    </row>
    <row r="4303" spans="4:19" x14ac:dyDescent="0.25">
      <c r="D4303" t="s">
        <v>113</v>
      </c>
      <c r="E4303">
        <v>2014</v>
      </c>
      <c r="F4303" t="s">
        <v>24</v>
      </c>
      <c r="G4303">
        <v>51914</v>
      </c>
      <c r="H4303">
        <v>57669</v>
      </c>
      <c r="I4303">
        <v>43028</v>
      </c>
      <c r="J4303">
        <v>38072</v>
      </c>
      <c r="K4303">
        <v>37048</v>
      </c>
      <c r="L4303">
        <v>40204</v>
      </c>
      <c r="M4303">
        <v>43931</v>
      </c>
      <c r="N4303">
        <v>45246</v>
      </c>
      <c r="O4303">
        <v>56646</v>
      </c>
      <c r="P4303">
        <v>49680</v>
      </c>
      <c r="Q4303">
        <v>40891</v>
      </c>
      <c r="R4303">
        <v>47352</v>
      </c>
    </row>
    <row r="4304" spans="4:19" x14ac:dyDescent="0.25">
      <c r="D4304" t="s">
        <v>113</v>
      </c>
      <c r="E4304">
        <v>2015</v>
      </c>
      <c r="F4304" t="s">
        <v>24</v>
      </c>
      <c r="G4304">
        <v>46072</v>
      </c>
      <c r="H4304">
        <v>49420</v>
      </c>
      <c r="I4304">
        <v>44422</v>
      </c>
      <c r="J4304">
        <v>41133</v>
      </c>
      <c r="K4304">
        <v>36710</v>
      </c>
      <c r="L4304">
        <v>43166</v>
      </c>
      <c r="M4304">
        <v>46294</v>
      </c>
    </row>
    <row r="4305" spans="4:19" x14ac:dyDescent="0.25">
      <c r="D4305" t="s">
        <v>113</v>
      </c>
      <c r="E4305">
        <v>2013</v>
      </c>
      <c r="F4305" t="s">
        <v>25</v>
      </c>
      <c r="S4305">
        <v>819631</v>
      </c>
    </row>
    <row r="4306" spans="4:19" x14ac:dyDescent="0.25">
      <c r="D4306" t="s">
        <v>113</v>
      </c>
      <c r="E4306">
        <v>2014</v>
      </c>
      <c r="F4306" t="s">
        <v>25</v>
      </c>
      <c r="S4306">
        <v>844639</v>
      </c>
    </row>
    <row r="4307" spans="4:19" x14ac:dyDescent="0.25">
      <c r="D4307" t="s">
        <v>113</v>
      </c>
      <c r="E4307">
        <v>2015</v>
      </c>
      <c r="F4307" t="s">
        <v>25</v>
      </c>
      <c r="S4307">
        <v>916071</v>
      </c>
    </row>
    <row r="4308" spans="4:19" x14ac:dyDescent="0.25">
      <c r="D4308" t="s">
        <v>113</v>
      </c>
      <c r="E4308">
        <v>2013</v>
      </c>
      <c r="F4308" t="s">
        <v>26</v>
      </c>
      <c r="G4308">
        <v>157658</v>
      </c>
      <c r="H4308">
        <v>132133</v>
      </c>
      <c r="J4308">
        <v>128119</v>
      </c>
      <c r="K4308">
        <v>125681</v>
      </c>
      <c r="L4308">
        <v>130669</v>
      </c>
      <c r="M4308">
        <v>145371</v>
      </c>
      <c r="N4308">
        <v>124602</v>
      </c>
      <c r="O4308">
        <v>162104</v>
      </c>
      <c r="P4308">
        <v>176994</v>
      </c>
      <c r="Q4308">
        <v>162550</v>
      </c>
      <c r="R4308">
        <v>173269</v>
      </c>
    </row>
    <row r="4309" spans="4:19" x14ac:dyDescent="0.25">
      <c r="D4309" t="s">
        <v>113</v>
      </c>
      <c r="E4309">
        <v>2014</v>
      </c>
      <c r="F4309" t="s">
        <v>26</v>
      </c>
      <c r="G4309">
        <v>173977</v>
      </c>
      <c r="H4309">
        <v>148486</v>
      </c>
      <c r="J4309">
        <v>130140</v>
      </c>
      <c r="K4309">
        <v>122320</v>
      </c>
      <c r="L4309">
        <v>132573</v>
      </c>
      <c r="M4309">
        <v>137143</v>
      </c>
      <c r="N4309">
        <v>135629</v>
      </c>
      <c r="O4309">
        <v>166213</v>
      </c>
      <c r="P4309">
        <v>180788</v>
      </c>
      <c r="Q4309">
        <v>162033</v>
      </c>
      <c r="R4309">
        <v>186165</v>
      </c>
    </row>
    <row r="4310" spans="4:19" x14ac:dyDescent="0.25">
      <c r="D4310" t="s">
        <v>113</v>
      </c>
      <c r="E4310">
        <v>2015</v>
      </c>
      <c r="F4310" t="s">
        <v>26</v>
      </c>
      <c r="G4310">
        <v>169287</v>
      </c>
      <c r="H4310">
        <v>154342</v>
      </c>
      <c r="I4310">
        <v>152454</v>
      </c>
      <c r="J4310">
        <v>146543</v>
      </c>
      <c r="K4310">
        <v>129950</v>
      </c>
      <c r="L4310">
        <v>163495</v>
      </c>
    </row>
    <row r="4311" spans="4:19" x14ac:dyDescent="0.25">
      <c r="D4311" t="s">
        <v>113</v>
      </c>
      <c r="E4311">
        <v>2013</v>
      </c>
      <c r="F4311" t="s">
        <v>27</v>
      </c>
      <c r="S4311">
        <v>1488057</v>
      </c>
    </row>
    <row r="4312" spans="4:19" x14ac:dyDescent="0.25">
      <c r="D4312" t="s">
        <v>113</v>
      </c>
      <c r="E4312">
        <v>2014</v>
      </c>
      <c r="F4312" t="s">
        <v>27</v>
      </c>
      <c r="S4312">
        <v>1543983</v>
      </c>
    </row>
    <row r="4313" spans="4:19" x14ac:dyDescent="0.25">
      <c r="D4313" t="s">
        <v>113</v>
      </c>
      <c r="E4313">
        <v>2015</v>
      </c>
      <c r="F4313" t="s">
        <v>27</v>
      </c>
      <c r="S4313">
        <v>1697337</v>
      </c>
    </row>
    <row r="4314" spans="4:19" x14ac:dyDescent="0.25">
      <c r="D4314" t="s">
        <v>113</v>
      </c>
      <c r="E4314">
        <v>2013</v>
      </c>
      <c r="F4314" t="s">
        <v>28</v>
      </c>
      <c r="G4314">
        <v>243729</v>
      </c>
      <c r="H4314">
        <v>205116</v>
      </c>
      <c r="I4314">
        <v>217920</v>
      </c>
      <c r="J4314">
        <v>199476</v>
      </c>
      <c r="K4314">
        <v>195174</v>
      </c>
      <c r="L4314">
        <v>198561</v>
      </c>
      <c r="M4314">
        <v>228081</v>
      </c>
      <c r="N4314">
        <v>199971</v>
      </c>
      <c r="O4314">
        <v>251389</v>
      </c>
      <c r="P4314">
        <v>286830</v>
      </c>
      <c r="Q4314">
        <v>249272</v>
      </c>
      <c r="R4314">
        <v>264135</v>
      </c>
    </row>
    <row r="4315" spans="4:19" x14ac:dyDescent="0.25">
      <c r="D4315" t="s">
        <v>113</v>
      </c>
      <c r="E4315">
        <v>2014</v>
      </c>
      <c r="F4315" t="s">
        <v>28</v>
      </c>
      <c r="G4315">
        <v>276679</v>
      </c>
      <c r="H4315">
        <v>242449</v>
      </c>
      <c r="I4315">
        <v>222648</v>
      </c>
      <c r="J4315">
        <v>203600</v>
      </c>
      <c r="K4315">
        <v>187961</v>
      </c>
      <c r="L4315">
        <v>203128</v>
      </c>
      <c r="M4315">
        <v>207518</v>
      </c>
      <c r="N4315">
        <v>208171</v>
      </c>
      <c r="O4315">
        <v>261147</v>
      </c>
      <c r="P4315">
        <v>278645</v>
      </c>
      <c r="Q4315">
        <v>246214</v>
      </c>
      <c r="R4315">
        <v>284639</v>
      </c>
    </row>
    <row r="4316" spans="4:19" x14ac:dyDescent="0.25">
      <c r="D4316" t="s">
        <v>113</v>
      </c>
      <c r="E4316">
        <v>2015</v>
      </c>
      <c r="F4316" t="s">
        <v>28</v>
      </c>
      <c r="G4316">
        <v>258504</v>
      </c>
      <c r="H4316">
        <v>247341</v>
      </c>
      <c r="I4316">
        <v>249562</v>
      </c>
      <c r="J4316">
        <v>224966</v>
      </c>
      <c r="K4316">
        <v>201647</v>
      </c>
      <c r="L4316">
        <v>255602</v>
      </c>
      <c r="M4316">
        <v>259715</v>
      </c>
    </row>
    <row r="4317" spans="4:19" x14ac:dyDescent="0.25">
      <c r="D4317" t="s">
        <v>113</v>
      </c>
      <c r="E4317">
        <v>2013</v>
      </c>
      <c r="F4317" t="s">
        <v>29</v>
      </c>
      <c r="S4317">
        <v>255204</v>
      </c>
    </row>
    <row r="4318" spans="4:19" x14ac:dyDescent="0.25">
      <c r="D4318" t="s">
        <v>113</v>
      </c>
      <c r="E4318">
        <v>2014</v>
      </c>
      <c r="F4318" t="s">
        <v>29</v>
      </c>
      <c r="S4318">
        <v>267334</v>
      </c>
    </row>
    <row r="4319" spans="4:19" x14ac:dyDescent="0.25">
      <c r="D4319" t="s">
        <v>113</v>
      </c>
      <c r="E4319">
        <v>2015</v>
      </c>
      <c r="F4319" t="s">
        <v>29</v>
      </c>
      <c r="S4319">
        <v>271690</v>
      </c>
    </row>
    <row r="4320" spans="4:19" x14ac:dyDescent="0.25">
      <c r="D4320" t="s">
        <v>113</v>
      </c>
      <c r="E4320">
        <v>2013</v>
      </c>
      <c r="F4320" t="s">
        <v>30</v>
      </c>
      <c r="G4320">
        <v>45139</v>
      </c>
      <c r="H4320">
        <v>37763</v>
      </c>
      <c r="I4320">
        <v>32256</v>
      </c>
      <c r="J4320">
        <v>36264</v>
      </c>
      <c r="K4320">
        <v>36452</v>
      </c>
      <c r="L4320">
        <v>30598</v>
      </c>
      <c r="M4320">
        <v>36732</v>
      </c>
      <c r="N4320">
        <v>31826</v>
      </c>
      <c r="O4320">
        <v>41766</v>
      </c>
      <c r="P4320">
        <v>39407</v>
      </c>
      <c r="Q4320">
        <v>39858</v>
      </c>
      <c r="R4320">
        <v>39181</v>
      </c>
    </row>
    <row r="4321" spans="4:19" x14ac:dyDescent="0.25">
      <c r="D4321" t="s">
        <v>113</v>
      </c>
      <c r="E4321">
        <v>2014</v>
      </c>
      <c r="F4321" t="s">
        <v>30</v>
      </c>
      <c r="G4321">
        <v>44991</v>
      </c>
      <c r="H4321">
        <v>41485</v>
      </c>
      <c r="I4321">
        <v>37146</v>
      </c>
      <c r="J4321">
        <v>38066</v>
      </c>
      <c r="K4321">
        <v>34778</v>
      </c>
      <c r="L4321">
        <v>35403</v>
      </c>
      <c r="M4321">
        <v>35465</v>
      </c>
      <c r="N4321">
        <v>34161</v>
      </c>
      <c r="O4321">
        <v>44591</v>
      </c>
      <c r="P4321">
        <v>43543</v>
      </c>
      <c r="Q4321">
        <v>37795</v>
      </c>
      <c r="R4321">
        <v>41621</v>
      </c>
    </row>
    <row r="4322" spans="4:19" x14ac:dyDescent="0.25">
      <c r="D4322" t="s">
        <v>113</v>
      </c>
      <c r="E4322">
        <v>2015</v>
      </c>
      <c r="F4322" t="s">
        <v>30</v>
      </c>
      <c r="G4322">
        <v>42937</v>
      </c>
      <c r="H4322">
        <v>41638</v>
      </c>
      <c r="I4322">
        <v>44401</v>
      </c>
      <c r="J4322">
        <v>36233</v>
      </c>
      <c r="K4322">
        <v>32803</v>
      </c>
      <c r="L4322">
        <v>37215</v>
      </c>
      <c r="M4322">
        <v>36463</v>
      </c>
    </row>
    <row r="4323" spans="4:19" x14ac:dyDescent="0.25">
      <c r="D4323" t="s">
        <v>113</v>
      </c>
      <c r="E4323">
        <v>2013</v>
      </c>
      <c r="F4323" t="s">
        <v>31</v>
      </c>
      <c r="S4323">
        <v>0.86270984114765781</v>
      </c>
    </row>
    <row r="4324" spans="4:19" x14ac:dyDescent="0.25">
      <c r="D4324" t="s">
        <v>113</v>
      </c>
      <c r="E4324">
        <v>2014</v>
      </c>
      <c r="F4324" t="s">
        <v>31</v>
      </c>
      <c r="S4324">
        <v>0.92272642737586019</v>
      </c>
    </row>
    <row r="4325" spans="4:19" x14ac:dyDescent="0.25">
      <c r="D4325" t="s">
        <v>113</v>
      </c>
      <c r="E4325">
        <v>2015</v>
      </c>
      <c r="F4325" t="s">
        <v>31</v>
      </c>
      <c r="S4325">
        <v>0.95334568074032366</v>
      </c>
    </row>
    <row r="4326" spans="4:19" x14ac:dyDescent="0.25">
      <c r="D4326" t="s">
        <v>113</v>
      </c>
      <c r="E4326">
        <v>2013</v>
      </c>
      <c r="F4326" t="s">
        <v>32</v>
      </c>
      <c r="G4326">
        <v>0.83165000694155211</v>
      </c>
      <c r="H4326">
        <v>0.81946884001967257</v>
      </c>
      <c r="I4326">
        <v>0.89706163148403517</v>
      </c>
      <c r="J4326">
        <v>0.87424348890450398</v>
      </c>
      <c r="K4326">
        <v>0.8307072752079574</v>
      </c>
      <c r="L4326">
        <v>0.8796020679931067</v>
      </c>
      <c r="M4326">
        <v>0.93083091226031378</v>
      </c>
      <c r="N4326">
        <v>0.91034371692817373</v>
      </c>
      <c r="O4326">
        <v>0.86250000000000004</v>
      </c>
      <c r="P4326">
        <v>0.89247416271660585</v>
      </c>
      <c r="Q4326">
        <v>0.95766859048914832</v>
      </c>
      <c r="R4326">
        <v>0.93576133931943106</v>
      </c>
    </row>
    <row r="4327" spans="4:19" x14ac:dyDescent="0.25">
      <c r="D4327" t="s">
        <v>113</v>
      </c>
      <c r="E4327">
        <v>2014</v>
      </c>
      <c r="F4327" t="s">
        <v>32</v>
      </c>
      <c r="G4327">
        <v>0.96095465577686179</v>
      </c>
      <c r="H4327">
        <v>0.85284988468674683</v>
      </c>
      <c r="I4327">
        <v>0.94670911964302318</v>
      </c>
      <c r="J4327">
        <v>0.95390313090985501</v>
      </c>
      <c r="K4327">
        <v>0.96615201900237535</v>
      </c>
      <c r="L4327">
        <v>0.89182668391204856</v>
      </c>
      <c r="M4327">
        <v>0.91042771619130003</v>
      </c>
      <c r="N4327">
        <v>0.92058966538478537</v>
      </c>
      <c r="O4327">
        <v>0.94310277866045267</v>
      </c>
      <c r="P4327">
        <v>0.9223631239935588</v>
      </c>
      <c r="Q4327">
        <v>0.94641852730429676</v>
      </c>
      <c r="R4327">
        <v>0.90735343808075686</v>
      </c>
    </row>
    <row r="4328" spans="4:19" x14ac:dyDescent="0.25">
      <c r="D4328" t="s">
        <v>113</v>
      </c>
      <c r="E4328">
        <v>2015</v>
      </c>
      <c r="F4328" t="s">
        <v>32</v>
      </c>
      <c r="G4328">
        <v>1.3609133530126758</v>
      </c>
      <c r="H4328">
        <v>0.84508296236341562</v>
      </c>
      <c r="I4328">
        <v>0.91216064112376749</v>
      </c>
      <c r="J4328">
        <v>0.87603627257919436</v>
      </c>
      <c r="K4328">
        <v>0.84312176518659765</v>
      </c>
      <c r="L4328">
        <v>0.9410415604874206</v>
      </c>
      <c r="M4328">
        <v>0.87039357152114749</v>
      </c>
    </row>
    <row r="4329" spans="4:19" x14ac:dyDescent="0.25">
      <c r="D4329" t="s">
        <v>113</v>
      </c>
      <c r="E4329">
        <v>2013</v>
      </c>
      <c r="F4329" t="s">
        <v>33</v>
      </c>
      <c r="S4329">
        <v>0.87997198110097796</v>
      </c>
    </row>
    <row r="4330" spans="4:19" x14ac:dyDescent="0.25">
      <c r="D4330" t="s">
        <v>113</v>
      </c>
      <c r="E4330">
        <v>2014</v>
      </c>
      <c r="F4330" t="s">
        <v>33</v>
      </c>
      <c r="S4330">
        <v>0.91339127560795497</v>
      </c>
    </row>
    <row r="4331" spans="4:19" x14ac:dyDescent="0.25">
      <c r="D4331" t="s">
        <v>113</v>
      </c>
      <c r="E4331">
        <v>2015</v>
      </c>
      <c r="F4331" t="s">
        <v>33</v>
      </c>
      <c r="S4331">
        <v>0.88082200818049872</v>
      </c>
    </row>
    <row r="4332" spans="4:19" x14ac:dyDescent="0.25">
      <c r="D4332" t="s">
        <v>113</v>
      </c>
      <c r="E4332">
        <v>2013</v>
      </c>
      <c r="F4332" t="s">
        <v>34</v>
      </c>
      <c r="G4332">
        <v>0.82731070496083547</v>
      </c>
      <c r="H4332">
        <v>0.81265257907861921</v>
      </c>
      <c r="I4332">
        <v>0.93888317035512092</v>
      </c>
      <c r="J4332">
        <v>0.91386183229921314</v>
      </c>
      <c r="K4332">
        <v>0.85194085644671402</v>
      </c>
      <c r="L4332">
        <v>0.9439146597704865</v>
      </c>
      <c r="M4332">
        <v>0.91757659861958152</v>
      </c>
      <c r="N4332">
        <v>0.86000143698807296</v>
      </c>
      <c r="O4332">
        <v>0.79735283280900149</v>
      </c>
      <c r="P4332">
        <v>0.84155836720673272</v>
      </c>
      <c r="Q4332">
        <v>0.93122749474134547</v>
      </c>
      <c r="R4332">
        <v>0.89969863731656186</v>
      </c>
    </row>
    <row r="4333" spans="4:19" x14ac:dyDescent="0.25">
      <c r="D4333" t="s">
        <v>113</v>
      </c>
      <c r="E4333">
        <v>2014</v>
      </c>
      <c r="F4333" t="s">
        <v>34</v>
      </c>
      <c r="G4333">
        <v>0.94136873770681473</v>
      </c>
      <c r="H4333">
        <v>0.77789410317481089</v>
      </c>
      <c r="I4333">
        <v>0.91974660506789863</v>
      </c>
      <c r="J4333">
        <v>0.93129233057980665</v>
      </c>
      <c r="K4333">
        <v>0.94946197557731837</v>
      </c>
      <c r="L4333">
        <v>0.97414645632210972</v>
      </c>
      <c r="M4333">
        <v>0.98033721435818155</v>
      </c>
      <c r="N4333">
        <v>0.98222592175488421</v>
      </c>
      <c r="O4333">
        <v>0.97685447912444268</v>
      </c>
      <c r="P4333">
        <v>0.94862735542560106</v>
      </c>
      <c r="Q4333">
        <v>0.98320944014139422</v>
      </c>
      <c r="R4333">
        <v>0.90645951262595847</v>
      </c>
    </row>
    <row r="4334" spans="4:19" x14ac:dyDescent="0.25">
      <c r="D4334" t="s">
        <v>113</v>
      </c>
      <c r="E4334">
        <v>2015</v>
      </c>
      <c r="F4334" t="s">
        <v>34</v>
      </c>
      <c r="G4334">
        <v>0.9520657995409334</v>
      </c>
      <c r="H4334">
        <v>0.81280413121917305</v>
      </c>
      <c r="I4334">
        <v>0.94421272158498437</v>
      </c>
      <c r="J4334">
        <v>0.8802068371157713</v>
      </c>
      <c r="K4334">
        <v>0.81620826461017248</v>
      </c>
      <c r="L4334">
        <v>0.91025891357831845</v>
      </c>
      <c r="M4334">
        <v>0.85042604990870363</v>
      </c>
    </row>
    <row r="4335" spans="4:19" x14ac:dyDescent="0.25">
      <c r="D4335" t="s">
        <v>114</v>
      </c>
      <c r="E4335">
        <v>2013</v>
      </c>
      <c r="F4335" t="s">
        <v>17</v>
      </c>
      <c r="S4335">
        <v>0.92664841898847949</v>
      </c>
    </row>
    <row r="4336" spans="4:19" x14ac:dyDescent="0.25">
      <c r="D4336" t="s">
        <v>114</v>
      </c>
      <c r="E4336">
        <v>2014</v>
      </c>
      <c r="F4336" t="s">
        <v>17</v>
      </c>
      <c r="S4336">
        <v>0.92697468740469657</v>
      </c>
    </row>
    <row r="4337" spans="4:19" x14ac:dyDescent="0.25">
      <c r="D4337" t="s">
        <v>114</v>
      </c>
      <c r="E4337">
        <v>2015</v>
      </c>
      <c r="F4337" t="s">
        <v>17</v>
      </c>
      <c r="S4337">
        <v>0.91286323593893248</v>
      </c>
    </row>
    <row r="4338" spans="4:19" x14ac:dyDescent="0.25">
      <c r="D4338" t="s">
        <v>114</v>
      </c>
      <c r="E4338">
        <v>2013</v>
      </c>
      <c r="F4338" t="s">
        <v>18</v>
      </c>
      <c r="G4338">
        <v>0.91970393057682487</v>
      </c>
      <c r="H4338">
        <v>0.91296995659771152</v>
      </c>
      <c r="I4338">
        <v>0.93206564620482879</v>
      </c>
      <c r="J4338">
        <v>0.93290826037304908</v>
      </c>
      <c r="K4338">
        <v>0.91577852872368082</v>
      </c>
      <c r="L4338">
        <v>0.93942513942513939</v>
      </c>
      <c r="M4338">
        <v>0.94219531084982044</v>
      </c>
      <c r="N4338">
        <v>0.93883980023050329</v>
      </c>
      <c r="O4338">
        <v>0.96408801228078334</v>
      </c>
      <c r="P4338">
        <v>0.9503851490359313</v>
      </c>
      <c r="Q4338">
        <v>0.94819678462801138</v>
      </c>
      <c r="R4338">
        <v>0.94008664918481355</v>
      </c>
    </row>
    <row r="4339" spans="4:19" x14ac:dyDescent="0.25">
      <c r="D4339" t="s">
        <v>114</v>
      </c>
      <c r="E4339">
        <v>2014</v>
      </c>
      <c r="F4339" t="s">
        <v>18</v>
      </c>
      <c r="G4339">
        <v>0.93032696465604725</v>
      </c>
      <c r="H4339">
        <v>0.93730222579780098</v>
      </c>
      <c r="I4339">
        <v>0.92693348525851016</v>
      </c>
      <c r="J4339">
        <v>0.91996025612718035</v>
      </c>
      <c r="K4339">
        <v>0.92424703376939454</v>
      </c>
      <c r="L4339">
        <v>0.92680455385348992</v>
      </c>
      <c r="M4339">
        <v>0.92165397170837871</v>
      </c>
      <c r="N4339">
        <v>0.90491630221686015</v>
      </c>
      <c r="O4339">
        <v>0.89485272240404645</v>
      </c>
      <c r="P4339">
        <v>0.90580015659820512</v>
      </c>
      <c r="Q4339">
        <v>0.90289327194007285</v>
      </c>
      <c r="R4339">
        <v>0.89908894916197235</v>
      </c>
    </row>
    <row r="4340" spans="4:19" x14ac:dyDescent="0.25">
      <c r="D4340" t="s">
        <v>114</v>
      </c>
      <c r="E4340">
        <v>2015</v>
      </c>
      <c r="F4340" t="s">
        <v>18</v>
      </c>
      <c r="G4340">
        <v>0.87040049577813927</v>
      </c>
      <c r="H4340">
        <v>0.85823845667299181</v>
      </c>
      <c r="I4340">
        <v>0.88517659893631528</v>
      </c>
      <c r="J4340">
        <v>0.99059139784946237</v>
      </c>
      <c r="K4340">
        <v>0.98982835346471709</v>
      </c>
      <c r="L4340">
        <v>0.98913664951400804</v>
      </c>
      <c r="M4340">
        <v>0.9987974987974988</v>
      </c>
    </row>
    <row r="4341" spans="4:19" x14ac:dyDescent="0.25">
      <c r="D4341" t="s">
        <v>114</v>
      </c>
      <c r="E4341">
        <v>2013</v>
      </c>
      <c r="F4341" t="s">
        <v>19</v>
      </c>
      <c r="S4341">
        <v>0.58763103320928378</v>
      </c>
    </row>
    <row r="4342" spans="4:19" x14ac:dyDescent="0.25">
      <c r="D4342" t="s">
        <v>114</v>
      </c>
      <c r="E4342">
        <v>2014</v>
      </c>
      <c r="F4342" t="s">
        <v>19</v>
      </c>
      <c r="S4342">
        <v>0.72477628962157126</v>
      </c>
    </row>
    <row r="4343" spans="4:19" x14ac:dyDescent="0.25">
      <c r="D4343" t="s">
        <v>114</v>
      </c>
      <c r="E4343">
        <v>2015</v>
      </c>
      <c r="F4343" t="s">
        <v>19</v>
      </c>
      <c r="S4343">
        <v>0.78062862438381508</v>
      </c>
    </row>
    <row r="4344" spans="4:19" x14ac:dyDescent="0.25">
      <c r="D4344" t="s">
        <v>114</v>
      </c>
      <c r="E4344">
        <v>2013</v>
      </c>
      <c r="F4344" t="s">
        <v>20</v>
      </c>
      <c r="G4344">
        <v>0.64461016754317901</v>
      </c>
      <c r="H4344">
        <v>0.59645418504164993</v>
      </c>
      <c r="I4344">
        <v>0.48703646805795181</v>
      </c>
      <c r="J4344">
        <v>0.48517231055817978</v>
      </c>
      <c r="K4344">
        <v>0.42068066419651434</v>
      </c>
      <c r="L4344">
        <v>0.59292555288442961</v>
      </c>
      <c r="M4344">
        <v>0.8968794983371664</v>
      </c>
      <c r="N4344">
        <v>0.74715804394046781</v>
      </c>
      <c r="O4344">
        <v>0.74875655330017477</v>
      </c>
      <c r="P4344">
        <v>0.75624064688942261</v>
      </c>
      <c r="Q4344">
        <v>0.65512958335754545</v>
      </c>
      <c r="R4344">
        <v>0.71262238687483459</v>
      </c>
    </row>
    <row r="4345" spans="4:19" x14ac:dyDescent="0.25">
      <c r="D4345" t="s">
        <v>114</v>
      </c>
      <c r="E4345">
        <v>2014</v>
      </c>
      <c r="F4345" t="s">
        <v>20</v>
      </c>
      <c r="G4345">
        <v>0.78189595896287556</v>
      </c>
      <c r="H4345">
        <v>0.77194348024262827</v>
      </c>
      <c r="I4345">
        <v>0.79005147432638534</v>
      </c>
      <c r="J4345">
        <v>0.67937567196826454</v>
      </c>
      <c r="K4345">
        <v>0.62315394422082482</v>
      </c>
      <c r="L4345">
        <v>0.68935152584205428</v>
      </c>
      <c r="M4345">
        <v>0.73226397800183318</v>
      </c>
      <c r="N4345">
        <v>0.72009767749690001</v>
      </c>
      <c r="O4345">
        <v>0.78253823429953229</v>
      </c>
      <c r="P4345">
        <v>0.89622865961482812</v>
      </c>
      <c r="Q4345">
        <v>0.8285327058262838</v>
      </c>
      <c r="R4345">
        <v>0.81945037733162462</v>
      </c>
    </row>
    <row r="4346" spans="4:19" x14ac:dyDescent="0.25">
      <c r="D4346" t="s">
        <v>114</v>
      </c>
      <c r="E4346">
        <v>2015</v>
      </c>
      <c r="F4346" t="s">
        <v>20</v>
      </c>
      <c r="G4346">
        <v>0.85669164917452445</v>
      </c>
      <c r="H4346">
        <v>0.78239052056758518</v>
      </c>
      <c r="I4346">
        <v>0.72345383130284269</v>
      </c>
      <c r="J4346">
        <v>0.75146114664030139</v>
      </c>
      <c r="K4346">
        <v>0.73843086271874725</v>
      </c>
      <c r="L4346">
        <v>0.76065205409759618</v>
      </c>
      <c r="M4346">
        <v>0.84455720362406972</v>
      </c>
    </row>
    <row r="4347" spans="4:19" x14ac:dyDescent="0.25">
      <c r="D4347" t="s">
        <v>114</v>
      </c>
      <c r="E4347">
        <v>2013</v>
      </c>
      <c r="F4347" t="s">
        <v>21</v>
      </c>
      <c r="S4347">
        <v>0.9733556392881535</v>
      </c>
    </row>
    <row r="4348" spans="4:19" x14ac:dyDescent="0.25">
      <c r="D4348" t="s">
        <v>114</v>
      </c>
      <c r="E4348">
        <v>2014</v>
      </c>
      <c r="F4348" t="s">
        <v>21</v>
      </c>
      <c r="S4348">
        <v>0.9579501824094443</v>
      </c>
    </row>
    <row r="4349" spans="4:19" x14ac:dyDescent="0.25">
      <c r="D4349" t="s">
        <v>114</v>
      </c>
      <c r="E4349">
        <v>2015</v>
      </c>
      <c r="F4349" t="s">
        <v>21</v>
      </c>
      <c r="S4349">
        <v>0.93961203116132697</v>
      </c>
    </row>
    <row r="4350" spans="4:19" x14ac:dyDescent="0.25">
      <c r="D4350" t="s">
        <v>114</v>
      </c>
      <c r="E4350">
        <v>2013</v>
      </c>
      <c r="F4350" t="s">
        <v>22</v>
      </c>
      <c r="G4350">
        <v>0.95289287679349899</v>
      </c>
      <c r="H4350">
        <v>0.9875769186114014</v>
      </c>
      <c r="I4350">
        <v>0.98205460108260767</v>
      </c>
      <c r="J4350">
        <v>0.98352657258276066</v>
      </c>
      <c r="K4350">
        <v>0.94722783243208031</v>
      </c>
      <c r="L4350">
        <v>0.98397629701293987</v>
      </c>
      <c r="M4350">
        <v>0.97903495723317213</v>
      </c>
      <c r="N4350">
        <v>0.97599072368869788</v>
      </c>
      <c r="O4350">
        <v>0.83565351894818252</v>
      </c>
      <c r="P4350">
        <v>0.59372312983662945</v>
      </c>
      <c r="Q4350">
        <v>0.88053025812361907</v>
      </c>
      <c r="R4350">
        <v>0.9596365259015861</v>
      </c>
    </row>
    <row r="4351" spans="4:19" x14ac:dyDescent="0.25">
      <c r="D4351" t="s">
        <v>114</v>
      </c>
      <c r="E4351">
        <v>2014</v>
      </c>
      <c r="F4351" t="s">
        <v>22</v>
      </c>
      <c r="G4351">
        <v>0.9717183197097522</v>
      </c>
      <c r="H4351">
        <v>0.95894010730318624</v>
      </c>
      <c r="I4351">
        <v>0.93707920792079213</v>
      </c>
      <c r="J4351">
        <v>0.92955862683905488</v>
      </c>
      <c r="K4351">
        <v>0.9686695928560618</v>
      </c>
      <c r="L4351">
        <v>0.97051282051282051</v>
      </c>
      <c r="M4351">
        <v>0.96938305709023942</v>
      </c>
      <c r="N4351">
        <v>0.97765872563547251</v>
      </c>
      <c r="O4351">
        <v>0.94363131079203333</v>
      </c>
      <c r="P4351">
        <v>0.93748373327780954</v>
      </c>
      <c r="Q4351">
        <v>0.82951772828739034</v>
      </c>
      <c r="R4351">
        <v>0.85334971685009087</v>
      </c>
    </row>
    <row r="4352" spans="4:19" x14ac:dyDescent="0.25">
      <c r="D4352" t="s">
        <v>114</v>
      </c>
      <c r="E4352">
        <v>2015</v>
      </c>
      <c r="F4352" t="s">
        <v>22</v>
      </c>
      <c r="G4352">
        <v>0.86965166801679061</v>
      </c>
      <c r="H4352">
        <v>0.92500620809535639</v>
      </c>
      <c r="I4352">
        <v>0.96736045411542104</v>
      </c>
      <c r="J4352">
        <v>0.97187935496715105</v>
      </c>
      <c r="K4352">
        <v>0.95293933708567857</v>
      </c>
      <c r="L4352">
        <v>0.94225370362372052</v>
      </c>
      <c r="M4352">
        <v>0.96603876109400466</v>
      </c>
    </row>
    <row r="4353" spans="4:19" x14ac:dyDescent="0.25">
      <c r="D4353" t="s">
        <v>114</v>
      </c>
      <c r="E4353">
        <v>2013</v>
      </c>
      <c r="F4353" t="s">
        <v>23</v>
      </c>
      <c r="S4353">
        <v>456290</v>
      </c>
    </row>
    <row r="4354" spans="4:19" x14ac:dyDescent="0.25">
      <c r="D4354" t="s">
        <v>114</v>
      </c>
      <c r="E4354">
        <v>2014</v>
      </c>
      <c r="F4354" t="s">
        <v>23</v>
      </c>
      <c r="S4354">
        <v>385314</v>
      </c>
    </row>
    <row r="4355" spans="4:19" x14ac:dyDescent="0.25">
      <c r="D4355" t="s">
        <v>114</v>
      </c>
      <c r="E4355">
        <v>2015</v>
      </c>
      <c r="F4355" t="s">
        <v>23</v>
      </c>
      <c r="S4355">
        <v>365053</v>
      </c>
    </row>
    <row r="4356" spans="4:19" x14ac:dyDescent="0.25">
      <c r="D4356" t="s">
        <v>114</v>
      </c>
      <c r="E4356">
        <v>2013</v>
      </c>
      <c r="F4356" t="s">
        <v>24</v>
      </c>
      <c r="G4356">
        <v>86474</v>
      </c>
      <c r="H4356">
        <v>79083</v>
      </c>
      <c r="I4356">
        <v>59967</v>
      </c>
      <c r="J4356">
        <v>60142</v>
      </c>
      <c r="K4356">
        <v>64069</v>
      </c>
      <c r="L4356">
        <v>54901</v>
      </c>
      <c r="M4356">
        <v>51654</v>
      </c>
      <c r="N4356">
        <v>49040</v>
      </c>
      <c r="O4356">
        <v>63318</v>
      </c>
      <c r="P4356">
        <v>92872</v>
      </c>
      <c r="Q4356">
        <v>86795</v>
      </c>
      <c r="R4356">
        <v>48382</v>
      </c>
    </row>
    <row r="4357" spans="4:19" x14ac:dyDescent="0.25">
      <c r="D4357" t="s">
        <v>114</v>
      </c>
      <c r="E4357">
        <v>2014</v>
      </c>
      <c r="F4357" t="s">
        <v>24</v>
      </c>
      <c r="G4357">
        <v>64043</v>
      </c>
      <c r="H4357">
        <v>63867</v>
      </c>
      <c r="I4357">
        <v>53745</v>
      </c>
      <c r="J4357">
        <v>51791</v>
      </c>
      <c r="K4357">
        <v>51046</v>
      </c>
      <c r="L4357">
        <v>48311</v>
      </c>
      <c r="M4357">
        <v>52511</v>
      </c>
      <c r="N4357">
        <v>49662</v>
      </c>
      <c r="O4357">
        <v>67076</v>
      </c>
      <c r="P4357">
        <v>58267</v>
      </c>
      <c r="Q4357">
        <v>52405</v>
      </c>
      <c r="R4357">
        <v>49241</v>
      </c>
    </row>
    <row r="4358" spans="4:19" x14ac:dyDescent="0.25">
      <c r="D4358" t="s">
        <v>114</v>
      </c>
      <c r="E4358">
        <v>2015</v>
      </c>
      <c r="F4358" t="s">
        <v>24</v>
      </c>
      <c r="G4358">
        <v>52507</v>
      </c>
      <c r="H4358">
        <v>52513</v>
      </c>
      <c r="I4358">
        <v>58097</v>
      </c>
      <c r="J4358">
        <v>49762</v>
      </c>
      <c r="K4358">
        <v>45729</v>
      </c>
      <c r="L4358">
        <v>55859</v>
      </c>
      <c r="M4358">
        <v>50586</v>
      </c>
    </row>
    <row r="4359" spans="4:19" x14ac:dyDescent="0.25">
      <c r="D4359" t="s">
        <v>114</v>
      </c>
      <c r="E4359">
        <v>2013</v>
      </c>
      <c r="F4359" t="s">
        <v>25</v>
      </c>
      <c r="S4359">
        <v>704843</v>
      </c>
    </row>
    <row r="4360" spans="4:19" x14ac:dyDescent="0.25">
      <c r="D4360" t="s">
        <v>114</v>
      </c>
      <c r="E4360">
        <v>2014</v>
      </c>
      <c r="F4360" t="s">
        <v>25</v>
      </c>
      <c r="S4360">
        <v>791447</v>
      </c>
    </row>
    <row r="4361" spans="4:19" x14ac:dyDescent="0.25">
      <c r="D4361" t="s">
        <v>114</v>
      </c>
      <c r="E4361">
        <v>2015</v>
      </c>
      <c r="F4361" t="s">
        <v>25</v>
      </c>
      <c r="S4361">
        <v>906542</v>
      </c>
    </row>
    <row r="4362" spans="4:19" x14ac:dyDescent="0.25">
      <c r="D4362" t="s">
        <v>114</v>
      </c>
      <c r="E4362">
        <v>2013</v>
      </c>
      <c r="F4362" t="s">
        <v>26</v>
      </c>
      <c r="G4362">
        <v>131363</v>
      </c>
      <c r="H4362">
        <v>103157</v>
      </c>
      <c r="I4362">
        <v>94468</v>
      </c>
      <c r="J4362">
        <v>91544</v>
      </c>
      <c r="K4362">
        <v>87113</v>
      </c>
      <c r="L4362">
        <v>93662</v>
      </c>
      <c r="M4362">
        <v>103536</v>
      </c>
      <c r="N4362">
        <v>95900</v>
      </c>
      <c r="O4362">
        <v>115815</v>
      </c>
      <c r="P4362">
        <v>138734</v>
      </c>
      <c r="Q4362">
        <v>132700</v>
      </c>
      <c r="R4362">
        <v>135058</v>
      </c>
    </row>
    <row r="4363" spans="4:19" x14ac:dyDescent="0.25">
      <c r="D4363" t="s">
        <v>114</v>
      </c>
      <c r="E4363">
        <v>2014</v>
      </c>
      <c r="F4363" t="s">
        <v>26</v>
      </c>
      <c r="G4363">
        <v>136436</v>
      </c>
      <c r="H4363">
        <v>118301</v>
      </c>
      <c r="I4363">
        <v>106269</v>
      </c>
      <c r="J4363">
        <v>103099</v>
      </c>
      <c r="K4363">
        <v>99646</v>
      </c>
      <c r="L4363">
        <v>106424</v>
      </c>
      <c r="M4363">
        <v>121272</v>
      </c>
      <c r="N4363">
        <v>108685</v>
      </c>
      <c r="O4363">
        <v>133621</v>
      </c>
      <c r="P4363">
        <v>145046</v>
      </c>
      <c r="Q4363">
        <v>140143</v>
      </c>
      <c r="R4363">
        <v>152627</v>
      </c>
    </row>
    <row r="4364" spans="4:19" x14ac:dyDescent="0.25">
      <c r="D4364" t="s">
        <v>114</v>
      </c>
      <c r="E4364">
        <v>2015</v>
      </c>
      <c r="F4364" t="s">
        <v>26</v>
      </c>
      <c r="G4364">
        <v>153970</v>
      </c>
      <c r="H4364">
        <v>117712</v>
      </c>
      <c r="I4364">
        <v>121167</v>
      </c>
      <c r="J4364">
        <v>121085</v>
      </c>
      <c r="K4364">
        <v>107609</v>
      </c>
      <c r="L4364">
        <v>136982</v>
      </c>
      <c r="M4364">
        <v>148017</v>
      </c>
    </row>
    <row r="4365" spans="4:19" x14ac:dyDescent="0.25">
      <c r="D4365" t="s">
        <v>114</v>
      </c>
      <c r="E4365">
        <v>2013</v>
      </c>
      <c r="F4365" t="s">
        <v>27</v>
      </c>
      <c r="S4365">
        <v>1210037</v>
      </c>
    </row>
    <row r="4366" spans="4:19" x14ac:dyDescent="0.25">
      <c r="D4366" t="s">
        <v>114</v>
      </c>
      <c r="E4366">
        <v>2014</v>
      </c>
      <c r="F4366" t="s">
        <v>27</v>
      </c>
      <c r="S4366">
        <v>1301327</v>
      </c>
    </row>
    <row r="4367" spans="4:19" x14ac:dyDescent="0.25">
      <c r="D4367" t="s">
        <v>114</v>
      </c>
      <c r="E4367">
        <v>2015</v>
      </c>
      <c r="F4367" t="s">
        <v>27</v>
      </c>
      <c r="S4367">
        <v>1481423</v>
      </c>
    </row>
    <row r="4368" spans="4:19" x14ac:dyDescent="0.25">
      <c r="D4368" t="s">
        <v>114</v>
      </c>
      <c r="E4368">
        <v>2013</v>
      </c>
      <c r="F4368" t="s">
        <v>28</v>
      </c>
      <c r="G4368">
        <v>217549</v>
      </c>
      <c r="H4368">
        <v>176289</v>
      </c>
      <c r="I4368">
        <v>163947</v>
      </c>
      <c r="J4368">
        <v>160404</v>
      </c>
      <c r="K4368">
        <v>150977</v>
      </c>
      <c r="L4368">
        <v>161315</v>
      </c>
      <c r="M4368">
        <v>179556</v>
      </c>
      <c r="N4368">
        <v>161290</v>
      </c>
      <c r="O4368">
        <v>194901</v>
      </c>
      <c r="P4368">
        <v>232778</v>
      </c>
      <c r="Q4368">
        <v>211841</v>
      </c>
      <c r="R4368">
        <v>218219</v>
      </c>
    </row>
    <row r="4369" spans="4:19" x14ac:dyDescent="0.25">
      <c r="D4369" t="s">
        <v>114</v>
      </c>
      <c r="E4369">
        <v>2014</v>
      </c>
      <c r="F4369" t="s">
        <v>28</v>
      </c>
      <c r="G4369">
        <v>217649</v>
      </c>
      <c r="H4369">
        <v>203006</v>
      </c>
      <c r="I4369">
        <v>179165</v>
      </c>
      <c r="J4369">
        <v>171524</v>
      </c>
      <c r="K4369">
        <v>158712</v>
      </c>
      <c r="L4369">
        <v>173942</v>
      </c>
      <c r="M4369">
        <v>197329</v>
      </c>
      <c r="N4369">
        <v>173747</v>
      </c>
      <c r="O4369">
        <v>213302</v>
      </c>
      <c r="P4369">
        <v>232188</v>
      </c>
      <c r="Q4369">
        <v>217135</v>
      </c>
      <c r="R4369">
        <v>243053</v>
      </c>
    </row>
    <row r="4370" spans="4:19" x14ac:dyDescent="0.25">
      <c r="D4370" t="s">
        <v>114</v>
      </c>
      <c r="E4370">
        <v>2015</v>
      </c>
      <c r="F4370" t="s">
        <v>28</v>
      </c>
      <c r="G4370">
        <v>239742</v>
      </c>
      <c r="H4370">
        <v>195105</v>
      </c>
      <c r="I4370">
        <v>200361</v>
      </c>
      <c r="J4370">
        <v>208306</v>
      </c>
      <c r="K4370">
        <v>174549</v>
      </c>
      <c r="L4370">
        <v>222574</v>
      </c>
      <c r="M4370">
        <v>240786</v>
      </c>
    </row>
    <row r="4371" spans="4:19" x14ac:dyDescent="0.25">
      <c r="D4371" t="s">
        <v>114</v>
      </c>
      <c r="E4371">
        <v>2013</v>
      </c>
      <c r="F4371" t="s">
        <v>29</v>
      </c>
      <c r="S4371">
        <v>97912</v>
      </c>
    </row>
    <row r="4372" spans="4:19" x14ac:dyDescent="0.25">
      <c r="D4372" t="s">
        <v>114</v>
      </c>
      <c r="E4372">
        <v>2014</v>
      </c>
      <c r="F4372" t="s">
        <v>29</v>
      </c>
      <c r="S4372">
        <v>131160</v>
      </c>
    </row>
    <row r="4373" spans="4:19" x14ac:dyDescent="0.25">
      <c r="D4373" t="s">
        <v>114</v>
      </c>
      <c r="E4373">
        <v>2015</v>
      </c>
      <c r="F4373" t="s">
        <v>29</v>
      </c>
      <c r="S4373">
        <v>50174</v>
      </c>
    </row>
    <row r="4374" spans="4:19" x14ac:dyDescent="0.25">
      <c r="D4374" t="s">
        <v>114</v>
      </c>
      <c r="E4374">
        <v>2013</v>
      </c>
      <c r="F4374" t="s">
        <v>30</v>
      </c>
      <c r="G4374">
        <v>19590</v>
      </c>
      <c r="H4374">
        <v>17741</v>
      </c>
      <c r="I4374">
        <v>12674</v>
      </c>
      <c r="J4374">
        <v>10508</v>
      </c>
      <c r="K4374">
        <v>11541</v>
      </c>
      <c r="L4374">
        <v>11655</v>
      </c>
      <c r="M4374">
        <v>14203</v>
      </c>
      <c r="N4374">
        <v>13015</v>
      </c>
      <c r="O4374">
        <v>21497</v>
      </c>
      <c r="P4374">
        <v>20901</v>
      </c>
      <c r="Q4374">
        <v>20713</v>
      </c>
      <c r="R4374">
        <v>17542</v>
      </c>
    </row>
    <row r="4375" spans="4:19" x14ac:dyDescent="0.25">
      <c r="D4375" t="s">
        <v>114</v>
      </c>
      <c r="E4375">
        <v>2014</v>
      </c>
      <c r="F4375" t="s">
        <v>30</v>
      </c>
      <c r="G4375">
        <v>22663</v>
      </c>
      <c r="H4375">
        <v>18645</v>
      </c>
      <c r="I4375">
        <v>21063</v>
      </c>
      <c r="J4375">
        <v>18116</v>
      </c>
      <c r="K4375">
        <v>16435</v>
      </c>
      <c r="L4375">
        <v>16777</v>
      </c>
      <c r="M4375">
        <v>17461</v>
      </c>
      <c r="N4375">
        <v>13262</v>
      </c>
      <c r="O4375">
        <v>16805</v>
      </c>
      <c r="P4375">
        <v>16603</v>
      </c>
      <c r="Q4375">
        <v>14551</v>
      </c>
      <c r="R4375">
        <v>14379</v>
      </c>
    </row>
    <row r="4376" spans="4:19" x14ac:dyDescent="0.25">
      <c r="D4376" t="s">
        <v>114</v>
      </c>
      <c r="E4376">
        <v>2015</v>
      </c>
      <c r="F4376" t="s">
        <v>30</v>
      </c>
      <c r="G4376">
        <v>12909</v>
      </c>
      <c r="H4376">
        <v>12648</v>
      </c>
      <c r="I4376">
        <v>7333</v>
      </c>
      <c r="J4376">
        <v>1488</v>
      </c>
      <c r="K4376">
        <v>1573</v>
      </c>
      <c r="L4376">
        <v>1749</v>
      </c>
      <c r="M4376">
        <v>12474</v>
      </c>
    </row>
    <row r="4377" spans="4:19" x14ac:dyDescent="0.25">
      <c r="D4377" t="s">
        <v>114</v>
      </c>
      <c r="E4377">
        <v>2013</v>
      </c>
      <c r="F4377" t="s">
        <v>31</v>
      </c>
      <c r="S4377">
        <v>0.71221372372833069</v>
      </c>
    </row>
    <row r="4378" spans="4:19" x14ac:dyDescent="0.25">
      <c r="D4378" t="s">
        <v>114</v>
      </c>
      <c r="E4378">
        <v>2014</v>
      </c>
      <c r="F4378" t="s">
        <v>31</v>
      </c>
      <c r="S4378">
        <v>0.89424209865200854</v>
      </c>
    </row>
    <row r="4379" spans="4:19" x14ac:dyDescent="0.25">
      <c r="D4379" t="s">
        <v>114</v>
      </c>
      <c r="E4379">
        <v>2015</v>
      </c>
      <c r="F4379" t="s">
        <v>31</v>
      </c>
      <c r="S4379">
        <v>0.89092268793846374</v>
      </c>
    </row>
    <row r="4380" spans="4:19" x14ac:dyDescent="0.25">
      <c r="D4380" t="s">
        <v>114</v>
      </c>
      <c r="E4380">
        <v>2013</v>
      </c>
      <c r="F4380" t="s">
        <v>32</v>
      </c>
      <c r="G4380">
        <v>0.58726322362791128</v>
      </c>
      <c r="H4380">
        <v>0.61402577039313122</v>
      </c>
      <c r="I4380">
        <v>0.77174112428502339</v>
      </c>
      <c r="J4380">
        <v>0.76708456652588874</v>
      </c>
      <c r="K4380">
        <v>0.69835645944216396</v>
      </c>
      <c r="L4380">
        <v>0.74887524817398587</v>
      </c>
      <c r="M4380">
        <v>0.91694738064815895</v>
      </c>
      <c r="N4380">
        <v>0.94216965742251224</v>
      </c>
      <c r="O4380">
        <v>0.74658075112922073</v>
      </c>
      <c r="P4380">
        <v>0.59324661900249809</v>
      </c>
      <c r="Q4380">
        <v>0.53068725156979091</v>
      </c>
      <c r="R4380">
        <v>0.95736017527179529</v>
      </c>
    </row>
    <row r="4381" spans="4:19" x14ac:dyDescent="0.25">
      <c r="D4381" t="s">
        <v>114</v>
      </c>
      <c r="E4381">
        <v>2014</v>
      </c>
      <c r="F4381" t="s">
        <v>32</v>
      </c>
      <c r="G4381">
        <v>0.88076760926252673</v>
      </c>
      <c r="H4381">
        <v>0.81132666322200819</v>
      </c>
      <c r="I4381">
        <v>0.94246906688994325</v>
      </c>
      <c r="J4381">
        <v>0.91318955030796856</v>
      </c>
      <c r="K4381">
        <v>0.89607412921678486</v>
      </c>
      <c r="L4381">
        <v>0.92233652791289766</v>
      </c>
      <c r="M4381">
        <v>0.91584620365256808</v>
      </c>
      <c r="N4381">
        <v>0.91287100801417587</v>
      </c>
      <c r="O4381">
        <v>0.92314687816804819</v>
      </c>
      <c r="P4381">
        <v>0.93004616678394292</v>
      </c>
      <c r="Q4381">
        <v>0.93139967560347292</v>
      </c>
      <c r="R4381">
        <v>0.94108568063199372</v>
      </c>
    </row>
    <row r="4382" spans="4:19" x14ac:dyDescent="0.25">
      <c r="D4382" t="s">
        <v>114</v>
      </c>
      <c r="E4382">
        <v>2015</v>
      </c>
      <c r="F4382" t="s">
        <v>32</v>
      </c>
      <c r="G4382">
        <v>0.90528881863370603</v>
      </c>
      <c r="H4382">
        <v>0.89977719802715517</v>
      </c>
      <c r="I4382">
        <v>0.83814999053307404</v>
      </c>
      <c r="J4382">
        <v>0.90362123708854147</v>
      </c>
      <c r="K4382">
        <v>0.89378731220888274</v>
      </c>
      <c r="L4382">
        <v>0.8849066399326877</v>
      </c>
      <c r="M4382">
        <v>0.91898944371960622</v>
      </c>
    </row>
    <row r="4383" spans="4:19" x14ac:dyDescent="0.25">
      <c r="D4383" t="s">
        <v>114</v>
      </c>
      <c r="E4383">
        <v>2013</v>
      </c>
      <c r="F4383" t="s">
        <v>33</v>
      </c>
      <c r="S4383">
        <v>0.65878695986604074</v>
      </c>
    </row>
    <row r="4384" spans="4:19" x14ac:dyDescent="0.25">
      <c r="D4384" t="s">
        <v>114</v>
      </c>
      <c r="E4384">
        <v>2014</v>
      </c>
      <c r="F4384" t="s">
        <v>33</v>
      </c>
      <c r="S4384">
        <v>0.85267520436382471</v>
      </c>
    </row>
    <row r="4385" spans="4:19" x14ac:dyDescent="0.25">
      <c r="D4385" t="s">
        <v>114</v>
      </c>
      <c r="E4385">
        <v>2015</v>
      </c>
      <c r="F4385" t="s">
        <v>33</v>
      </c>
      <c r="S4385">
        <v>0.89369115575654234</v>
      </c>
    </row>
    <row r="4386" spans="4:19" x14ac:dyDescent="0.25">
      <c r="D4386" t="s">
        <v>114</v>
      </c>
      <c r="E4386">
        <v>2013</v>
      </c>
      <c r="F4386" t="s">
        <v>34</v>
      </c>
      <c r="G4386">
        <v>0.47737598283290583</v>
      </c>
      <c r="H4386">
        <v>0.52893269718100633</v>
      </c>
      <c r="I4386">
        <v>0.75378869496516554</v>
      </c>
      <c r="J4386">
        <v>0.74911534047436878</v>
      </c>
      <c r="K4386">
        <v>0.65174207788112881</v>
      </c>
      <c r="L4386">
        <v>0.73601220752797558</v>
      </c>
      <c r="M4386">
        <v>0.89418711610931423</v>
      </c>
      <c r="N4386">
        <v>0.91145524368541009</v>
      </c>
      <c r="O4386">
        <v>0.64778189959830546</v>
      </c>
      <c r="P4386">
        <v>0.37730157421907196</v>
      </c>
      <c r="Q4386">
        <v>0.37339055793991416</v>
      </c>
      <c r="R4386">
        <v>0.93463244613434726</v>
      </c>
    </row>
    <row r="4387" spans="4:19" x14ac:dyDescent="0.25">
      <c r="D4387" t="s">
        <v>114</v>
      </c>
      <c r="E4387">
        <v>2014</v>
      </c>
      <c r="F4387" t="s">
        <v>34</v>
      </c>
      <c r="G4387">
        <v>0.82858169083643873</v>
      </c>
      <c r="H4387">
        <v>0.72560628486849599</v>
      </c>
      <c r="I4387">
        <v>0.91779219398064449</v>
      </c>
      <c r="J4387">
        <v>0.87602371432510684</v>
      </c>
      <c r="K4387">
        <v>0.85170379895451875</v>
      </c>
      <c r="L4387">
        <v>0.89037573774323608</v>
      </c>
      <c r="M4387">
        <v>0.92231240682458171</v>
      </c>
      <c r="N4387">
        <v>0.94519800436545054</v>
      </c>
      <c r="O4387">
        <v>0.92473708276177413</v>
      </c>
      <c r="P4387">
        <v>0.94762228480787281</v>
      </c>
      <c r="Q4387">
        <v>0.94360370553709072</v>
      </c>
      <c r="R4387">
        <v>0.96528262386601538</v>
      </c>
    </row>
    <row r="4388" spans="4:19" x14ac:dyDescent="0.25">
      <c r="D4388" t="s">
        <v>114</v>
      </c>
      <c r="E4388">
        <v>2015</v>
      </c>
      <c r="F4388" t="s">
        <v>34</v>
      </c>
      <c r="G4388">
        <v>0.91150791244770513</v>
      </c>
      <c r="H4388">
        <v>0.90320775280567911</v>
      </c>
      <c r="I4388">
        <v>0.82446919233971694</v>
      </c>
      <c r="J4388">
        <v>0.92065074108606881</v>
      </c>
      <c r="K4388">
        <v>0.89577464788732397</v>
      </c>
      <c r="L4388">
        <v>0.88209721654898754</v>
      </c>
      <c r="M4388">
        <v>0.93509894262322246</v>
      </c>
    </row>
    <row r="4389" spans="4:19" x14ac:dyDescent="0.25">
      <c r="D4389" t="s">
        <v>115</v>
      </c>
      <c r="E4389">
        <v>2013</v>
      </c>
      <c r="F4389" t="s">
        <v>17</v>
      </c>
      <c r="S4389">
        <v>0.63199188161701225</v>
      </c>
    </row>
    <row r="4390" spans="4:19" x14ac:dyDescent="0.25">
      <c r="D4390" t="s">
        <v>115</v>
      </c>
      <c r="E4390">
        <v>2014</v>
      </c>
      <c r="F4390" t="s">
        <v>17</v>
      </c>
      <c r="S4390">
        <v>0.69030518879990554</v>
      </c>
    </row>
    <row r="4391" spans="4:19" x14ac:dyDescent="0.25">
      <c r="D4391" t="s">
        <v>115</v>
      </c>
      <c r="E4391">
        <v>2015</v>
      </c>
      <c r="F4391" t="s">
        <v>17</v>
      </c>
      <c r="S4391">
        <v>0.71927024928836369</v>
      </c>
    </row>
    <row r="4392" spans="4:19" x14ac:dyDescent="0.25">
      <c r="D4392" t="s">
        <v>115</v>
      </c>
      <c r="E4392">
        <v>2013</v>
      </c>
      <c r="F4392" t="s">
        <v>18</v>
      </c>
      <c r="G4392">
        <v>0.59116828006895639</v>
      </c>
      <c r="H4392">
        <v>0.5552302368911366</v>
      </c>
      <c r="I4392">
        <v>0.62307041657855788</v>
      </c>
      <c r="J4392">
        <v>0.6791728842464293</v>
      </c>
      <c r="K4392">
        <v>0.59487840825350036</v>
      </c>
      <c r="L4392">
        <v>0.70386676875957122</v>
      </c>
      <c r="M4392">
        <v>0.71728521895466801</v>
      </c>
      <c r="N4392">
        <v>0.70926680244399187</v>
      </c>
      <c r="O4392">
        <v>0.62428472615229835</v>
      </c>
      <c r="P4392">
        <v>0.71196741449537726</v>
      </c>
      <c r="Q4392">
        <v>0.71271646420263635</v>
      </c>
      <c r="R4392">
        <v>0.74631016042780751</v>
      </c>
    </row>
    <row r="4393" spans="4:19" x14ac:dyDescent="0.25">
      <c r="D4393" t="s">
        <v>115</v>
      </c>
      <c r="E4393">
        <v>2014</v>
      </c>
      <c r="F4393" t="s">
        <v>18</v>
      </c>
      <c r="G4393">
        <v>0.66647314949201741</v>
      </c>
      <c r="H4393">
        <v>0.68278412911903164</v>
      </c>
      <c r="I4393">
        <v>0.66939687267311987</v>
      </c>
      <c r="J4393">
        <v>0.70432576952080617</v>
      </c>
      <c r="K4393">
        <v>0.67701595515308322</v>
      </c>
      <c r="L4393">
        <v>0.7179296497360006</v>
      </c>
      <c r="M4393">
        <v>0.73108072803274404</v>
      </c>
      <c r="N4393">
        <v>0.69135917795422697</v>
      </c>
      <c r="O4393">
        <v>0.58432532856258168</v>
      </c>
      <c r="P4393">
        <v>0.54986707178123817</v>
      </c>
      <c r="Q4393">
        <v>0.63706316126963769</v>
      </c>
      <c r="R4393">
        <v>0.61881918819188186</v>
      </c>
    </row>
    <row r="4394" spans="4:19" x14ac:dyDescent="0.25">
      <c r="D4394" t="s">
        <v>115</v>
      </c>
      <c r="E4394">
        <v>2015</v>
      </c>
      <c r="F4394" t="s">
        <v>18</v>
      </c>
      <c r="G4394">
        <v>0.62466487935656834</v>
      </c>
      <c r="H4394">
        <v>0.60159791042482902</v>
      </c>
      <c r="I4394">
        <v>0.61146349009900991</v>
      </c>
      <c r="J4394">
        <v>0.72069355446664152</v>
      </c>
      <c r="K4394">
        <v>0.90138294369443528</v>
      </c>
      <c r="L4394">
        <v>0.91526428063522158</v>
      </c>
      <c r="M4394">
        <v>0.90394088669950734</v>
      </c>
    </row>
    <row r="4395" spans="4:19" x14ac:dyDescent="0.25">
      <c r="D4395" t="s">
        <v>115</v>
      </c>
      <c r="E4395">
        <v>2013</v>
      </c>
      <c r="F4395" t="s">
        <v>19</v>
      </c>
      <c r="S4395">
        <v>0.59703441478674069</v>
      </c>
    </row>
    <row r="4396" spans="4:19" x14ac:dyDescent="0.25">
      <c r="D4396" t="s">
        <v>115</v>
      </c>
      <c r="E4396">
        <v>2014</v>
      </c>
      <c r="F4396" t="s">
        <v>19</v>
      </c>
      <c r="S4396">
        <v>0.8104447207325346</v>
      </c>
    </row>
    <row r="4397" spans="4:19" x14ac:dyDescent="0.25">
      <c r="D4397" t="s">
        <v>115</v>
      </c>
      <c r="E4397">
        <v>2015</v>
      </c>
      <c r="F4397" t="s">
        <v>19</v>
      </c>
      <c r="S4397">
        <v>0.79809555323943238</v>
      </c>
    </row>
    <row r="4398" spans="4:19" x14ac:dyDescent="0.25">
      <c r="D4398" t="s">
        <v>115</v>
      </c>
      <c r="E4398">
        <v>2013</v>
      </c>
      <c r="F4398" t="s">
        <v>20</v>
      </c>
      <c r="G4398">
        <v>0.64464618097508408</v>
      </c>
      <c r="H4398">
        <v>0.50756053487531627</v>
      </c>
      <c r="I4398">
        <v>0.49013027751088001</v>
      </c>
      <c r="J4398">
        <v>0.53250826743906876</v>
      </c>
      <c r="K4398">
        <v>0.55081225825647129</v>
      </c>
      <c r="L4398">
        <v>0.77567340455985156</v>
      </c>
      <c r="M4398">
        <v>0.72215103329062003</v>
      </c>
      <c r="N4398">
        <v>0.75966187547281516</v>
      </c>
      <c r="O4398">
        <v>0.74689303904923598</v>
      </c>
      <c r="P4398">
        <v>0.78815394756312473</v>
      </c>
      <c r="Q4398">
        <v>0.79112943962768822</v>
      </c>
      <c r="R4398">
        <v>0.78146112271219748</v>
      </c>
    </row>
    <row r="4399" spans="4:19" x14ac:dyDescent="0.25">
      <c r="D4399" t="s">
        <v>115</v>
      </c>
      <c r="E4399">
        <v>2014</v>
      </c>
      <c r="F4399" t="s">
        <v>20</v>
      </c>
      <c r="G4399">
        <v>0.81096396673852789</v>
      </c>
      <c r="H4399">
        <v>0.76924107678094122</v>
      </c>
      <c r="I4399">
        <v>0.78618049294612136</v>
      </c>
      <c r="J4399">
        <v>0.83165884606347151</v>
      </c>
      <c r="K4399">
        <v>0.80902595027609525</v>
      </c>
      <c r="L4399">
        <v>0.80917604605206628</v>
      </c>
      <c r="M4399">
        <v>0.8629063935218757</v>
      </c>
      <c r="N4399">
        <v>0.82731361080076238</v>
      </c>
      <c r="O4399">
        <v>0.77194006915097968</v>
      </c>
      <c r="P4399">
        <v>0.84293109416888734</v>
      </c>
      <c r="Q4399">
        <v>0.85578862444534087</v>
      </c>
      <c r="R4399">
        <v>0.78762760148769484</v>
      </c>
    </row>
    <row r="4400" spans="4:19" x14ac:dyDescent="0.25">
      <c r="D4400" t="s">
        <v>115</v>
      </c>
      <c r="E4400">
        <v>2015</v>
      </c>
      <c r="F4400" t="s">
        <v>20</v>
      </c>
      <c r="G4400">
        <v>0.83358901352445935</v>
      </c>
      <c r="H4400">
        <v>0.8207257297534567</v>
      </c>
      <c r="I4400">
        <v>0.74548931870669743</v>
      </c>
      <c r="J4400">
        <v>0.78081767760356791</v>
      </c>
      <c r="K4400">
        <v>0.73422810489856505</v>
      </c>
      <c r="L4400">
        <v>0.79955564464936024</v>
      </c>
      <c r="M4400">
        <v>0.8650535931855875</v>
      </c>
    </row>
    <row r="4401" spans="4:19" x14ac:dyDescent="0.25">
      <c r="D4401" t="s">
        <v>115</v>
      </c>
      <c r="E4401">
        <v>2013</v>
      </c>
      <c r="F4401" t="s">
        <v>21</v>
      </c>
      <c r="S4401">
        <v>0.80636818822614365</v>
      </c>
    </row>
    <row r="4402" spans="4:19" x14ac:dyDescent="0.25">
      <c r="D4402" t="s">
        <v>115</v>
      </c>
      <c r="E4402">
        <v>2014</v>
      </c>
      <c r="F4402" t="s">
        <v>21</v>
      </c>
      <c r="S4402">
        <v>0.91222098527138618</v>
      </c>
    </row>
    <row r="4403" spans="4:19" x14ac:dyDescent="0.25">
      <c r="D4403" t="s">
        <v>115</v>
      </c>
      <c r="E4403">
        <v>2015</v>
      </c>
      <c r="F4403" t="s">
        <v>21</v>
      </c>
      <c r="S4403">
        <v>0.85296789714294019</v>
      </c>
    </row>
    <row r="4404" spans="4:19" x14ac:dyDescent="0.25">
      <c r="D4404" t="s">
        <v>115</v>
      </c>
      <c r="E4404">
        <v>2013</v>
      </c>
      <c r="F4404" t="s">
        <v>22</v>
      </c>
      <c r="G4404">
        <v>0.83367335373455742</v>
      </c>
      <c r="H4404">
        <v>0.78672175523578858</v>
      </c>
      <c r="I4404">
        <v>0.79846308052121617</v>
      </c>
      <c r="J4404">
        <v>0.86167546174142484</v>
      </c>
      <c r="K4404">
        <v>0.8178913738019169</v>
      </c>
      <c r="L4404">
        <v>0.80896350146144047</v>
      </c>
      <c r="M4404">
        <v>0.73849398337675232</v>
      </c>
      <c r="N4404">
        <v>0.76185832077311821</v>
      </c>
      <c r="O4404">
        <v>0.70065742461054736</v>
      </c>
      <c r="P4404">
        <v>0.86698798197295945</v>
      </c>
      <c r="Q4404">
        <v>0.86828577814199503</v>
      </c>
      <c r="R4404">
        <v>0.80874558303886923</v>
      </c>
    </row>
    <row r="4405" spans="4:19" x14ac:dyDescent="0.25">
      <c r="D4405" t="s">
        <v>115</v>
      </c>
      <c r="E4405">
        <v>2014</v>
      </c>
      <c r="F4405" t="s">
        <v>22</v>
      </c>
      <c r="G4405">
        <v>0.94843354738275931</v>
      </c>
      <c r="H4405">
        <v>0.94599134311001998</v>
      </c>
      <c r="I4405">
        <v>0.88735260669180582</v>
      </c>
      <c r="J4405">
        <v>0.91266107588463896</v>
      </c>
      <c r="K4405">
        <v>0.89751533928679905</v>
      </c>
      <c r="L4405">
        <v>0.89403735632183912</v>
      </c>
      <c r="M4405">
        <v>0.89600948649206025</v>
      </c>
      <c r="N4405">
        <v>0.87844442870298223</v>
      </c>
      <c r="O4405">
        <v>0.87844152563778732</v>
      </c>
      <c r="P4405">
        <v>0.93255355667154027</v>
      </c>
      <c r="Q4405">
        <v>0.85019055995309289</v>
      </c>
      <c r="R4405">
        <v>0.83458075713200996</v>
      </c>
    </row>
    <row r="4406" spans="4:19" x14ac:dyDescent="0.25">
      <c r="D4406" t="s">
        <v>115</v>
      </c>
      <c r="E4406">
        <v>2015</v>
      </c>
      <c r="F4406" t="s">
        <v>22</v>
      </c>
      <c r="G4406">
        <v>0.86662569145666868</v>
      </c>
      <c r="H4406">
        <v>0.82132166705042597</v>
      </c>
      <c r="I4406">
        <v>0.8570113383079756</v>
      </c>
      <c r="J4406">
        <v>0.84330957612132251</v>
      </c>
      <c r="K4406">
        <v>0.83969785984053713</v>
      </c>
      <c r="L4406">
        <v>0.88004810101212549</v>
      </c>
      <c r="M4406">
        <v>0.86267881638252009</v>
      </c>
    </row>
    <row r="4407" spans="4:19" x14ac:dyDescent="0.25">
      <c r="D4407" t="s">
        <v>115</v>
      </c>
      <c r="E4407">
        <v>2013</v>
      </c>
      <c r="F4407" t="s">
        <v>23</v>
      </c>
      <c r="S4407">
        <v>338420</v>
      </c>
    </row>
    <row r="4408" spans="4:19" x14ac:dyDescent="0.25">
      <c r="D4408" t="s">
        <v>115</v>
      </c>
      <c r="E4408">
        <v>2014</v>
      </c>
      <c r="F4408" t="s">
        <v>23</v>
      </c>
      <c r="S4408">
        <v>392095</v>
      </c>
    </row>
    <row r="4409" spans="4:19" x14ac:dyDescent="0.25">
      <c r="D4409" t="s">
        <v>115</v>
      </c>
      <c r="E4409">
        <v>2015</v>
      </c>
      <c r="F4409" t="s">
        <v>23</v>
      </c>
      <c r="S4409">
        <v>373556</v>
      </c>
    </row>
    <row r="4410" spans="4:19" x14ac:dyDescent="0.25">
      <c r="D4410" t="s">
        <v>115</v>
      </c>
      <c r="E4410">
        <v>2013</v>
      </c>
      <c r="F4410" t="s">
        <v>24</v>
      </c>
      <c r="G4410">
        <v>58429</v>
      </c>
      <c r="H4410">
        <v>59234</v>
      </c>
      <c r="I4410">
        <v>43421</v>
      </c>
      <c r="J4410">
        <v>42377</v>
      </c>
      <c r="K4410">
        <v>39950</v>
      </c>
      <c r="L4410">
        <v>39209</v>
      </c>
      <c r="M4410">
        <v>55800</v>
      </c>
      <c r="N4410">
        <v>45500</v>
      </c>
      <c r="O4410">
        <v>56797</v>
      </c>
      <c r="P4410">
        <v>58840</v>
      </c>
      <c r="Q4410">
        <v>60386</v>
      </c>
      <c r="R4410">
        <v>47132</v>
      </c>
    </row>
    <row r="4411" spans="4:19" x14ac:dyDescent="0.25">
      <c r="D4411" t="s">
        <v>115</v>
      </c>
      <c r="E4411">
        <v>2014</v>
      </c>
      <c r="F4411" t="s">
        <v>24</v>
      </c>
      <c r="G4411">
        <v>64739</v>
      </c>
      <c r="H4411">
        <v>61236</v>
      </c>
      <c r="I4411">
        <v>61517</v>
      </c>
      <c r="J4411">
        <v>48117</v>
      </c>
      <c r="K4411">
        <v>53690</v>
      </c>
      <c r="L4411">
        <v>49453</v>
      </c>
      <c r="M4411">
        <v>53343</v>
      </c>
      <c r="N4411">
        <v>46013</v>
      </c>
      <c r="O4411">
        <v>67549</v>
      </c>
      <c r="P4411">
        <v>58261</v>
      </c>
      <c r="Q4411">
        <v>52189</v>
      </c>
      <c r="R4411">
        <v>51689</v>
      </c>
    </row>
    <row r="4412" spans="4:19" x14ac:dyDescent="0.25">
      <c r="D4412" t="s">
        <v>115</v>
      </c>
      <c r="E4412">
        <v>2015</v>
      </c>
      <c r="F4412" t="s">
        <v>24</v>
      </c>
      <c r="G4412">
        <v>52794</v>
      </c>
      <c r="H4412">
        <v>54433</v>
      </c>
      <c r="I4412">
        <v>56994</v>
      </c>
      <c r="J4412">
        <v>55055</v>
      </c>
      <c r="K4412">
        <v>46689</v>
      </c>
      <c r="L4412">
        <v>54115</v>
      </c>
      <c r="M4412">
        <v>53476</v>
      </c>
    </row>
    <row r="4413" spans="4:19" x14ac:dyDescent="0.25">
      <c r="D4413" t="s">
        <v>115</v>
      </c>
      <c r="E4413">
        <v>2013</v>
      </c>
      <c r="F4413" t="s">
        <v>25</v>
      </c>
      <c r="S4413">
        <v>757503</v>
      </c>
    </row>
    <row r="4414" spans="4:19" x14ac:dyDescent="0.25">
      <c r="D4414" t="s">
        <v>115</v>
      </c>
      <c r="E4414">
        <v>2014</v>
      </c>
      <c r="F4414" t="s">
        <v>25</v>
      </c>
      <c r="S4414">
        <v>821510</v>
      </c>
    </row>
    <row r="4415" spans="4:19" x14ac:dyDescent="0.25">
      <c r="D4415" t="s">
        <v>115</v>
      </c>
      <c r="E4415">
        <v>2015</v>
      </c>
      <c r="F4415" t="s">
        <v>25</v>
      </c>
      <c r="S4415">
        <v>945791</v>
      </c>
    </row>
    <row r="4416" spans="4:19" x14ac:dyDescent="0.25">
      <c r="D4416" t="s">
        <v>115</v>
      </c>
      <c r="E4416">
        <v>2013</v>
      </c>
      <c r="F4416" t="s">
        <v>26</v>
      </c>
      <c r="G4416">
        <v>134838</v>
      </c>
      <c r="H4416">
        <v>112020</v>
      </c>
      <c r="I4416">
        <v>113142</v>
      </c>
      <c r="J4416">
        <v>108866</v>
      </c>
      <c r="K4416">
        <v>81483</v>
      </c>
      <c r="L4416">
        <v>101508</v>
      </c>
      <c r="M4416">
        <v>105646</v>
      </c>
      <c r="N4416">
        <v>98463</v>
      </c>
      <c r="O4416">
        <v>111900</v>
      </c>
      <c r="P4416">
        <v>131841</v>
      </c>
      <c r="Q4416">
        <v>127789</v>
      </c>
      <c r="R4416">
        <v>122081</v>
      </c>
    </row>
    <row r="4417" spans="4:19" x14ac:dyDescent="0.25">
      <c r="D4417" t="s">
        <v>115</v>
      </c>
      <c r="E4417">
        <v>2014</v>
      </c>
      <c r="F4417" t="s">
        <v>26</v>
      </c>
      <c r="G4417">
        <v>132845</v>
      </c>
      <c r="H4417">
        <v>111350</v>
      </c>
      <c r="I4417">
        <v>131245</v>
      </c>
      <c r="J4417">
        <v>119833</v>
      </c>
      <c r="K4417">
        <v>97999</v>
      </c>
      <c r="L4417">
        <v>111070</v>
      </c>
      <c r="M4417">
        <v>117168</v>
      </c>
      <c r="N4417">
        <v>104397</v>
      </c>
      <c r="O4417">
        <v>110451</v>
      </c>
      <c r="P4417">
        <v>136176</v>
      </c>
      <c r="Q4417">
        <v>147442</v>
      </c>
      <c r="R4417">
        <v>150027</v>
      </c>
    </row>
    <row r="4418" spans="4:19" x14ac:dyDescent="0.25">
      <c r="D4418" t="s">
        <v>115</v>
      </c>
      <c r="E4418">
        <v>2015</v>
      </c>
      <c r="F4418" t="s">
        <v>26</v>
      </c>
      <c r="G4418">
        <v>151480</v>
      </c>
      <c r="H4418">
        <v>130355</v>
      </c>
      <c r="I4418">
        <v>137489</v>
      </c>
      <c r="J4418">
        <v>131330</v>
      </c>
      <c r="K4418">
        <v>104392</v>
      </c>
      <c r="L4418">
        <v>136278</v>
      </c>
      <c r="M4418">
        <v>154467</v>
      </c>
    </row>
    <row r="4419" spans="4:19" x14ac:dyDescent="0.25">
      <c r="D4419" t="s">
        <v>115</v>
      </c>
      <c r="E4419">
        <v>2013</v>
      </c>
      <c r="F4419" t="s">
        <v>27</v>
      </c>
      <c r="S4419">
        <v>1272891</v>
      </c>
    </row>
    <row r="4420" spans="4:19" x14ac:dyDescent="0.25">
      <c r="D4420" t="s">
        <v>115</v>
      </c>
      <c r="E4420">
        <v>2014</v>
      </c>
      <c r="F4420" t="s">
        <v>27</v>
      </c>
      <c r="S4420">
        <v>1317749</v>
      </c>
    </row>
    <row r="4421" spans="4:19" x14ac:dyDescent="0.25">
      <c r="D4421" t="s">
        <v>115</v>
      </c>
      <c r="E4421">
        <v>2015</v>
      </c>
      <c r="F4421" t="s">
        <v>27</v>
      </c>
      <c r="S4421">
        <v>1564525</v>
      </c>
    </row>
    <row r="4422" spans="4:19" x14ac:dyDescent="0.25">
      <c r="D4422" t="s">
        <v>115</v>
      </c>
      <c r="E4422">
        <v>2013</v>
      </c>
      <c r="F4422" t="s">
        <v>28</v>
      </c>
      <c r="G4422">
        <v>226311</v>
      </c>
      <c r="H4422">
        <v>193915</v>
      </c>
      <c r="I4422">
        <v>192752</v>
      </c>
      <c r="J4422">
        <v>178938</v>
      </c>
      <c r="K4422">
        <v>132845</v>
      </c>
      <c r="L4422">
        <v>175950</v>
      </c>
      <c r="M4422">
        <v>172180</v>
      </c>
      <c r="N4422">
        <v>159499</v>
      </c>
      <c r="O4422">
        <v>190306</v>
      </c>
      <c r="P4422">
        <v>217210</v>
      </c>
      <c r="Q4422">
        <v>213428</v>
      </c>
      <c r="R4422">
        <v>202525</v>
      </c>
    </row>
    <row r="4423" spans="4:19" x14ac:dyDescent="0.25">
      <c r="D4423" t="s">
        <v>115</v>
      </c>
      <c r="E4423">
        <v>2014</v>
      </c>
      <c r="F4423" t="s">
        <v>28</v>
      </c>
      <c r="G4423">
        <v>219716</v>
      </c>
      <c r="H4423">
        <v>182635</v>
      </c>
      <c r="I4423">
        <v>217924</v>
      </c>
      <c r="J4423">
        <v>190376</v>
      </c>
      <c r="K4423">
        <v>153631</v>
      </c>
      <c r="L4423">
        <v>172842</v>
      </c>
      <c r="M4423">
        <v>180625</v>
      </c>
      <c r="N4423">
        <v>158059</v>
      </c>
      <c r="O4423">
        <v>163373</v>
      </c>
      <c r="P4423">
        <v>204977</v>
      </c>
      <c r="Q4423">
        <v>229321</v>
      </c>
      <c r="R4423">
        <v>233669</v>
      </c>
    </row>
    <row r="4424" spans="4:19" x14ac:dyDescent="0.25">
      <c r="D4424" t="s">
        <v>115</v>
      </c>
      <c r="E4424">
        <v>2015</v>
      </c>
      <c r="F4424" t="s">
        <v>28</v>
      </c>
      <c r="G4424">
        <v>237318</v>
      </c>
      <c r="H4424">
        <v>217355</v>
      </c>
      <c r="I4424">
        <v>240728</v>
      </c>
      <c r="J4424">
        <v>216867</v>
      </c>
      <c r="K4424">
        <v>173137</v>
      </c>
      <c r="L4424">
        <v>226341</v>
      </c>
      <c r="M4424">
        <v>252779</v>
      </c>
    </row>
    <row r="4425" spans="4:19" x14ac:dyDescent="0.25">
      <c r="D4425" t="s">
        <v>115</v>
      </c>
      <c r="E4425">
        <v>2013</v>
      </c>
      <c r="F4425" t="s">
        <v>29</v>
      </c>
      <c r="S4425">
        <v>132046</v>
      </c>
    </row>
    <row r="4426" spans="4:19" x14ac:dyDescent="0.25">
      <c r="D4426" t="s">
        <v>115</v>
      </c>
      <c r="E4426">
        <v>2014</v>
      </c>
      <c r="F4426" t="s">
        <v>29</v>
      </c>
      <c r="S4426">
        <v>101642</v>
      </c>
    </row>
    <row r="4427" spans="4:19" x14ac:dyDescent="0.25">
      <c r="D4427" t="s">
        <v>115</v>
      </c>
      <c r="E4427">
        <v>2015</v>
      </c>
      <c r="F4427" t="s">
        <v>29</v>
      </c>
      <c r="S4427">
        <v>69558</v>
      </c>
    </row>
    <row r="4428" spans="4:19" x14ac:dyDescent="0.25">
      <c r="D4428" t="s">
        <v>115</v>
      </c>
      <c r="E4428">
        <v>2013</v>
      </c>
      <c r="F4428" t="s">
        <v>30</v>
      </c>
      <c r="G4428">
        <v>22623</v>
      </c>
      <c r="H4428">
        <v>18785</v>
      </c>
      <c r="I4428">
        <v>18916</v>
      </c>
      <c r="J4428">
        <v>18764</v>
      </c>
      <c r="K4428">
        <v>21712</v>
      </c>
      <c r="L4428">
        <v>15672</v>
      </c>
      <c r="M4428">
        <v>15574</v>
      </c>
      <c r="N4428">
        <v>9820</v>
      </c>
      <c r="O4428">
        <v>15903</v>
      </c>
      <c r="P4428">
        <v>15467</v>
      </c>
      <c r="Q4428">
        <v>15476</v>
      </c>
      <c r="R4428">
        <v>14025</v>
      </c>
    </row>
    <row r="4429" spans="4:19" x14ac:dyDescent="0.25">
      <c r="D4429" t="s">
        <v>115</v>
      </c>
      <c r="E4429">
        <v>2014</v>
      </c>
      <c r="F4429" t="s">
        <v>30</v>
      </c>
      <c r="G4429">
        <v>17225</v>
      </c>
      <c r="H4429">
        <v>14870</v>
      </c>
      <c r="I4429">
        <v>16116</v>
      </c>
      <c r="J4429">
        <v>14587</v>
      </c>
      <c r="K4429">
        <v>13914</v>
      </c>
      <c r="L4429">
        <v>13447</v>
      </c>
      <c r="M4429">
        <v>11483</v>
      </c>
      <c r="N4429">
        <v>10705</v>
      </c>
      <c r="O4429">
        <v>14533</v>
      </c>
      <c r="P4429">
        <v>13165</v>
      </c>
      <c r="Q4429">
        <v>12476</v>
      </c>
      <c r="R4429">
        <v>13550</v>
      </c>
    </row>
    <row r="4430" spans="4:19" x14ac:dyDescent="0.25">
      <c r="D4430" t="s">
        <v>115</v>
      </c>
      <c r="E4430">
        <v>2015</v>
      </c>
      <c r="F4430" t="s">
        <v>30</v>
      </c>
      <c r="G4430">
        <v>13428</v>
      </c>
      <c r="H4430">
        <v>13017</v>
      </c>
      <c r="I4430">
        <v>12928</v>
      </c>
      <c r="J4430">
        <v>7959</v>
      </c>
      <c r="K4430">
        <v>6074</v>
      </c>
      <c r="L4430">
        <v>8438</v>
      </c>
      <c r="M4430">
        <v>7714</v>
      </c>
    </row>
    <row r="4431" spans="4:19" x14ac:dyDescent="0.25">
      <c r="D4431" t="s">
        <v>115</v>
      </c>
      <c r="E4431">
        <v>2013</v>
      </c>
      <c r="F4431" t="s">
        <v>31</v>
      </c>
      <c r="S4431">
        <v>0.88872111577329949</v>
      </c>
    </row>
    <row r="4432" spans="4:19" x14ac:dyDescent="0.25">
      <c r="D4432" t="s">
        <v>115</v>
      </c>
      <c r="E4432">
        <v>2014</v>
      </c>
      <c r="F4432" t="s">
        <v>31</v>
      </c>
      <c r="S4432">
        <v>0.90471441869954983</v>
      </c>
    </row>
    <row r="4433" spans="4:19" x14ac:dyDescent="0.25">
      <c r="D4433" t="s">
        <v>115</v>
      </c>
      <c r="E4433">
        <v>2015</v>
      </c>
      <c r="F4433" t="s">
        <v>31</v>
      </c>
      <c r="S4433">
        <v>0.88506408677681525</v>
      </c>
    </row>
    <row r="4434" spans="4:19" x14ac:dyDescent="0.25">
      <c r="D4434" t="s">
        <v>115</v>
      </c>
      <c r="E4434">
        <v>2013</v>
      </c>
      <c r="F4434" t="s">
        <v>32</v>
      </c>
      <c r="G4434">
        <v>0.86220883465402454</v>
      </c>
      <c r="H4434">
        <v>0.8552858155788905</v>
      </c>
      <c r="I4434">
        <v>0.91004352732548766</v>
      </c>
      <c r="J4434">
        <v>0.9138447742879392</v>
      </c>
      <c r="K4434">
        <v>0.86898623279098874</v>
      </c>
      <c r="L4434">
        <v>0.88061414471167332</v>
      </c>
      <c r="M4434">
        <v>0.93612903225806454</v>
      </c>
      <c r="N4434">
        <v>0.97391208791208794</v>
      </c>
      <c r="O4434">
        <v>0.93330633660228535</v>
      </c>
      <c r="P4434">
        <v>0.97552685248130522</v>
      </c>
      <c r="Q4434">
        <v>0.92523101381114825</v>
      </c>
      <c r="R4434">
        <v>0.96272171772893156</v>
      </c>
    </row>
    <row r="4435" spans="4:19" x14ac:dyDescent="0.25">
      <c r="D4435" t="s">
        <v>115</v>
      </c>
      <c r="E4435">
        <v>2014</v>
      </c>
      <c r="F4435" t="s">
        <v>32</v>
      </c>
      <c r="G4435">
        <v>0.91770030429879978</v>
      </c>
      <c r="H4435">
        <v>0.88247109543405844</v>
      </c>
      <c r="I4435">
        <v>0.88287790366890451</v>
      </c>
      <c r="J4435">
        <v>0.95429889643992771</v>
      </c>
      <c r="K4435">
        <v>0.89277332836654866</v>
      </c>
      <c r="L4435">
        <v>0.90732614805977396</v>
      </c>
      <c r="M4435">
        <v>0.90454230170781547</v>
      </c>
      <c r="N4435">
        <v>0.91169886771129893</v>
      </c>
      <c r="O4435">
        <v>0.89222638381027108</v>
      </c>
      <c r="P4435">
        <v>0.90552856971215734</v>
      </c>
      <c r="Q4435">
        <v>0.91674490793079</v>
      </c>
      <c r="R4435">
        <v>0.88732612354659601</v>
      </c>
    </row>
    <row r="4436" spans="4:19" x14ac:dyDescent="0.25">
      <c r="D4436" t="s">
        <v>115</v>
      </c>
      <c r="E4436">
        <v>2015</v>
      </c>
      <c r="F4436" t="s">
        <v>32</v>
      </c>
      <c r="G4436">
        <v>0.90786831836951165</v>
      </c>
      <c r="H4436">
        <v>0.88075248470596879</v>
      </c>
      <c r="I4436">
        <v>0.87609222023370881</v>
      </c>
      <c r="J4436">
        <v>0.87074743438379798</v>
      </c>
      <c r="K4436">
        <v>0.86547152434192209</v>
      </c>
      <c r="L4436">
        <v>0.90198651020973852</v>
      </c>
      <c r="M4436">
        <v>0.89122223053332339</v>
      </c>
    </row>
    <row r="4437" spans="4:19" x14ac:dyDescent="0.25">
      <c r="D4437" t="s">
        <v>115</v>
      </c>
      <c r="E4437">
        <v>2013</v>
      </c>
      <c r="F4437" t="s">
        <v>33</v>
      </c>
      <c r="S4437">
        <v>0.91631628980462454</v>
      </c>
    </row>
    <row r="4438" spans="4:19" x14ac:dyDescent="0.25">
      <c r="D4438" t="s">
        <v>115</v>
      </c>
      <c r="E4438">
        <v>2014</v>
      </c>
      <c r="F4438" t="s">
        <v>33</v>
      </c>
      <c r="S4438">
        <v>0.8616754202099256</v>
      </c>
    </row>
    <row r="4439" spans="4:19" x14ac:dyDescent="0.25">
      <c r="D4439" t="s">
        <v>115</v>
      </c>
      <c r="E4439">
        <v>2015</v>
      </c>
      <c r="F4439" t="s">
        <v>33</v>
      </c>
      <c r="S4439">
        <v>0.89171053090249941</v>
      </c>
    </row>
    <row r="4440" spans="4:19" x14ac:dyDescent="0.25">
      <c r="D4440" t="s">
        <v>115</v>
      </c>
      <c r="E4440">
        <v>2013</v>
      </c>
      <c r="F4440" t="s">
        <v>34</v>
      </c>
      <c r="G4440">
        <v>0.85336648376771829</v>
      </c>
      <c r="H4440">
        <v>0.84755551705218168</v>
      </c>
      <c r="I4440">
        <v>0.97816132441000347</v>
      </c>
      <c r="J4440">
        <v>0.97702827836740513</v>
      </c>
      <c r="K4440">
        <v>0.93565819143145945</v>
      </c>
      <c r="L4440">
        <v>0.93747851659473702</v>
      </c>
      <c r="M4440">
        <v>0.91846314845268351</v>
      </c>
      <c r="N4440">
        <v>0.95943405898636414</v>
      </c>
      <c r="O4440">
        <v>0.90250431112140628</v>
      </c>
      <c r="P4440">
        <v>0.96438904963276206</v>
      </c>
      <c r="Q4440">
        <v>0.86980593442717491</v>
      </c>
      <c r="R4440">
        <v>0.94447429131245453</v>
      </c>
    </row>
    <row r="4441" spans="4:19" x14ac:dyDescent="0.25">
      <c r="D4441" t="s">
        <v>115</v>
      </c>
      <c r="E4441">
        <v>2014</v>
      </c>
      <c r="F4441" t="s">
        <v>34</v>
      </c>
      <c r="G4441">
        <v>0.87673514714047751</v>
      </c>
      <c r="H4441">
        <v>0.82760437875775505</v>
      </c>
      <c r="I4441">
        <v>0.81736375158428387</v>
      </c>
      <c r="J4441">
        <v>0.93284470911589557</v>
      </c>
      <c r="K4441">
        <v>0.82337239982818922</v>
      </c>
      <c r="L4441">
        <v>0.86338976988196015</v>
      </c>
      <c r="M4441">
        <v>0.91160720746797885</v>
      </c>
      <c r="N4441">
        <v>0.96086917722648579</v>
      </c>
      <c r="O4441">
        <v>0.88238423121250631</v>
      </c>
      <c r="P4441">
        <v>0.92120728201852442</v>
      </c>
      <c r="Q4441">
        <v>0.93187941454889678</v>
      </c>
      <c r="R4441">
        <v>0.89289447947931067</v>
      </c>
    </row>
    <row r="4442" spans="4:19" x14ac:dyDescent="0.25">
      <c r="D4442" t="s">
        <v>115</v>
      </c>
      <c r="E4442">
        <v>2015</v>
      </c>
      <c r="F4442" t="s">
        <v>34</v>
      </c>
      <c r="G4442">
        <v>0.91948790896159316</v>
      </c>
      <c r="H4442">
        <v>0.88129622081173931</v>
      </c>
      <c r="I4442">
        <v>0.89109453827593765</v>
      </c>
      <c r="J4442">
        <v>0.86449394343071351</v>
      </c>
      <c r="K4442">
        <v>0.86108918705603787</v>
      </c>
      <c r="L4442">
        <v>0.92252980757879821</v>
      </c>
      <c r="M4442">
        <v>0.89889410504426726</v>
      </c>
    </row>
    <row r="4443" spans="4:19" x14ac:dyDescent="0.25">
      <c r="D4443" t="s">
        <v>116</v>
      </c>
      <c r="E4443">
        <v>2013</v>
      </c>
      <c r="F4443" t="s">
        <v>17</v>
      </c>
      <c r="S4443">
        <v>0.89101546555399336</v>
      </c>
    </row>
    <row r="4444" spans="4:19" x14ac:dyDescent="0.25">
      <c r="D4444" t="s">
        <v>116</v>
      </c>
      <c r="E4444">
        <v>2014</v>
      </c>
      <c r="F4444" t="s">
        <v>17</v>
      </c>
      <c r="S4444">
        <v>0.92636384387126225</v>
      </c>
    </row>
    <row r="4445" spans="4:19" x14ac:dyDescent="0.25">
      <c r="D4445" t="s">
        <v>116</v>
      </c>
      <c r="E4445">
        <v>2015</v>
      </c>
      <c r="F4445" t="s">
        <v>17</v>
      </c>
      <c r="S4445">
        <v>0.99985737377579154</v>
      </c>
    </row>
    <row r="4446" spans="4:19" x14ac:dyDescent="0.25">
      <c r="D4446" t="s">
        <v>116</v>
      </c>
      <c r="E4446">
        <v>2013</v>
      </c>
      <c r="F4446" t="s">
        <v>18</v>
      </c>
      <c r="G4446">
        <v>0.89013732833957548</v>
      </c>
      <c r="H4446">
        <v>0.83433333333333337</v>
      </c>
      <c r="I4446">
        <v>0.86453488372093024</v>
      </c>
      <c r="J4446">
        <v>0.92834224598930482</v>
      </c>
      <c r="K4446">
        <v>0.87073608617594256</v>
      </c>
      <c r="L4446">
        <v>0.91725768321513002</v>
      </c>
      <c r="M4446">
        <v>0.93645594497215856</v>
      </c>
      <c r="N4446">
        <v>0.910377358490566</v>
      </c>
      <c r="O4446">
        <v>0.90356564019448948</v>
      </c>
      <c r="P4446">
        <v>0.89187735341581498</v>
      </c>
      <c r="Q4446">
        <v>0.87342611000662695</v>
      </c>
      <c r="R4446">
        <v>0.88905325443786987</v>
      </c>
    </row>
    <row r="4447" spans="4:19" x14ac:dyDescent="0.25">
      <c r="D4447" t="s">
        <v>116</v>
      </c>
      <c r="E4447">
        <v>2014</v>
      </c>
      <c r="F4447" t="s">
        <v>18</v>
      </c>
      <c r="G4447">
        <v>0.87205808713069599</v>
      </c>
      <c r="H4447">
        <v>0.85644977168949776</v>
      </c>
      <c r="I4447">
        <v>0.91301775147928999</v>
      </c>
      <c r="J4447">
        <v>0.93867334167709637</v>
      </c>
      <c r="K4447">
        <v>0.96669161676646709</v>
      </c>
      <c r="L4447">
        <v>0.99327265532251685</v>
      </c>
      <c r="M4447">
        <v>0.99886018237082064</v>
      </c>
      <c r="N4447">
        <v>1</v>
      </c>
      <c r="O4447">
        <v>1</v>
      </c>
      <c r="P4447">
        <v>1</v>
      </c>
      <c r="Q4447">
        <v>1</v>
      </c>
      <c r="R4447">
        <v>1</v>
      </c>
    </row>
    <row r="4448" spans="4:19" x14ac:dyDescent="0.25">
      <c r="D4448" t="s">
        <v>116</v>
      </c>
      <c r="E4448">
        <v>2015</v>
      </c>
      <c r="F4448" t="s">
        <v>18</v>
      </c>
      <c r="G4448">
        <v>1</v>
      </c>
      <c r="H4448">
        <v>1</v>
      </c>
      <c r="I4448">
        <v>1</v>
      </c>
      <c r="J4448">
        <v>0.99933993399339938</v>
      </c>
      <c r="K4448">
        <v>1</v>
      </c>
      <c r="L4448">
        <v>1</v>
      </c>
      <c r="M4448">
        <v>0.99965120334844781</v>
      </c>
    </row>
    <row r="4449" spans="4:19" x14ac:dyDescent="0.25">
      <c r="D4449" t="s">
        <v>116</v>
      </c>
      <c r="E4449">
        <v>2013</v>
      </c>
      <c r="F4449" t="s">
        <v>19</v>
      </c>
      <c r="S4449">
        <v>0.67127451426491336</v>
      </c>
    </row>
    <row r="4450" spans="4:19" x14ac:dyDescent="0.25">
      <c r="D4450" t="s">
        <v>116</v>
      </c>
      <c r="E4450">
        <v>2014</v>
      </c>
      <c r="F4450" t="s">
        <v>19</v>
      </c>
      <c r="S4450">
        <v>0.77192307692307693</v>
      </c>
    </row>
    <row r="4451" spans="4:19" x14ac:dyDescent="0.25">
      <c r="D4451" t="s">
        <v>116</v>
      </c>
      <c r="E4451">
        <v>2015</v>
      </c>
      <c r="F4451" t="s">
        <v>19</v>
      </c>
      <c r="S4451">
        <v>0.95989703018336447</v>
      </c>
    </row>
    <row r="4452" spans="4:19" x14ac:dyDescent="0.25">
      <c r="D4452" t="s">
        <v>116</v>
      </c>
      <c r="E4452">
        <v>2013</v>
      </c>
      <c r="F4452" t="s">
        <v>20</v>
      </c>
      <c r="G4452">
        <v>0.60757735538465496</v>
      </c>
      <c r="H4452">
        <v>0.5453550203315608</v>
      </c>
      <c r="I4452">
        <v>0.58287524118096767</v>
      </c>
      <c r="J4452">
        <v>0.52473254951805948</v>
      </c>
      <c r="K4452">
        <v>0.53242878054273168</v>
      </c>
      <c r="L4452">
        <v>0.98270143966232004</v>
      </c>
      <c r="M4452">
        <v>0.98506646068681403</v>
      </c>
      <c r="N4452">
        <v>0.78075729888232548</v>
      </c>
      <c r="O4452">
        <v>0.60731409231926292</v>
      </c>
      <c r="P4452">
        <v>0.61090049611532338</v>
      </c>
      <c r="Q4452">
        <v>0.77335370511841095</v>
      </c>
      <c r="R4452">
        <v>0.95072870491437322</v>
      </c>
    </row>
    <row r="4453" spans="4:19" x14ac:dyDescent="0.25">
      <c r="D4453" t="s">
        <v>116</v>
      </c>
      <c r="E4453">
        <v>2014</v>
      </c>
      <c r="F4453" t="s">
        <v>20</v>
      </c>
      <c r="G4453">
        <v>0.77713896841413621</v>
      </c>
      <c r="H4453">
        <v>0.7525208793050473</v>
      </c>
      <c r="I4453">
        <v>0.68916836975318341</v>
      </c>
      <c r="J4453">
        <v>0.72748145037099254</v>
      </c>
      <c r="K4453">
        <v>0.71856130217904957</v>
      </c>
      <c r="L4453">
        <v>0.79128811449906655</v>
      </c>
      <c r="M4453">
        <v>0.93077287814129916</v>
      </c>
      <c r="N4453">
        <v>0.77556179775280898</v>
      </c>
      <c r="O4453">
        <v>0.67379819133745833</v>
      </c>
      <c r="P4453">
        <v>0.9825448302174743</v>
      </c>
      <c r="Q4453">
        <v>0.99839650912149724</v>
      </c>
      <c r="R4453">
        <v>0.99459845897211852</v>
      </c>
    </row>
    <row r="4454" spans="4:19" x14ac:dyDescent="0.25">
      <c r="D4454" t="s">
        <v>116</v>
      </c>
      <c r="E4454">
        <v>2015</v>
      </c>
      <c r="F4454" t="s">
        <v>20</v>
      </c>
      <c r="G4454">
        <v>0.9950843918566209</v>
      </c>
      <c r="H4454">
        <v>0.95779685264663805</v>
      </c>
      <c r="I4454">
        <v>0.89081284765835278</v>
      </c>
      <c r="J4454">
        <v>0.98055691255495847</v>
      </c>
      <c r="K4454">
        <v>0.90428436275172319</v>
      </c>
      <c r="L4454">
        <v>0.99554391205347303</v>
      </c>
      <c r="M4454">
        <v>0.98767748262482413</v>
      </c>
    </row>
    <row r="4455" spans="4:19" x14ac:dyDescent="0.25">
      <c r="D4455" t="s">
        <v>116</v>
      </c>
      <c r="E4455">
        <v>2013</v>
      </c>
      <c r="F4455" t="s">
        <v>21</v>
      </c>
      <c r="S4455">
        <v>0.99074598677998116</v>
      </c>
    </row>
    <row r="4456" spans="4:19" x14ac:dyDescent="0.25">
      <c r="D4456" t="s">
        <v>116</v>
      </c>
      <c r="E4456">
        <v>2014</v>
      </c>
      <c r="F4456" t="s">
        <v>21</v>
      </c>
      <c r="S4456">
        <v>0.9992727484291366</v>
      </c>
    </row>
    <row r="4457" spans="4:19" x14ac:dyDescent="0.25">
      <c r="D4457" t="s">
        <v>116</v>
      </c>
      <c r="E4457">
        <v>2015</v>
      </c>
      <c r="F4457" t="s">
        <v>21</v>
      </c>
      <c r="S4457">
        <v>0.97223059911540011</v>
      </c>
    </row>
    <row r="4458" spans="4:19" x14ac:dyDescent="0.25">
      <c r="D4458" t="s">
        <v>116</v>
      </c>
      <c r="E4458">
        <v>2013</v>
      </c>
      <c r="F4458" t="s">
        <v>22</v>
      </c>
      <c r="G4458">
        <v>0.99339373348433369</v>
      </c>
      <c r="H4458">
        <v>0.98796690899974926</v>
      </c>
      <c r="I4458">
        <v>0.99275700934579436</v>
      </c>
      <c r="J4458">
        <v>0.97331073925015887</v>
      </c>
      <c r="K4458">
        <v>0.99798994974874367</v>
      </c>
      <c r="L4458">
        <v>0.99658080692956463</v>
      </c>
      <c r="M4458">
        <v>0.9939393939393939</v>
      </c>
      <c r="N4458">
        <v>0.99360000000000004</v>
      </c>
      <c r="O4458">
        <v>0.98492462311557794</v>
      </c>
      <c r="P4458">
        <v>0.99492979719188768</v>
      </c>
      <c r="Q4458">
        <v>0.98605433998557346</v>
      </c>
      <c r="R4458">
        <v>0.99459122113584353</v>
      </c>
    </row>
    <row r="4459" spans="4:19" x14ac:dyDescent="0.25">
      <c r="D4459" t="s">
        <v>116</v>
      </c>
      <c r="E4459">
        <v>2014</v>
      </c>
      <c r="F4459" t="s">
        <v>22</v>
      </c>
      <c r="G4459">
        <v>0.99915966386554622</v>
      </c>
      <c r="H4459">
        <v>0.99841807909604519</v>
      </c>
      <c r="I4459">
        <v>0.99893662271373884</v>
      </c>
      <c r="J4459">
        <v>0.99960960374780405</v>
      </c>
      <c r="K4459">
        <v>0.99923136049192929</v>
      </c>
      <c r="L4459">
        <v>0.99959366111336856</v>
      </c>
      <c r="M4459">
        <v>0.9998131190431695</v>
      </c>
      <c r="N4459">
        <v>0.99882876551885691</v>
      </c>
      <c r="O4459">
        <v>0.99959374365224452</v>
      </c>
      <c r="P4459">
        <v>0.9994523548740416</v>
      </c>
      <c r="Q4459">
        <v>1</v>
      </c>
      <c r="R4459">
        <v>0.99948988267301475</v>
      </c>
    </row>
    <row r="4460" spans="4:19" x14ac:dyDescent="0.25">
      <c r="D4460" t="s">
        <v>116</v>
      </c>
      <c r="E4460">
        <v>2015</v>
      </c>
      <c r="F4460" t="s">
        <v>22</v>
      </c>
      <c r="G4460">
        <v>0.98109640831758038</v>
      </c>
      <c r="H4460">
        <v>0.99580472921434016</v>
      </c>
      <c r="I4460">
        <v>0.99430445288229208</v>
      </c>
      <c r="J4460">
        <v>0.99126160567995636</v>
      </c>
      <c r="K4460">
        <v>0.97285067873303166</v>
      </c>
      <c r="L4460">
        <v>0.93252652519893897</v>
      </c>
      <c r="M4460">
        <v>0.9440705128205128</v>
      </c>
    </row>
    <row r="4461" spans="4:19" x14ac:dyDescent="0.25">
      <c r="D4461" t="s">
        <v>116</v>
      </c>
      <c r="E4461">
        <v>2013</v>
      </c>
      <c r="F4461" t="s">
        <v>23</v>
      </c>
      <c r="S4461">
        <v>123071</v>
      </c>
    </row>
    <row r="4462" spans="4:19" x14ac:dyDescent="0.25">
      <c r="D4462" t="s">
        <v>116</v>
      </c>
      <c r="E4462">
        <v>2014</v>
      </c>
      <c r="F4462" t="s">
        <v>23</v>
      </c>
      <c r="S4462">
        <v>95610</v>
      </c>
    </row>
    <row r="4463" spans="4:19" x14ac:dyDescent="0.25">
      <c r="D4463" t="s">
        <v>116</v>
      </c>
      <c r="E4463">
        <v>2015</v>
      </c>
      <c r="F4463" t="s">
        <v>23</v>
      </c>
      <c r="S4463">
        <v>73435</v>
      </c>
    </row>
    <row r="4464" spans="4:19" x14ac:dyDescent="0.25">
      <c r="D4464" t="s">
        <v>116</v>
      </c>
      <c r="E4464">
        <v>2013</v>
      </c>
      <c r="F4464" t="s">
        <v>24</v>
      </c>
      <c r="G4464">
        <v>21357</v>
      </c>
      <c r="H4464">
        <v>22290</v>
      </c>
      <c r="I4464">
        <v>16722</v>
      </c>
      <c r="J4464">
        <v>16405</v>
      </c>
      <c r="K4464">
        <v>17047</v>
      </c>
      <c r="L4464">
        <v>13998</v>
      </c>
      <c r="M4464">
        <v>15252</v>
      </c>
      <c r="N4464">
        <v>14026</v>
      </c>
      <c r="O4464">
        <v>18187</v>
      </c>
      <c r="P4464">
        <v>17745</v>
      </c>
      <c r="Q4464">
        <v>16101</v>
      </c>
      <c r="R4464">
        <v>16462</v>
      </c>
    </row>
    <row r="4465" spans="4:19" x14ac:dyDescent="0.25">
      <c r="D4465" t="s">
        <v>116</v>
      </c>
      <c r="E4465">
        <v>2014</v>
      </c>
      <c r="F4465" t="s">
        <v>24</v>
      </c>
      <c r="G4465">
        <v>15851</v>
      </c>
      <c r="H4465">
        <v>14785</v>
      </c>
      <c r="I4465">
        <v>13428</v>
      </c>
      <c r="J4465">
        <v>12505</v>
      </c>
      <c r="K4465">
        <v>12696</v>
      </c>
      <c r="L4465">
        <v>12373</v>
      </c>
      <c r="M4465">
        <v>13972</v>
      </c>
      <c r="N4465">
        <v>13569</v>
      </c>
      <c r="O4465">
        <v>19206</v>
      </c>
      <c r="P4465">
        <v>15088</v>
      </c>
      <c r="Q4465">
        <v>12384</v>
      </c>
      <c r="R4465">
        <v>13768</v>
      </c>
    </row>
    <row r="4466" spans="4:19" x14ac:dyDescent="0.25">
      <c r="D4466" t="s">
        <v>116</v>
      </c>
      <c r="E4466">
        <v>2015</v>
      </c>
      <c r="F4466" t="s">
        <v>24</v>
      </c>
      <c r="G4466">
        <v>14473</v>
      </c>
      <c r="H4466">
        <v>12819</v>
      </c>
      <c r="I4466">
        <v>12733</v>
      </c>
      <c r="J4466">
        <v>11202</v>
      </c>
      <c r="K4466">
        <v>10072</v>
      </c>
      <c r="L4466">
        <v>12136</v>
      </c>
    </row>
    <row r="4467" spans="4:19" x14ac:dyDescent="0.25">
      <c r="D4467" t="s">
        <v>116</v>
      </c>
      <c r="E4467">
        <v>2013</v>
      </c>
      <c r="F4467" t="s">
        <v>25</v>
      </c>
      <c r="S4467">
        <v>209842</v>
      </c>
    </row>
    <row r="4468" spans="4:19" x14ac:dyDescent="0.25">
      <c r="D4468" t="s">
        <v>116</v>
      </c>
      <c r="E4468">
        <v>2014</v>
      </c>
      <c r="F4468" t="s">
        <v>25</v>
      </c>
      <c r="S4468">
        <v>212085</v>
      </c>
    </row>
    <row r="4469" spans="4:19" x14ac:dyDescent="0.25">
      <c r="D4469" t="s">
        <v>116</v>
      </c>
      <c r="E4469">
        <v>2015</v>
      </c>
      <c r="F4469" t="s">
        <v>25</v>
      </c>
      <c r="S4469">
        <v>191584</v>
      </c>
    </row>
    <row r="4470" spans="4:19" x14ac:dyDescent="0.25">
      <c r="D4470" t="s">
        <v>116</v>
      </c>
      <c r="E4470">
        <v>2013</v>
      </c>
      <c r="F4470" t="s">
        <v>26</v>
      </c>
      <c r="G4470">
        <v>38711</v>
      </c>
      <c r="H4470">
        <v>29290</v>
      </c>
      <c r="I4470">
        <v>29028</v>
      </c>
      <c r="J4470">
        <v>27677</v>
      </c>
      <c r="K4470">
        <v>27623</v>
      </c>
      <c r="L4470">
        <v>26790</v>
      </c>
      <c r="M4470">
        <v>30723</v>
      </c>
      <c r="N4470">
        <v>25804</v>
      </c>
      <c r="O4470">
        <v>38387</v>
      </c>
      <c r="P4470">
        <v>37298</v>
      </c>
      <c r="Q4470">
        <v>33036</v>
      </c>
      <c r="R4470">
        <v>38683</v>
      </c>
    </row>
    <row r="4471" spans="4:19" x14ac:dyDescent="0.25">
      <c r="D4471" t="s">
        <v>116</v>
      </c>
      <c r="E4471">
        <v>2014</v>
      </c>
      <c r="F4471" t="s">
        <v>26</v>
      </c>
      <c r="G4471">
        <v>37150</v>
      </c>
      <c r="H4471">
        <v>31489</v>
      </c>
      <c r="I4471">
        <v>28724</v>
      </c>
      <c r="J4471">
        <v>28740</v>
      </c>
      <c r="K4471">
        <v>28083</v>
      </c>
      <c r="L4471">
        <v>26765</v>
      </c>
      <c r="M4471">
        <v>31134</v>
      </c>
      <c r="N4471">
        <v>27419</v>
      </c>
      <c r="O4471">
        <v>41245</v>
      </c>
      <c r="P4471">
        <v>42688</v>
      </c>
      <c r="Q4471">
        <v>35721</v>
      </c>
      <c r="R4471">
        <v>42252</v>
      </c>
    </row>
    <row r="4472" spans="4:19" x14ac:dyDescent="0.25">
      <c r="D4472" t="s">
        <v>116</v>
      </c>
      <c r="E4472">
        <v>2015</v>
      </c>
      <c r="F4472" t="s">
        <v>26</v>
      </c>
      <c r="G4472">
        <v>36935</v>
      </c>
      <c r="H4472">
        <v>31351</v>
      </c>
      <c r="I4472">
        <v>32998</v>
      </c>
      <c r="J4472">
        <v>29332</v>
      </c>
      <c r="K4472">
        <v>28315</v>
      </c>
      <c r="L4472">
        <v>32653</v>
      </c>
    </row>
    <row r="4473" spans="4:19" x14ac:dyDescent="0.25">
      <c r="D4473" t="s">
        <v>116</v>
      </c>
      <c r="E4473">
        <v>2013</v>
      </c>
      <c r="F4473" t="s">
        <v>27</v>
      </c>
      <c r="S4473">
        <v>342309</v>
      </c>
    </row>
    <row r="4474" spans="4:19" x14ac:dyDescent="0.25">
      <c r="D4474" t="s">
        <v>116</v>
      </c>
      <c r="E4474">
        <v>2014</v>
      </c>
      <c r="F4474" t="s">
        <v>27</v>
      </c>
      <c r="S4474">
        <v>342899</v>
      </c>
    </row>
    <row r="4475" spans="4:19" x14ac:dyDescent="0.25">
      <c r="D4475" t="s">
        <v>116</v>
      </c>
      <c r="E4475">
        <v>2015</v>
      </c>
      <c r="F4475" t="s">
        <v>27</v>
      </c>
      <c r="S4475">
        <v>383267</v>
      </c>
    </row>
    <row r="4476" spans="4:19" x14ac:dyDescent="0.25">
      <c r="D4476" t="s">
        <v>116</v>
      </c>
      <c r="E4476">
        <v>2013</v>
      </c>
      <c r="F4476" t="s">
        <v>28</v>
      </c>
      <c r="G4476">
        <v>58921</v>
      </c>
      <c r="H4476">
        <v>49225</v>
      </c>
      <c r="I4476">
        <v>48498</v>
      </c>
      <c r="J4476">
        <v>45452</v>
      </c>
      <c r="K4476">
        <v>45401</v>
      </c>
      <c r="L4476">
        <v>44297</v>
      </c>
      <c r="M4476">
        <v>50515</v>
      </c>
      <c r="N4476">
        <v>42621</v>
      </c>
      <c r="O4476">
        <v>59722</v>
      </c>
      <c r="P4476">
        <v>59422</v>
      </c>
      <c r="Q4476">
        <v>53048</v>
      </c>
      <c r="R4476">
        <v>60815</v>
      </c>
    </row>
    <row r="4477" spans="4:19" x14ac:dyDescent="0.25">
      <c r="D4477" t="s">
        <v>116</v>
      </c>
      <c r="E4477">
        <v>2014</v>
      </c>
      <c r="F4477" t="s">
        <v>28</v>
      </c>
      <c r="G4477">
        <v>58466</v>
      </c>
      <c r="H4477">
        <v>52817</v>
      </c>
      <c r="I4477">
        <v>46642</v>
      </c>
      <c r="J4477">
        <v>47249</v>
      </c>
      <c r="K4477">
        <v>44323</v>
      </c>
      <c r="L4477">
        <v>43304</v>
      </c>
      <c r="M4477">
        <v>50098</v>
      </c>
      <c r="N4477">
        <v>44467</v>
      </c>
      <c r="O4477">
        <v>63171</v>
      </c>
      <c r="P4477">
        <v>68701</v>
      </c>
      <c r="Q4477">
        <v>57832</v>
      </c>
      <c r="R4477">
        <v>67411</v>
      </c>
    </row>
    <row r="4478" spans="4:19" x14ac:dyDescent="0.25">
      <c r="D4478" t="s">
        <v>116</v>
      </c>
      <c r="E4478">
        <v>2015</v>
      </c>
      <c r="F4478" t="s">
        <v>28</v>
      </c>
      <c r="G4478">
        <v>60104</v>
      </c>
      <c r="H4478">
        <v>53702</v>
      </c>
      <c r="I4478">
        <v>56470</v>
      </c>
      <c r="J4478">
        <v>49409</v>
      </c>
      <c r="K4478">
        <v>46956</v>
      </c>
      <c r="L4478">
        <v>54476</v>
      </c>
      <c r="M4478">
        <v>62150</v>
      </c>
    </row>
    <row r="4479" spans="4:19" x14ac:dyDescent="0.25">
      <c r="D4479" t="s">
        <v>116</v>
      </c>
      <c r="E4479">
        <v>2013</v>
      </c>
      <c r="F4479" t="s">
        <v>29</v>
      </c>
      <c r="S4479">
        <v>22049</v>
      </c>
    </row>
    <row r="4480" spans="4:19" x14ac:dyDescent="0.25">
      <c r="D4480" t="s">
        <v>116</v>
      </c>
      <c r="E4480">
        <v>2014</v>
      </c>
      <c r="F4480" t="s">
        <v>29</v>
      </c>
      <c r="S4480">
        <v>21905</v>
      </c>
    </row>
    <row r="4481" spans="4:19" x14ac:dyDescent="0.25">
      <c r="D4481" t="s">
        <v>116</v>
      </c>
      <c r="E4481">
        <v>2015</v>
      </c>
      <c r="F4481" t="s">
        <v>29</v>
      </c>
      <c r="S4481">
        <v>21034</v>
      </c>
    </row>
    <row r="4482" spans="4:19" x14ac:dyDescent="0.25">
      <c r="D4482" t="s">
        <v>116</v>
      </c>
      <c r="E4482">
        <v>2013</v>
      </c>
      <c r="F4482" t="s">
        <v>30</v>
      </c>
      <c r="G4482">
        <v>4005</v>
      </c>
      <c r="H4482">
        <v>3000</v>
      </c>
      <c r="I4482">
        <v>3440</v>
      </c>
      <c r="J4482">
        <v>2805</v>
      </c>
      <c r="K4482">
        <v>2785</v>
      </c>
      <c r="L4482">
        <v>2961</v>
      </c>
      <c r="M4482">
        <v>3053</v>
      </c>
      <c r="N4482">
        <v>2968</v>
      </c>
      <c r="O4482">
        <v>3702</v>
      </c>
      <c r="P4482">
        <v>3718</v>
      </c>
      <c r="Q4482">
        <v>3018</v>
      </c>
      <c r="R4482">
        <v>3380</v>
      </c>
    </row>
    <row r="4483" spans="4:19" x14ac:dyDescent="0.25">
      <c r="D4483" t="s">
        <v>116</v>
      </c>
      <c r="E4483">
        <v>2014</v>
      </c>
      <c r="F4483" t="s">
        <v>30</v>
      </c>
      <c r="G4483">
        <v>3994</v>
      </c>
      <c r="H4483">
        <v>3504</v>
      </c>
      <c r="I4483">
        <v>3380</v>
      </c>
      <c r="J4483">
        <v>3196</v>
      </c>
      <c r="K4483">
        <v>2672</v>
      </c>
      <c r="L4483">
        <v>2527</v>
      </c>
      <c r="M4483">
        <v>2632</v>
      </c>
      <c r="N4483">
        <v>2316</v>
      </c>
      <c r="O4483">
        <v>2988</v>
      </c>
      <c r="P4483">
        <v>3035</v>
      </c>
      <c r="Q4483">
        <v>2543</v>
      </c>
      <c r="R4483">
        <v>2892</v>
      </c>
    </row>
    <row r="4484" spans="4:19" x14ac:dyDescent="0.25">
      <c r="D4484" t="s">
        <v>116</v>
      </c>
      <c r="E4484">
        <v>2015</v>
      </c>
      <c r="F4484" t="s">
        <v>30</v>
      </c>
      <c r="G4484">
        <v>2858</v>
      </c>
      <c r="H4484">
        <v>2962</v>
      </c>
      <c r="I4484">
        <v>3268</v>
      </c>
      <c r="J4484">
        <v>3030</v>
      </c>
      <c r="K4484">
        <v>2716</v>
      </c>
      <c r="L4484">
        <v>3333</v>
      </c>
      <c r="M4484">
        <v>2867</v>
      </c>
    </row>
    <row r="4485" spans="4:19" x14ac:dyDescent="0.25">
      <c r="D4485" t="s">
        <v>116</v>
      </c>
      <c r="E4485">
        <v>2013</v>
      </c>
      <c r="F4485" t="s">
        <v>31</v>
      </c>
      <c r="S4485">
        <v>0.84659261726970614</v>
      </c>
    </row>
    <row r="4486" spans="4:19" x14ac:dyDescent="0.25">
      <c r="D4486" t="s">
        <v>116</v>
      </c>
      <c r="E4486">
        <v>2014</v>
      </c>
      <c r="F4486" t="s">
        <v>31</v>
      </c>
      <c r="S4486">
        <v>0.94063382491371195</v>
      </c>
    </row>
    <row r="4487" spans="4:19" x14ac:dyDescent="0.25">
      <c r="D4487" t="s">
        <v>116</v>
      </c>
      <c r="E4487">
        <v>2015</v>
      </c>
      <c r="F4487" t="s">
        <v>31</v>
      </c>
      <c r="S4487">
        <v>0.9097259165028333</v>
      </c>
    </row>
    <row r="4488" spans="4:19" x14ac:dyDescent="0.25">
      <c r="D4488" t="s">
        <v>116</v>
      </c>
      <c r="E4488">
        <v>2013</v>
      </c>
      <c r="F4488" t="s">
        <v>32</v>
      </c>
      <c r="G4488">
        <v>0.80324952006367933</v>
      </c>
      <c r="H4488">
        <v>0.72041274113952447</v>
      </c>
      <c r="I4488">
        <v>0.86437029063509152</v>
      </c>
      <c r="J4488">
        <v>0.88460835111246572</v>
      </c>
      <c r="K4488">
        <v>0.85469584091042416</v>
      </c>
      <c r="L4488">
        <v>0.91005857979711391</v>
      </c>
      <c r="M4488">
        <v>0.9640047206923682</v>
      </c>
      <c r="N4488">
        <v>0.97005561100812776</v>
      </c>
      <c r="O4488">
        <v>0.93038983889591464</v>
      </c>
      <c r="P4488">
        <v>0.92476754015215556</v>
      </c>
      <c r="Q4488">
        <v>0.90068939817402649</v>
      </c>
      <c r="R4488">
        <v>0.89800753249908882</v>
      </c>
    </row>
    <row r="4489" spans="4:19" x14ac:dyDescent="0.25">
      <c r="D4489" t="s">
        <v>116</v>
      </c>
      <c r="E4489">
        <v>2014</v>
      </c>
      <c r="F4489" t="s">
        <v>32</v>
      </c>
      <c r="G4489">
        <v>0.94713267301747528</v>
      </c>
      <c r="H4489">
        <v>0.96435576597903283</v>
      </c>
      <c r="I4489">
        <v>0.96760500446827524</v>
      </c>
      <c r="J4489">
        <v>0.9556977209116353</v>
      </c>
      <c r="K4489">
        <v>0.89492753623188404</v>
      </c>
      <c r="L4489">
        <v>0.90956114119453646</v>
      </c>
      <c r="M4489">
        <v>0.93780417978814767</v>
      </c>
      <c r="N4489">
        <v>0.91436362296410933</v>
      </c>
      <c r="O4489">
        <v>0.91106945746121004</v>
      </c>
      <c r="P4489">
        <v>0.90283669141039236</v>
      </c>
      <c r="Q4489">
        <v>0.92425710594315247</v>
      </c>
      <c r="R4489">
        <v>0.93477629285299246</v>
      </c>
    </row>
    <row r="4490" spans="4:19" x14ac:dyDescent="0.25">
      <c r="D4490" t="s">
        <v>116</v>
      </c>
      <c r="E4490">
        <v>2015</v>
      </c>
      <c r="F4490" t="s">
        <v>32</v>
      </c>
      <c r="G4490">
        <v>0.91611967111172532</v>
      </c>
      <c r="H4490">
        <v>0.91575005850690383</v>
      </c>
      <c r="I4490">
        <v>0.90952642739338729</v>
      </c>
      <c r="J4490">
        <v>0.9135868594893769</v>
      </c>
      <c r="K4490">
        <v>0.91292692613185067</v>
      </c>
      <c r="L4490">
        <v>0.91001977587343441</v>
      </c>
      <c r="M4490">
        <v>0.89083237437667817</v>
      </c>
    </row>
    <row r="4491" spans="4:19" x14ac:dyDescent="0.25">
      <c r="D4491" t="s">
        <v>116</v>
      </c>
      <c r="E4491">
        <v>2013</v>
      </c>
      <c r="F4491" t="s">
        <v>33</v>
      </c>
      <c r="S4491">
        <v>0.84992778323415563</v>
      </c>
    </row>
    <row r="4492" spans="4:19" x14ac:dyDescent="0.25">
      <c r="D4492" t="s">
        <v>116</v>
      </c>
      <c r="E4492">
        <v>2014</v>
      </c>
      <c r="F4492" t="s">
        <v>33</v>
      </c>
      <c r="S4492">
        <v>0.91866853037740137</v>
      </c>
    </row>
    <row r="4493" spans="4:19" x14ac:dyDescent="0.25">
      <c r="D4493" t="s">
        <v>116</v>
      </c>
      <c r="E4493">
        <v>2015</v>
      </c>
      <c r="F4493" t="s">
        <v>33</v>
      </c>
      <c r="S4493">
        <v>0.93580487341471519</v>
      </c>
    </row>
    <row r="4494" spans="4:19" x14ac:dyDescent="0.25">
      <c r="D4494" t="s">
        <v>116</v>
      </c>
      <c r="E4494">
        <v>2013</v>
      </c>
      <c r="F4494" t="s">
        <v>34</v>
      </c>
      <c r="G4494">
        <v>0.78290805994329693</v>
      </c>
      <c r="H4494">
        <v>0.66910898861703516</v>
      </c>
      <c r="I4494">
        <v>0.88142620232172475</v>
      </c>
      <c r="J4494">
        <v>0.91746338040522757</v>
      </c>
      <c r="K4494">
        <v>0.87801810865191143</v>
      </c>
      <c r="L4494">
        <v>0.94842094842094837</v>
      </c>
      <c r="M4494">
        <v>0.96649931538110456</v>
      </c>
      <c r="N4494">
        <v>0.95744249670685988</v>
      </c>
      <c r="O4494">
        <v>0.91360422655582318</v>
      </c>
      <c r="P4494">
        <v>0.90862455915357487</v>
      </c>
      <c r="Q4494">
        <v>0.89019678317908169</v>
      </c>
      <c r="R4494">
        <v>0.86087172688100766</v>
      </c>
    </row>
    <row r="4495" spans="4:19" x14ac:dyDescent="0.25">
      <c r="D4495" t="s">
        <v>116</v>
      </c>
      <c r="E4495">
        <v>2014</v>
      </c>
      <c r="F4495" t="s">
        <v>34</v>
      </c>
      <c r="G4495">
        <v>0.92143258953684604</v>
      </c>
      <c r="H4495">
        <v>0.9455578512396694</v>
      </c>
      <c r="I4495">
        <v>0.95144547382520372</v>
      </c>
      <c r="J4495">
        <v>0.93515917602996257</v>
      </c>
      <c r="K4495">
        <v>0.84296645085344324</v>
      </c>
      <c r="L4495">
        <v>0.86022982762927802</v>
      </c>
      <c r="M4495">
        <v>0.97254738015607578</v>
      </c>
      <c r="N4495">
        <v>0.9787130321741957</v>
      </c>
      <c r="O4495">
        <v>0.9033932641174981</v>
      </c>
      <c r="P4495">
        <v>0.91527238656137067</v>
      </c>
      <c r="Q4495">
        <v>0.94199088678583942</v>
      </c>
      <c r="R4495">
        <v>0.97044763146458057</v>
      </c>
    </row>
    <row r="4496" spans="4:19" x14ac:dyDescent="0.25">
      <c r="D4496" t="s">
        <v>116</v>
      </c>
      <c r="E4496">
        <v>2015</v>
      </c>
      <c r="F4496" t="s">
        <v>34</v>
      </c>
      <c r="G4496">
        <v>0.92761806981519512</v>
      </c>
      <c r="H4496">
        <v>0.93996023856858846</v>
      </c>
      <c r="I4496">
        <v>0.93802479008396644</v>
      </c>
      <c r="J4496">
        <v>0.94321026282853571</v>
      </c>
      <c r="K4496">
        <v>0.94271374177916234</v>
      </c>
      <c r="L4496">
        <v>0.92573280721533258</v>
      </c>
    </row>
    <row r="4497" spans="4:19" x14ac:dyDescent="0.25">
      <c r="D4497" t="s">
        <v>117</v>
      </c>
      <c r="E4497">
        <v>2013</v>
      </c>
      <c r="F4497" t="s">
        <v>17</v>
      </c>
      <c r="S4497">
        <v>0.90129393250568279</v>
      </c>
    </row>
    <row r="4498" spans="4:19" x14ac:dyDescent="0.25">
      <c r="D4498" t="s">
        <v>117</v>
      </c>
      <c r="E4498">
        <v>2014</v>
      </c>
      <c r="F4498" t="s">
        <v>17</v>
      </c>
      <c r="S4498">
        <v>0.89502762430939231</v>
      </c>
    </row>
    <row r="4499" spans="4:19" x14ac:dyDescent="0.25">
      <c r="D4499" t="s">
        <v>117</v>
      </c>
      <c r="E4499">
        <v>2015</v>
      </c>
      <c r="F4499" t="s">
        <v>17</v>
      </c>
      <c r="S4499">
        <v>0.87278622658466531</v>
      </c>
    </row>
    <row r="4500" spans="4:19" x14ac:dyDescent="0.25">
      <c r="D4500" t="s">
        <v>117</v>
      </c>
      <c r="E4500">
        <v>2013</v>
      </c>
      <c r="F4500" t="s">
        <v>18</v>
      </c>
      <c r="G4500">
        <v>0.8962585034013606</v>
      </c>
      <c r="H4500">
        <v>0.93053140096618359</v>
      </c>
      <c r="I4500">
        <v>0.92515212981744421</v>
      </c>
      <c r="J4500">
        <v>0.9193173785721499</v>
      </c>
      <c r="K4500">
        <v>0.91094681085853013</v>
      </c>
      <c r="L4500">
        <v>0.88265544647031324</v>
      </c>
      <c r="M4500">
        <v>0.83725511655904561</v>
      </c>
      <c r="N4500">
        <v>0.9010443199184921</v>
      </c>
      <c r="O4500">
        <v>0.89524541561436255</v>
      </c>
      <c r="P4500">
        <v>0.87591921284308649</v>
      </c>
      <c r="Q4500">
        <v>0.89808760024676126</v>
      </c>
      <c r="R4500">
        <v>0.93943249777325355</v>
      </c>
    </row>
    <row r="4501" spans="4:19" x14ac:dyDescent="0.25">
      <c r="D4501" t="s">
        <v>117</v>
      </c>
      <c r="E4501">
        <v>2014</v>
      </c>
      <c r="F4501" t="s">
        <v>18</v>
      </c>
      <c r="G4501">
        <v>0.91013681592039797</v>
      </c>
      <c r="H4501">
        <v>0.95772037530406584</v>
      </c>
      <c r="I4501">
        <v>0.90674783059189223</v>
      </c>
      <c r="J4501">
        <v>0.82507288629737607</v>
      </c>
      <c r="K4501">
        <v>0.84858135495078169</v>
      </c>
      <c r="L4501">
        <v>0.88755285412262153</v>
      </c>
      <c r="M4501">
        <v>0.91119544592030366</v>
      </c>
      <c r="N4501">
        <v>0.90032426335824056</v>
      </c>
      <c r="O4501">
        <v>0.886223440712817</v>
      </c>
      <c r="P4501">
        <v>0.9044229198272844</v>
      </c>
      <c r="Q4501">
        <v>0.91933645688236043</v>
      </c>
      <c r="R4501">
        <v>0.85737258782780801</v>
      </c>
    </row>
    <row r="4502" spans="4:19" x14ac:dyDescent="0.25">
      <c r="D4502" t="s">
        <v>117</v>
      </c>
      <c r="E4502">
        <v>2015</v>
      </c>
      <c r="F4502" t="s">
        <v>18</v>
      </c>
      <c r="G4502">
        <v>0.85948531086312918</v>
      </c>
      <c r="H4502">
        <v>0.85878996790681084</v>
      </c>
      <c r="I4502">
        <v>0.8888763791938753</v>
      </c>
      <c r="J4502">
        <v>0.85657842749901225</v>
      </c>
      <c r="K4502">
        <v>0.82319103844989405</v>
      </c>
      <c r="L4502">
        <v>0.91492607369162171</v>
      </c>
      <c r="M4502">
        <v>0.89583595420807649</v>
      </c>
    </row>
    <row r="4503" spans="4:19" x14ac:dyDescent="0.25">
      <c r="D4503" t="s">
        <v>117</v>
      </c>
      <c r="E4503">
        <v>2013</v>
      </c>
      <c r="F4503" t="s">
        <v>19</v>
      </c>
      <c r="S4503">
        <v>0.6045495085464192</v>
      </c>
    </row>
    <row r="4504" spans="4:19" x14ac:dyDescent="0.25">
      <c r="D4504" t="s">
        <v>117</v>
      </c>
      <c r="E4504">
        <v>2014</v>
      </c>
      <c r="F4504" t="s">
        <v>19</v>
      </c>
      <c r="S4504">
        <v>0.85147591117223098</v>
      </c>
    </row>
    <row r="4505" spans="4:19" x14ac:dyDescent="0.25">
      <c r="D4505" t="s">
        <v>117</v>
      </c>
      <c r="E4505">
        <v>2015</v>
      </c>
      <c r="F4505" t="s">
        <v>19</v>
      </c>
      <c r="S4505">
        <v>0.94226836191142738</v>
      </c>
    </row>
    <row r="4506" spans="4:19" x14ac:dyDescent="0.25">
      <c r="D4506" t="s">
        <v>117</v>
      </c>
      <c r="E4506">
        <v>2013</v>
      </c>
      <c r="F4506" t="s">
        <v>20</v>
      </c>
      <c r="G4506">
        <v>0.54299441524310121</v>
      </c>
      <c r="H4506">
        <v>0.6648969749655893</v>
      </c>
      <c r="I4506">
        <v>0.73966248210549501</v>
      </c>
      <c r="J4506">
        <v>0.67345270533281432</v>
      </c>
      <c r="K4506">
        <v>0.50523948859131984</v>
      </c>
      <c r="L4506">
        <v>0.59459080280592358</v>
      </c>
      <c r="M4506">
        <v>0.54313757388427963</v>
      </c>
      <c r="N4506">
        <v>0.67050246305418715</v>
      </c>
      <c r="O4506">
        <v>0.66678133241600734</v>
      </c>
      <c r="P4506">
        <v>0.65091385451902628</v>
      </c>
      <c r="Q4506">
        <v>0.63263846107986721</v>
      </c>
      <c r="R4506">
        <v>0.72212053219965355</v>
      </c>
    </row>
    <row r="4507" spans="4:19" x14ac:dyDescent="0.25">
      <c r="D4507" t="s">
        <v>117</v>
      </c>
      <c r="E4507">
        <v>2014</v>
      </c>
      <c r="F4507" t="s">
        <v>20</v>
      </c>
      <c r="G4507">
        <v>0.76098743081289544</v>
      </c>
      <c r="H4507">
        <v>0.85876946045850688</v>
      </c>
      <c r="I4507">
        <v>0.84891705727375655</v>
      </c>
      <c r="J4507">
        <v>0.73365352298968955</v>
      </c>
      <c r="K4507">
        <v>0.75770052260849807</v>
      </c>
      <c r="L4507">
        <v>0.99597210708538553</v>
      </c>
      <c r="M4507">
        <v>0.99838745074091395</v>
      </c>
      <c r="N4507">
        <v>0.99778861240693739</v>
      </c>
      <c r="O4507">
        <v>0.9984701012736642</v>
      </c>
      <c r="P4507">
        <v>0.98908703514708773</v>
      </c>
      <c r="Q4507">
        <v>0.96251433181876089</v>
      </c>
      <c r="R4507">
        <v>0.96247811519627446</v>
      </c>
    </row>
    <row r="4508" spans="4:19" x14ac:dyDescent="0.25">
      <c r="D4508" t="s">
        <v>117</v>
      </c>
      <c r="E4508">
        <v>2015</v>
      </c>
      <c r="F4508" t="s">
        <v>20</v>
      </c>
      <c r="G4508">
        <v>0.91496250289074632</v>
      </c>
      <c r="H4508">
        <v>0.94506838945904559</v>
      </c>
      <c r="I4508">
        <v>0.95636435643564355</v>
      </c>
      <c r="J4508">
        <v>0.97309955936277082</v>
      </c>
      <c r="K4508">
        <v>0.8498044447485148</v>
      </c>
      <c r="L4508">
        <v>0.95295211529521151</v>
      </c>
      <c r="M4508">
        <v>0.98936299141394834</v>
      </c>
    </row>
    <row r="4509" spans="4:19" x14ac:dyDescent="0.25">
      <c r="D4509" t="s">
        <v>117</v>
      </c>
      <c r="E4509">
        <v>2013</v>
      </c>
      <c r="F4509" t="s">
        <v>21</v>
      </c>
      <c r="S4509">
        <v>0.89938235218739593</v>
      </c>
    </row>
    <row r="4510" spans="4:19" x14ac:dyDescent="0.25">
      <c r="D4510" t="s">
        <v>117</v>
      </c>
      <c r="E4510">
        <v>2014</v>
      </c>
      <c r="F4510" t="s">
        <v>21</v>
      </c>
      <c r="S4510">
        <v>0.99753014829848696</v>
      </c>
    </row>
    <row r="4511" spans="4:19" x14ac:dyDescent="0.25">
      <c r="D4511" t="s">
        <v>117</v>
      </c>
      <c r="E4511">
        <v>2015</v>
      </c>
      <c r="F4511" t="s">
        <v>21</v>
      </c>
      <c r="S4511">
        <v>0.98638648962227671</v>
      </c>
    </row>
    <row r="4512" spans="4:19" x14ac:dyDescent="0.25">
      <c r="D4512" t="s">
        <v>117</v>
      </c>
      <c r="E4512">
        <v>2013</v>
      </c>
      <c r="F4512" t="s">
        <v>22</v>
      </c>
      <c r="G4512">
        <v>0.85299289045180027</v>
      </c>
      <c r="H4512">
        <v>0.84660901228948571</v>
      </c>
      <c r="I4512">
        <v>0.89732351021169454</v>
      </c>
      <c r="J4512">
        <v>0.97218466293220007</v>
      </c>
      <c r="K4512">
        <v>0.85798449612403105</v>
      </c>
      <c r="L4512">
        <v>0.94364304273810595</v>
      </c>
      <c r="M4512">
        <v>0.92934737540426238</v>
      </c>
      <c r="N4512">
        <v>0.89822018544175641</v>
      </c>
      <c r="O4512">
        <v>0.9622111463525147</v>
      </c>
      <c r="P4512">
        <v>0.9789292141571686</v>
      </c>
      <c r="Q4512">
        <v>0.98045816569504884</v>
      </c>
      <c r="R4512">
        <v>0.99676356701150093</v>
      </c>
    </row>
    <row r="4513" spans="4:19" x14ac:dyDescent="0.25">
      <c r="D4513" t="s">
        <v>117</v>
      </c>
      <c r="E4513">
        <v>2014</v>
      </c>
      <c r="F4513" t="s">
        <v>22</v>
      </c>
      <c r="G4513">
        <v>0.99799516073280337</v>
      </c>
      <c r="H4513">
        <v>0.99626836663297835</v>
      </c>
      <c r="I4513">
        <v>0.99797916990517643</v>
      </c>
      <c r="J4513">
        <v>0.99355075119091241</v>
      </c>
      <c r="K4513">
        <v>0.99796247559215556</v>
      </c>
      <c r="L4513">
        <v>0.99954675932920378</v>
      </c>
      <c r="M4513">
        <v>0.99936917361743882</v>
      </c>
      <c r="N4513">
        <v>0.99928411633109615</v>
      </c>
      <c r="O4513">
        <v>0.99842358319539681</v>
      </c>
      <c r="P4513">
        <v>0.99664883675968297</v>
      </c>
      <c r="Q4513">
        <v>0.99381411009317988</v>
      </c>
      <c r="R4513">
        <v>0.98554204557065495</v>
      </c>
    </row>
    <row r="4514" spans="4:19" x14ac:dyDescent="0.25">
      <c r="D4514" t="s">
        <v>117</v>
      </c>
      <c r="E4514">
        <v>2015</v>
      </c>
      <c r="F4514" t="s">
        <v>22</v>
      </c>
      <c r="G4514">
        <v>0.99780979827089333</v>
      </c>
      <c r="H4514">
        <v>0.99781939456131352</v>
      </c>
      <c r="I4514">
        <v>0.97238929942143548</v>
      </c>
      <c r="J4514">
        <v>0.97397531811496896</v>
      </c>
      <c r="K4514">
        <v>0.96271655358672026</v>
      </c>
      <c r="L4514">
        <v>0.99878620689655173</v>
      </c>
      <c r="M4514">
        <v>0.99794250778907767</v>
      </c>
    </row>
    <row r="4515" spans="4:19" x14ac:dyDescent="0.25">
      <c r="D4515" t="s">
        <v>117</v>
      </c>
      <c r="E4515">
        <v>2013</v>
      </c>
      <c r="F4515" t="s">
        <v>23</v>
      </c>
      <c r="S4515">
        <v>184411</v>
      </c>
    </row>
    <row r="4516" spans="4:19" x14ac:dyDescent="0.25">
      <c r="D4516" t="s">
        <v>117</v>
      </c>
      <c r="E4516">
        <v>2014</v>
      </c>
      <c r="F4516" t="s">
        <v>23</v>
      </c>
      <c r="S4516">
        <v>187692</v>
      </c>
    </row>
    <row r="4517" spans="4:19" x14ac:dyDescent="0.25">
      <c r="D4517" t="s">
        <v>117</v>
      </c>
      <c r="E4517">
        <v>2015</v>
      </c>
      <c r="F4517" t="s">
        <v>23</v>
      </c>
      <c r="S4517">
        <v>162284</v>
      </c>
    </row>
    <row r="4518" spans="4:19" x14ac:dyDescent="0.25">
      <c r="D4518" t="s">
        <v>117</v>
      </c>
      <c r="E4518">
        <v>2013</v>
      </c>
      <c r="F4518" t="s">
        <v>24</v>
      </c>
      <c r="G4518">
        <v>31559</v>
      </c>
      <c r="H4518">
        <v>30353</v>
      </c>
      <c r="I4518">
        <v>25307</v>
      </c>
      <c r="J4518">
        <v>23323</v>
      </c>
      <c r="K4518">
        <v>25460</v>
      </c>
      <c r="L4518">
        <v>22654</v>
      </c>
      <c r="M4518">
        <v>25755</v>
      </c>
      <c r="N4518">
        <v>25007</v>
      </c>
      <c r="O4518">
        <v>28708</v>
      </c>
      <c r="P4518">
        <v>27086</v>
      </c>
      <c r="Q4518">
        <v>25176</v>
      </c>
      <c r="R4518">
        <v>26127</v>
      </c>
    </row>
    <row r="4519" spans="4:19" x14ac:dyDescent="0.25">
      <c r="D4519" t="s">
        <v>117</v>
      </c>
      <c r="E4519">
        <v>2014</v>
      </c>
      <c r="F4519" t="s">
        <v>24</v>
      </c>
      <c r="G4519">
        <v>30258</v>
      </c>
      <c r="H4519">
        <v>28569</v>
      </c>
      <c r="I4519">
        <v>25419</v>
      </c>
      <c r="J4519">
        <v>23980</v>
      </c>
      <c r="K4519">
        <v>24500</v>
      </c>
      <c r="L4519">
        <v>26657</v>
      </c>
      <c r="M4519">
        <v>28309</v>
      </c>
      <c r="N4519">
        <v>25515</v>
      </c>
      <c r="O4519">
        <v>32158</v>
      </c>
      <c r="P4519">
        <v>27487</v>
      </c>
      <c r="Q4519">
        <v>24025</v>
      </c>
      <c r="R4519">
        <v>26608</v>
      </c>
    </row>
    <row r="4520" spans="4:19" x14ac:dyDescent="0.25">
      <c r="D4520" t="s">
        <v>117</v>
      </c>
      <c r="E4520">
        <v>2015</v>
      </c>
      <c r="F4520" t="s">
        <v>24</v>
      </c>
      <c r="G4520">
        <v>25646</v>
      </c>
      <c r="H4520">
        <v>24408</v>
      </c>
      <c r="I4520">
        <v>23494</v>
      </c>
      <c r="J4520">
        <v>22330</v>
      </c>
      <c r="K4520">
        <v>18817</v>
      </c>
      <c r="L4520">
        <v>22974</v>
      </c>
      <c r="M4520">
        <v>24615</v>
      </c>
    </row>
    <row r="4521" spans="4:19" x14ac:dyDescent="0.25">
      <c r="D4521" t="s">
        <v>117</v>
      </c>
      <c r="E4521">
        <v>2013</v>
      </c>
      <c r="F4521" t="s">
        <v>25</v>
      </c>
      <c r="S4521">
        <v>480647</v>
      </c>
    </row>
    <row r="4522" spans="4:19" x14ac:dyDescent="0.25">
      <c r="D4522" t="s">
        <v>117</v>
      </c>
      <c r="E4522">
        <v>2014</v>
      </c>
      <c r="F4522" t="s">
        <v>25</v>
      </c>
      <c r="S4522">
        <v>501006</v>
      </c>
    </row>
    <row r="4523" spans="4:19" x14ac:dyDescent="0.25">
      <c r="D4523" t="s">
        <v>117</v>
      </c>
      <c r="E4523">
        <v>2015</v>
      </c>
      <c r="F4523" t="s">
        <v>25</v>
      </c>
      <c r="S4523">
        <v>554710</v>
      </c>
    </row>
    <row r="4524" spans="4:19" x14ac:dyDescent="0.25">
      <c r="D4524" t="s">
        <v>117</v>
      </c>
      <c r="E4524">
        <v>2013</v>
      </c>
      <c r="F4524" t="s">
        <v>26</v>
      </c>
      <c r="G4524">
        <v>79734</v>
      </c>
      <c r="H4524">
        <v>70274</v>
      </c>
      <c r="I4524">
        <v>71613</v>
      </c>
      <c r="J4524">
        <v>61716</v>
      </c>
      <c r="K4524">
        <v>59314</v>
      </c>
      <c r="L4524">
        <v>66440</v>
      </c>
      <c r="M4524">
        <v>71556</v>
      </c>
      <c r="N4524">
        <v>66922</v>
      </c>
      <c r="O4524">
        <v>86436</v>
      </c>
      <c r="P4524">
        <v>87542</v>
      </c>
      <c r="Q4524">
        <v>88015</v>
      </c>
      <c r="R4524">
        <v>83925</v>
      </c>
    </row>
    <row r="4525" spans="4:19" x14ac:dyDescent="0.25">
      <c r="D4525" t="s">
        <v>117</v>
      </c>
      <c r="E4525">
        <v>2014</v>
      </c>
      <c r="F4525" t="s">
        <v>26</v>
      </c>
      <c r="G4525">
        <v>79039</v>
      </c>
      <c r="H4525">
        <v>75574</v>
      </c>
      <c r="I4525">
        <v>68748</v>
      </c>
      <c r="J4525">
        <v>65044</v>
      </c>
      <c r="K4525">
        <v>68888</v>
      </c>
      <c r="L4525">
        <v>69646</v>
      </c>
      <c r="M4525">
        <v>74067</v>
      </c>
      <c r="N4525">
        <v>72844</v>
      </c>
      <c r="O4525">
        <v>82586</v>
      </c>
      <c r="P4525">
        <v>83284</v>
      </c>
      <c r="Q4525">
        <v>83891</v>
      </c>
      <c r="R4525">
        <v>89483</v>
      </c>
    </row>
    <row r="4526" spans="4:19" x14ac:dyDescent="0.25">
      <c r="D4526" t="s">
        <v>117</v>
      </c>
      <c r="E4526">
        <v>2015</v>
      </c>
      <c r="F4526" t="s">
        <v>26</v>
      </c>
      <c r="G4526">
        <v>85979</v>
      </c>
      <c r="H4526">
        <v>78044</v>
      </c>
      <c r="I4526">
        <v>80989</v>
      </c>
      <c r="J4526">
        <v>73019</v>
      </c>
      <c r="K4526">
        <v>65160</v>
      </c>
      <c r="L4526">
        <v>81752</v>
      </c>
      <c r="M4526">
        <v>89767</v>
      </c>
    </row>
    <row r="4527" spans="4:19" x14ac:dyDescent="0.25">
      <c r="D4527" t="s">
        <v>117</v>
      </c>
      <c r="E4527">
        <v>2013</v>
      </c>
      <c r="F4527" t="s">
        <v>27</v>
      </c>
      <c r="S4527">
        <v>878481</v>
      </c>
    </row>
    <row r="4528" spans="4:19" x14ac:dyDescent="0.25">
      <c r="D4528" t="s">
        <v>117</v>
      </c>
      <c r="E4528">
        <v>2014</v>
      </c>
      <c r="F4528" t="s">
        <v>27</v>
      </c>
      <c r="S4528">
        <v>929375</v>
      </c>
    </row>
    <row r="4529" spans="4:19" x14ac:dyDescent="0.25">
      <c r="D4529" t="s">
        <v>117</v>
      </c>
      <c r="E4529">
        <v>2015</v>
      </c>
      <c r="F4529" t="s">
        <v>27</v>
      </c>
      <c r="S4529">
        <v>988407</v>
      </c>
    </row>
    <row r="4530" spans="4:19" x14ac:dyDescent="0.25">
      <c r="D4530" t="s">
        <v>117</v>
      </c>
      <c r="E4530">
        <v>2013</v>
      </c>
      <c r="F4530" t="s">
        <v>28</v>
      </c>
      <c r="G4530">
        <v>149482</v>
      </c>
      <c r="H4530">
        <v>132363</v>
      </c>
      <c r="I4530">
        <v>131643</v>
      </c>
      <c r="J4530">
        <v>111607</v>
      </c>
      <c r="K4530">
        <v>105004</v>
      </c>
      <c r="L4530">
        <v>117034</v>
      </c>
      <c r="M4530">
        <v>131348</v>
      </c>
      <c r="N4530">
        <v>125806</v>
      </c>
      <c r="O4530">
        <v>153738</v>
      </c>
      <c r="P4530">
        <v>164302</v>
      </c>
      <c r="Q4530">
        <v>148955</v>
      </c>
      <c r="R4530">
        <v>150599</v>
      </c>
    </row>
    <row r="4531" spans="4:19" x14ac:dyDescent="0.25">
      <c r="D4531" t="s">
        <v>117</v>
      </c>
      <c r="E4531">
        <v>2014</v>
      </c>
      <c r="F4531" t="s">
        <v>28</v>
      </c>
      <c r="G4531">
        <v>144778</v>
      </c>
      <c r="H4531">
        <v>141238</v>
      </c>
      <c r="I4531">
        <v>132724</v>
      </c>
      <c r="J4531">
        <v>123635</v>
      </c>
      <c r="K4531">
        <v>123335</v>
      </c>
      <c r="L4531">
        <v>128963</v>
      </c>
      <c r="M4531">
        <v>134702</v>
      </c>
      <c r="N4531">
        <v>128156</v>
      </c>
      <c r="O4531">
        <v>152730</v>
      </c>
      <c r="P4531">
        <v>151130</v>
      </c>
      <c r="Q4531">
        <v>140488</v>
      </c>
      <c r="R4531">
        <v>162958</v>
      </c>
    </row>
    <row r="4532" spans="4:19" x14ac:dyDescent="0.25">
      <c r="D4532" t="s">
        <v>117</v>
      </c>
      <c r="E4532">
        <v>2015</v>
      </c>
      <c r="F4532" t="s">
        <v>28</v>
      </c>
      <c r="G4532">
        <v>155713</v>
      </c>
      <c r="H4532">
        <v>145676</v>
      </c>
      <c r="I4532">
        <v>152163</v>
      </c>
      <c r="J4532">
        <v>133276</v>
      </c>
      <c r="K4532">
        <v>113591</v>
      </c>
      <c r="L4532">
        <v>139656</v>
      </c>
      <c r="M4532">
        <v>148332</v>
      </c>
    </row>
    <row r="4533" spans="4:19" x14ac:dyDescent="0.25">
      <c r="D4533" t="s">
        <v>117</v>
      </c>
      <c r="E4533">
        <v>2013</v>
      </c>
      <c r="F4533" t="s">
        <v>29</v>
      </c>
      <c r="S4533">
        <v>68628</v>
      </c>
    </row>
    <row r="4534" spans="4:19" x14ac:dyDescent="0.25">
      <c r="D4534" t="s">
        <v>117</v>
      </c>
      <c r="E4534">
        <v>2014</v>
      </c>
      <c r="F4534" t="s">
        <v>29</v>
      </c>
      <c r="S4534">
        <v>55929</v>
      </c>
    </row>
    <row r="4535" spans="4:19" x14ac:dyDescent="0.25">
      <c r="D4535" t="s">
        <v>117</v>
      </c>
      <c r="E4535">
        <v>2015</v>
      </c>
      <c r="F4535" t="s">
        <v>29</v>
      </c>
      <c r="S4535">
        <v>56747</v>
      </c>
    </row>
    <row r="4536" spans="4:19" x14ac:dyDescent="0.25">
      <c r="D4536" t="s">
        <v>117</v>
      </c>
      <c r="E4536">
        <v>2013</v>
      </c>
      <c r="F4536" t="s">
        <v>30</v>
      </c>
      <c r="G4536">
        <v>11760</v>
      </c>
      <c r="H4536">
        <v>10350</v>
      </c>
      <c r="I4536">
        <v>9860</v>
      </c>
      <c r="J4536">
        <v>9903</v>
      </c>
      <c r="K4536">
        <v>9062</v>
      </c>
      <c r="L4536">
        <v>8556</v>
      </c>
      <c r="M4536">
        <v>9137</v>
      </c>
      <c r="N4536">
        <v>7852</v>
      </c>
      <c r="O4536">
        <v>9107</v>
      </c>
      <c r="P4536">
        <v>9655</v>
      </c>
      <c r="Q4536">
        <v>8105</v>
      </c>
      <c r="R4536">
        <v>7859</v>
      </c>
    </row>
    <row r="4537" spans="4:19" x14ac:dyDescent="0.25">
      <c r="D4537" t="s">
        <v>117</v>
      </c>
      <c r="E4537">
        <v>2014</v>
      </c>
      <c r="F4537" t="s">
        <v>30</v>
      </c>
      <c r="G4537">
        <v>9648</v>
      </c>
      <c r="H4537">
        <v>8633</v>
      </c>
      <c r="I4537">
        <v>7721</v>
      </c>
      <c r="J4537">
        <v>7546</v>
      </c>
      <c r="K4537">
        <v>6908</v>
      </c>
      <c r="L4537">
        <v>7568</v>
      </c>
      <c r="M4537">
        <v>7905</v>
      </c>
      <c r="N4537">
        <v>7093</v>
      </c>
      <c r="O4537">
        <v>8754</v>
      </c>
      <c r="P4537">
        <v>8569</v>
      </c>
      <c r="Q4537">
        <v>7897</v>
      </c>
      <c r="R4537">
        <v>8084</v>
      </c>
    </row>
    <row r="4538" spans="4:19" x14ac:dyDescent="0.25">
      <c r="D4538" t="s">
        <v>117</v>
      </c>
      <c r="E4538">
        <v>2015</v>
      </c>
      <c r="F4538" t="s">
        <v>30</v>
      </c>
      <c r="G4538">
        <v>8782</v>
      </c>
      <c r="H4538">
        <v>8413</v>
      </c>
      <c r="I4538">
        <v>8882</v>
      </c>
      <c r="J4538">
        <v>7593</v>
      </c>
      <c r="K4538">
        <v>6606</v>
      </c>
      <c r="L4538">
        <v>8522</v>
      </c>
      <c r="M4538">
        <v>7949</v>
      </c>
    </row>
    <row r="4539" spans="4:19" x14ac:dyDescent="0.25">
      <c r="D4539" t="s">
        <v>117</v>
      </c>
      <c r="E4539">
        <v>2013</v>
      </c>
      <c r="F4539" t="s">
        <v>31</v>
      </c>
      <c r="S4539">
        <v>0.87634143299477796</v>
      </c>
    </row>
    <row r="4540" spans="4:19" x14ac:dyDescent="0.25">
      <c r="D4540" t="s">
        <v>117</v>
      </c>
      <c r="E4540">
        <v>2014</v>
      </c>
      <c r="F4540" t="s">
        <v>31</v>
      </c>
      <c r="S4540">
        <v>0.90845107942799908</v>
      </c>
    </row>
    <row r="4541" spans="4:19" x14ac:dyDescent="0.25">
      <c r="D4541" t="s">
        <v>117</v>
      </c>
      <c r="E4541">
        <v>2015</v>
      </c>
      <c r="F4541" t="s">
        <v>31</v>
      </c>
      <c r="S4541">
        <v>0.91558625619284706</v>
      </c>
    </row>
    <row r="4542" spans="4:19" x14ac:dyDescent="0.25">
      <c r="D4542" t="s">
        <v>117</v>
      </c>
      <c r="E4542">
        <v>2013</v>
      </c>
      <c r="F4542" t="s">
        <v>32</v>
      </c>
      <c r="G4542">
        <v>0.83969707531924331</v>
      </c>
      <c r="H4542">
        <v>0.83118637366981851</v>
      </c>
      <c r="I4542">
        <v>0.90097601454143117</v>
      </c>
      <c r="J4542">
        <v>0.8931098057711272</v>
      </c>
      <c r="K4542">
        <v>0.86142969363707778</v>
      </c>
      <c r="L4542">
        <v>0.86721991701244816</v>
      </c>
      <c r="M4542">
        <v>0.95783343040186375</v>
      </c>
      <c r="N4542">
        <v>0.96113088335266128</v>
      </c>
      <c r="O4542">
        <v>0.95872230737076769</v>
      </c>
      <c r="P4542">
        <v>0.96828619951266337</v>
      </c>
      <c r="Q4542">
        <v>0.93573244359707664</v>
      </c>
      <c r="R4542">
        <v>0.95491254258047231</v>
      </c>
    </row>
    <row r="4543" spans="4:19" x14ac:dyDescent="0.25">
      <c r="D4543" t="s">
        <v>117</v>
      </c>
      <c r="E4543">
        <v>2014</v>
      </c>
      <c r="F4543" t="s">
        <v>32</v>
      </c>
      <c r="G4543">
        <v>0.92963844272589069</v>
      </c>
      <c r="H4543">
        <v>0.93013406139521859</v>
      </c>
      <c r="I4543">
        <v>0.96113143711396987</v>
      </c>
      <c r="J4543">
        <v>0.94687239366138454</v>
      </c>
      <c r="K4543">
        <v>0.88187755102040821</v>
      </c>
      <c r="L4543">
        <v>0.83111377874479497</v>
      </c>
      <c r="M4543">
        <v>0.87989685259104877</v>
      </c>
      <c r="N4543">
        <v>0.91655888692925735</v>
      </c>
      <c r="O4543">
        <v>0.92962870825300081</v>
      </c>
      <c r="P4543">
        <v>0.92403681740459132</v>
      </c>
      <c r="Q4543">
        <v>0.93127991675338184</v>
      </c>
      <c r="R4543">
        <v>0.92288033674082981</v>
      </c>
    </row>
    <row r="4544" spans="4:19" x14ac:dyDescent="0.25">
      <c r="D4544" t="s">
        <v>117</v>
      </c>
      <c r="E4544">
        <v>2015</v>
      </c>
      <c r="F4544" t="s">
        <v>32</v>
      </c>
      <c r="G4544">
        <v>0.922132106371364</v>
      </c>
      <c r="H4544">
        <v>0.92895771878072764</v>
      </c>
      <c r="I4544">
        <v>0.91372265259215124</v>
      </c>
      <c r="J4544">
        <v>0.92328705776981634</v>
      </c>
      <c r="K4544">
        <v>0.91396078014561299</v>
      </c>
      <c r="L4544">
        <v>0.90158439975624616</v>
      </c>
      <c r="M4544">
        <v>0.90461100954702423</v>
      </c>
    </row>
    <row r="4545" spans="4:19" x14ac:dyDescent="0.25">
      <c r="D4545" t="s">
        <v>117</v>
      </c>
      <c r="E4545">
        <v>2013</v>
      </c>
      <c r="F4545" t="s">
        <v>33</v>
      </c>
      <c r="S4545">
        <v>0.91245405947210156</v>
      </c>
    </row>
    <row r="4546" spans="4:19" x14ac:dyDescent="0.25">
      <c r="D4546" t="s">
        <v>117</v>
      </c>
      <c r="E4546">
        <v>2014</v>
      </c>
      <c r="F4546" t="s">
        <v>33</v>
      </c>
      <c r="S4546">
        <v>0.89886174207344793</v>
      </c>
    </row>
    <row r="4547" spans="4:19" x14ac:dyDescent="0.25">
      <c r="D4547" t="s">
        <v>117</v>
      </c>
      <c r="E4547">
        <v>2015</v>
      </c>
      <c r="F4547" t="s">
        <v>33</v>
      </c>
      <c r="S4547">
        <v>0.92910413405763737</v>
      </c>
    </row>
    <row r="4548" spans="4:19" x14ac:dyDescent="0.25">
      <c r="D4548" t="s">
        <v>117</v>
      </c>
      <c r="E4548">
        <v>2013</v>
      </c>
      <c r="F4548" t="s">
        <v>34</v>
      </c>
      <c r="G4548">
        <v>0.84978297792036228</v>
      </c>
      <c r="H4548">
        <v>0.86635228273824949</v>
      </c>
      <c r="I4548">
        <v>0.95737535520537331</v>
      </c>
      <c r="J4548">
        <v>0.93444607249792955</v>
      </c>
      <c r="K4548">
        <v>0.92512559772410874</v>
      </c>
      <c r="L4548">
        <v>0.92453346093376165</v>
      </c>
      <c r="M4548">
        <v>0.95928030303030298</v>
      </c>
      <c r="N4548">
        <v>0.93943925233644865</v>
      </c>
      <c r="O4548">
        <v>0.933635752688172</v>
      </c>
      <c r="P4548">
        <v>0.95198703258621653</v>
      </c>
      <c r="Q4548">
        <v>0.90192750636440777</v>
      </c>
      <c r="R4548">
        <v>0.93127187864644112</v>
      </c>
    </row>
    <row r="4549" spans="4:19" x14ac:dyDescent="0.25">
      <c r="D4549" t="s">
        <v>117</v>
      </c>
      <c r="E4549">
        <v>2014</v>
      </c>
      <c r="F4549" t="s">
        <v>34</v>
      </c>
      <c r="G4549">
        <v>0.89918552893266412</v>
      </c>
      <c r="H4549">
        <v>0.89630630162605851</v>
      </c>
      <c r="I4549">
        <v>0.93968990355267978</v>
      </c>
      <c r="J4549">
        <v>0.92430633949260288</v>
      </c>
      <c r="K4549">
        <v>0.83845825975765698</v>
      </c>
      <c r="L4549">
        <v>0.88227020184260496</v>
      </c>
      <c r="M4549">
        <v>0.9107584501236603</v>
      </c>
      <c r="N4549">
        <v>0.95798591435278879</v>
      </c>
      <c r="O4549">
        <v>0.94215055318533514</v>
      </c>
      <c r="P4549">
        <v>0.94420883299210301</v>
      </c>
      <c r="Q4549">
        <v>0.94271906195531607</v>
      </c>
      <c r="R4549">
        <v>0.92898111748404977</v>
      </c>
    </row>
    <row r="4550" spans="4:19" x14ac:dyDescent="0.25">
      <c r="D4550" t="s">
        <v>117</v>
      </c>
      <c r="E4550">
        <v>2015</v>
      </c>
      <c r="F4550" t="s">
        <v>34</v>
      </c>
      <c r="G4550">
        <v>0.93227872924565303</v>
      </c>
      <c r="H4550">
        <v>0.94087026161238652</v>
      </c>
      <c r="I4550">
        <v>0.94373331507974534</v>
      </c>
      <c r="J4550">
        <v>0.94365651398899486</v>
      </c>
      <c r="K4550">
        <v>0.92238569289049421</v>
      </c>
      <c r="L4550">
        <v>0.91086294416243652</v>
      </c>
      <c r="M4550">
        <v>0.90881480945838455</v>
      </c>
    </row>
    <row r="4551" spans="4:19" x14ac:dyDescent="0.25">
      <c r="D4551" t="s">
        <v>118</v>
      </c>
      <c r="E4551">
        <v>2013</v>
      </c>
      <c r="F4551" t="s">
        <v>17</v>
      </c>
      <c r="S4551">
        <v>0.91668159186158971</v>
      </c>
    </row>
    <row r="4552" spans="4:19" x14ac:dyDescent="0.25">
      <c r="D4552" t="s">
        <v>118</v>
      </c>
      <c r="E4552">
        <v>2014</v>
      </c>
      <c r="F4552" t="s">
        <v>17</v>
      </c>
      <c r="S4552">
        <v>0.94236072807501381</v>
      </c>
    </row>
    <row r="4553" spans="4:19" x14ac:dyDescent="0.25">
      <c r="D4553" t="s">
        <v>118</v>
      </c>
      <c r="E4553">
        <v>2015</v>
      </c>
      <c r="F4553" t="s">
        <v>17</v>
      </c>
      <c r="S4553">
        <v>0.9461500815660685</v>
      </c>
    </row>
    <row r="4554" spans="4:19" x14ac:dyDescent="0.25">
      <c r="D4554" t="s">
        <v>118</v>
      </c>
      <c r="E4554">
        <v>2013</v>
      </c>
      <c r="F4554" t="s">
        <v>18</v>
      </c>
      <c r="G4554">
        <v>0.92615609577773716</v>
      </c>
      <c r="H4554">
        <v>0.89829445698520194</v>
      </c>
      <c r="I4554">
        <v>0.8138710101142782</v>
      </c>
      <c r="J4554">
        <v>0.89198944884076081</v>
      </c>
      <c r="K4554">
        <v>0.94470298384889129</v>
      </c>
      <c r="L4554">
        <v>0.96512935883014628</v>
      </c>
      <c r="M4554">
        <v>0.97579385736595525</v>
      </c>
      <c r="N4554">
        <v>0.98155595617806135</v>
      </c>
      <c r="O4554">
        <v>0.97271648873072358</v>
      </c>
      <c r="P4554">
        <v>0.96768865489831735</v>
      </c>
      <c r="Q4554">
        <v>0.96205660610554933</v>
      </c>
      <c r="R4554">
        <v>0.96881932462410647</v>
      </c>
    </row>
    <row r="4555" spans="4:19" x14ac:dyDescent="0.25">
      <c r="D4555" t="s">
        <v>118</v>
      </c>
      <c r="E4555">
        <v>2014</v>
      </c>
      <c r="F4555" t="s">
        <v>18</v>
      </c>
      <c r="G4555">
        <v>0.94216842540864887</v>
      </c>
      <c r="H4555">
        <v>0.96697674418604651</v>
      </c>
      <c r="I4555">
        <v>0.95540475036354822</v>
      </c>
      <c r="J4555">
        <v>0.95403014824965737</v>
      </c>
      <c r="K4555">
        <v>0.93878686700055647</v>
      </c>
      <c r="L4555">
        <v>0.89539748953974896</v>
      </c>
      <c r="M4555">
        <v>0.93931673422119277</v>
      </c>
      <c r="N4555">
        <v>0.9556302131603337</v>
      </c>
      <c r="O4555">
        <v>0.90181467519943892</v>
      </c>
      <c r="P4555">
        <v>0.91790453555159435</v>
      </c>
      <c r="Q4555">
        <v>0.9347396989884037</v>
      </c>
      <c r="R4555">
        <v>0.9022988505747126</v>
      </c>
    </row>
    <row r="4556" spans="4:19" x14ac:dyDescent="0.25">
      <c r="D4556" t="s">
        <v>118</v>
      </c>
      <c r="E4556">
        <v>2015</v>
      </c>
      <c r="F4556" t="s">
        <v>18</v>
      </c>
      <c r="G4556">
        <v>0.93390147578466021</v>
      </c>
      <c r="H4556">
        <v>0.94204532641785999</v>
      </c>
      <c r="I4556">
        <v>0.93719755943614558</v>
      </c>
      <c r="J4556">
        <v>0.96337753984669672</v>
      </c>
      <c r="K4556">
        <v>0.96094285322735373</v>
      </c>
      <c r="L4556">
        <v>0.95214521452145218</v>
      </c>
      <c r="M4556">
        <v>0.93871449925261585</v>
      </c>
    </row>
    <row r="4557" spans="4:19" x14ac:dyDescent="0.25">
      <c r="D4557" t="s">
        <v>118</v>
      </c>
      <c r="E4557">
        <v>2013</v>
      </c>
      <c r="F4557" t="s">
        <v>19</v>
      </c>
      <c r="S4557">
        <v>0.71770736384916944</v>
      </c>
    </row>
    <row r="4558" spans="4:19" x14ac:dyDescent="0.25">
      <c r="D4558" t="s">
        <v>118</v>
      </c>
      <c r="E4558">
        <v>2014</v>
      </c>
      <c r="F4558" t="s">
        <v>19</v>
      </c>
      <c r="S4558">
        <v>0.99280539140289803</v>
      </c>
    </row>
    <row r="4559" spans="4:19" x14ac:dyDescent="0.25">
      <c r="D4559" t="s">
        <v>118</v>
      </c>
      <c r="E4559">
        <v>2015</v>
      </c>
      <c r="F4559" t="s">
        <v>19</v>
      </c>
      <c r="S4559">
        <v>0.99268195337444776</v>
      </c>
    </row>
    <row r="4560" spans="4:19" x14ac:dyDescent="0.25">
      <c r="D4560" t="s">
        <v>118</v>
      </c>
      <c r="E4560">
        <v>2013</v>
      </c>
      <c r="F4560" t="s">
        <v>20</v>
      </c>
      <c r="G4560">
        <v>0.6563512503115394</v>
      </c>
      <c r="H4560">
        <v>0.67459358117275581</v>
      </c>
      <c r="I4560">
        <v>0.59718703383609972</v>
      </c>
      <c r="J4560">
        <v>0.62773616252295317</v>
      </c>
      <c r="K4560">
        <v>0.54003259903190759</v>
      </c>
      <c r="L4560">
        <v>0.96427843975964966</v>
      </c>
      <c r="M4560">
        <v>0.98642042368278104</v>
      </c>
      <c r="N4560">
        <v>0.93218307415701984</v>
      </c>
      <c r="O4560">
        <v>0.97605941879191405</v>
      </c>
      <c r="P4560">
        <v>0.97704351920888433</v>
      </c>
      <c r="Q4560">
        <v>0.98083315462148835</v>
      </c>
      <c r="R4560">
        <v>0.98868278148877886</v>
      </c>
    </row>
    <row r="4561" spans="4:19" x14ac:dyDescent="0.25">
      <c r="D4561" t="s">
        <v>118</v>
      </c>
      <c r="E4561">
        <v>2014</v>
      </c>
      <c r="F4561" t="s">
        <v>20</v>
      </c>
      <c r="G4561">
        <v>0.98497214156791968</v>
      </c>
      <c r="H4561">
        <v>0.99622063115459714</v>
      </c>
      <c r="I4561">
        <v>0.99522528418042122</v>
      </c>
      <c r="J4561">
        <v>0.99118597838165468</v>
      </c>
      <c r="K4561">
        <v>0.99420289855072463</v>
      </c>
      <c r="L4561">
        <v>0.99443279005970631</v>
      </c>
      <c r="M4561">
        <v>0.99486368118135338</v>
      </c>
      <c r="N4561">
        <v>0.9943367512411746</v>
      </c>
      <c r="O4561">
        <v>0.98932966745221262</v>
      </c>
      <c r="P4561">
        <v>0.98479582971329283</v>
      </c>
      <c r="Q4561">
        <v>0.99047181975130572</v>
      </c>
      <c r="R4561">
        <v>0.99727492095190551</v>
      </c>
    </row>
    <row r="4562" spans="4:19" x14ac:dyDescent="0.25">
      <c r="D4562" t="s">
        <v>118</v>
      </c>
      <c r="E4562">
        <v>2015</v>
      </c>
      <c r="F4562" t="s">
        <v>20</v>
      </c>
      <c r="G4562">
        <v>0.9890749767653586</v>
      </c>
      <c r="H4562">
        <v>0.9824477801604321</v>
      </c>
      <c r="I4562">
        <v>0.99452848930938464</v>
      </c>
      <c r="J4562">
        <v>0.99701527706868787</v>
      </c>
      <c r="K4562">
        <v>0.99537094338688514</v>
      </c>
      <c r="L4562">
        <v>0.99609217333871503</v>
      </c>
      <c r="M4562">
        <v>0.99407025575401475</v>
      </c>
    </row>
    <row r="4563" spans="4:19" x14ac:dyDescent="0.25">
      <c r="D4563" t="s">
        <v>118</v>
      </c>
      <c r="E4563">
        <v>2013</v>
      </c>
      <c r="F4563" t="s">
        <v>21</v>
      </c>
      <c r="S4563">
        <v>0.97396103896103892</v>
      </c>
    </row>
    <row r="4564" spans="4:19" x14ac:dyDescent="0.25">
      <c r="D4564" t="s">
        <v>118</v>
      </c>
      <c r="E4564">
        <v>2014</v>
      </c>
      <c r="F4564" t="s">
        <v>21</v>
      </c>
      <c r="S4564">
        <v>0.99823470719164942</v>
      </c>
    </row>
    <row r="4565" spans="4:19" x14ac:dyDescent="0.25">
      <c r="D4565" t="s">
        <v>118</v>
      </c>
      <c r="E4565">
        <v>2015</v>
      </c>
      <c r="F4565" t="s">
        <v>21</v>
      </c>
      <c r="S4565">
        <v>0.99470061940812116</v>
      </c>
    </row>
    <row r="4566" spans="4:19" x14ac:dyDescent="0.25">
      <c r="D4566" t="s">
        <v>118</v>
      </c>
      <c r="E4566">
        <v>2013</v>
      </c>
      <c r="F4566" t="s">
        <v>22</v>
      </c>
      <c r="G4566">
        <v>0.96612500000000001</v>
      </c>
      <c r="H4566">
        <v>0.95882450606010294</v>
      </c>
      <c r="I4566">
        <v>0.97403606965174128</v>
      </c>
      <c r="J4566">
        <v>0.98037688833515024</v>
      </c>
      <c r="K4566">
        <v>0.96713529304363699</v>
      </c>
      <c r="L4566">
        <v>0.98160919540229885</v>
      </c>
      <c r="M4566">
        <v>0.9875717017208413</v>
      </c>
      <c r="N4566">
        <v>0.97511391517700663</v>
      </c>
      <c r="O4566">
        <v>0.96996576408341117</v>
      </c>
      <c r="P4566">
        <v>0.98435781498228037</v>
      </c>
      <c r="Q4566">
        <v>0.98677632639896795</v>
      </c>
      <c r="R4566">
        <v>0.99632114260982474</v>
      </c>
    </row>
    <row r="4567" spans="4:19" x14ac:dyDescent="0.25">
      <c r="D4567" t="s">
        <v>118</v>
      </c>
      <c r="E4567">
        <v>2014</v>
      </c>
      <c r="F4567" t="s">
        <v>22</v>
      </c>
      <c r="G4567">
        <v>0.99775201135825842</v>
      </c>
      <c r="H4567">
        <v>0.99926814988290402</v>
      </c>
      <c r="I4567">
        <v>0.99959349593495939</v>
      </c>
      <c r="J4567">
        <v>0.99873721429473417</v>
      </c>
      <c r="K4567">
        <v>0.9972411554690036</v>
      </c>
      <c r="L4567">
        <v>0.99851851851851847</v>
      </c>
      <c r="M4567">
        <v>0.99660206393153783</v>
      </c>
      <c r="N4567">
        <v>0.99667974645336554</v>
      </c>
      <c r="O4567">
        <v>0.99765290625431446</v>
      </c>
      <c r="P4567">
        <v>0.99710837314558709</v>
      </c>
      <c r="Q4567">
        <v>0.99712313003452246</v>
      </c>
      <c r="R4567">
        <v>0.99836805222232894</v>
      </c>
    </row>
    <row r="4568" spans="4:19" x14ac:dyDescent="0.25">
      <c r="D4568" t="s">
        <v>118</v>
      </c>
      <c r="E4568">
        <v>2015</v>
      </c>
      <c r="F4568" t="s">
        <v>22</v>
      </c>
      <c r="G4568">
        <v>0.99244712990936557</v>
      </c>
      <c r="H4568">
        <v>0.98956294846705806</v>
      </c>
      <c r="I4568">
        <v>0.99450675211718931</v>
      </c>
      <c r="J4568">
        <v>0.99552941176470588</v>
      </c>
      <c r="K4568">
        <v>0.99771591720199859</v>
      </c>
      <c r="L4568">
        <v>0.99663774403470717</v>
      </c>
      <c r="M4568">
        <v>0.99642260911042213</v>
      </c>
    </row>
    <row r="4569" spans="4:19" x14ac:dyDescent="0.25">
      <c r="D4569" t="s">
        <v>118</v>
      </c>
      <c r="E4569">
        <v>2013</v>
      </c>
      <c r="F4569" t="s">
        <v>23</v>
      </c>
      <c r="S4569">
        <v>94412</v>
      </c>
    </row>
    <row r="4570" spans="4:19" x14ac:dyDescent="0.25">
      <c r="D4570" t="s">
        <v>118</v>
      </c>
      <c r="E4570">
        <v>2014</v>
      </c>
      <c r="F4570" t="s">
        <v>23</v>
      </c>
      <c r="S4570">
        <v>77890</v>
      </c>
    </row>
    <row r="4571" spans="4:19" x14ac:dyDescent="0.25">
      <c r="D4571" t="s">
        <v>118</v>
      </c>
      <c r="E4571">
        <v>2015</v>
      </c>
      <c r="F4571" t="s">
        <v>23</v>
      </c>
      <c r="S4571">
        <v>78852</v>
      </c>
    </row>
    <row r="4572" spans="4:19" x14ac:dyDescent="0.25">
      <c r="D4572" t="s">
        <v>118</v>
      </c>
      <c r="E4572">
        <v>2013</v>
      </c>
      <c r="F4572" t="s">
        <v>24</v>
      </c>
      <c r="G4572">
        <v>16598</v>
      </c>
      <c r="H4572">
        <v>16412</v>
      </c>
      <c r="I4572">
        <v>14706</v>
      </c>
      <c r="J4572">
        <v>11621</v>
      </c>
      <c r="K4572">
        <v>12058</v>
      </c>
      <c r="L4572">
        <v>10826</v>
      </c>
      <c r="M4572">
        <v>12191</v>
      </c>
      <c r="N4572">
        <v>10679</v>
      </c>
      <c r="O4572">
        <v>13812</v>
      </c>
      <c r="P4572">
        <v>12836</v>
      </c>
      <c r="Q4572">
        <v>11385</v>
      </c>
      <c r="R4572">
        <v>11454</v>
      </c>
    </row>
    <row r="4573" spans="4:19" x14ac:dyDescent="0.25">
      <c r="D4573" t="s">
        <v>118</v>
      </c>
      <c r="E4573">
        <v>2014</v>
      </c>
      <c r="F4573" t="s">
        <v>24</v>
      </c>
      <c r="G4573">
        <v>13295</v>
      </c>
      <c r="H4573">
        <v>12476</v>
      </c>
      <c r="I4573">
        <v>10539</v>
      </c>
      <c r="J4573">
        <v>10170</v>
      </c>
      <c r="K4573">
        <v>9063</v>
      </c>
      <c r="L4573">
        <v>9953</v>
      </c>
      <c r="M4573">
        <v>12394</v>
      </c>
      <c r="N4573">
        <v>12420</v>
      </c>
      <c r="O4573">
        <v>17257</v>
      </c>
      <c r="P4573">
        <v>13280</v>
      </c>
      <c r="Q4573">
        <v>11194</v>
      </c>
      <c r="R4573">
        <v>12080</v>
      </c>
    </row>
    <row r="4574" spans="4:19" x14ac:dyDescent="0.25">
      <c r="D4574" t="s">
        <v>118</v>
      </c>
      <c r="E4574">
        <v>2015</v>
      </c>
      <c r="F4574" t="s">
        <v>24</v>
      </c>
      <c r="G4574">
        <v>13102</v>
      </c>
      <c r="H4574">
        <v>12833</v>
      </c>
      <c r="I4574">
        <v>11864</v>
      </c>
      <c r="J4574">
        <v>9991</v>
      </c>
      <c r="K4574">
        <v>8669</v>
      </c>
      <c r="L4574">
        <v>10881</v>
      </c>
      <c r="M4574">
        <v>11512</v>
      </c>
    </row>
    <row r="4575" spans="4:19" x14ac:dyDescent="0.25">
      <c r="D4575" t="s">
        <v>118</v>
      </c>
      <c r="E4575">
        <v>2013</v>
      </c>
      <c r="F4575" t="s">
        <v>25</v>
      </c>
      <c r="S4575">
        <v>260439</v>
      </c>
    </row>
    <row r="4576" spans="4:19" x14ac:dyDescent="0.25">
      <c r="D4576" t="s">
        <v>118</v>
      </c>
      <c r="E4576">
        <v>2014</v>
      </c>
      <c r="F4576" t="s">
        <v>25</v>
      </c>
      <c r="S4576">
        <v>260180</v>
      </c>
    </row>
    <row r="4577" spans="4:19" x14ac:dyDescent="0.25">
      <c r="D4577" t="s">
        <v>118</v>
      </c>
      <c r="E4577">
        <v>2015</v>
      </c>
      <c r="F4577" t="s">
        <v>25</v>
      </c>
      <c r="S4577">
        <v>295459</v>
      </c>
    </row>
    <row r="4578" spans="4:19" x14ac:dyDescent="0.25">
      <c r="D4578" t="s">
        <v>118</v>
      </c>
      <c r="E4578">
        <v>2013</v>
      </c>
      <c r="F4578" t="s">
        <v>26</v>
      </c>
      <c r="G4578">
        <v>40746</v>
      </c>
      <c r="H4578">
        <v>39120</v>
      </c>
      <c r="I4578">
        <v>36400</v>
      </c>
      <c r="J4578">
        <v>36014</v>
      </c>
      <c r="K4578">
        <v>32643</v>
      </c>
      <c r="L4578">
        <v>35922</v>
      </c>
      <c r="M4578">
        <v>39594</v>
      </c>
      <c r="N4578">
        <v>34192</v>
      </c>
      <c r="O4578">
        <v>51785</v>
      </c>
      <c r="P4578">
        <v>51091</v>
      </c>
      <c r="Q4578">
        <v>42335</v>
      </c>
      <c r="R4578">
        <v>47251</v>
      </c>
    </row>
    <row r="4579" spans="4:19" x14ac:dyDescent="0.25">
      <c r="D4579" t="s">
        <v>118</v>
      </c>
      <c r="E4579">
        <v>2014</v>
      </c>
      <c r="F4579" t="s">
        <v>26</v>
      </c>
      <c r="G4579">
        <v>43684</v>
      </c>
      <c r="H4579">
        <v>38517</v>
      </c>
      <c r="I4579">
        <v>35851</v>
      </c>
      <c r="J4579">
        <v>36213</v>
      </c>
      <c r="K4579">
        <v>32654</v>
      </c>
      <c r="L4579">
        <v>34078</v>
      </c>
      <c r="M4579">
        <v>39183</v>
      </c>
      <c r="N4579">
        <v>37570</v>
      </c>
      <c r="O4579">
        <v>51244</v>
      </c>
      <c r="P4579">
        <v>47867</v>
      </c>
      <c r="Q4579">
        <v>43730</v>
      </c>
      <c r="R4579">
        <v>54607</v>
      </c>
    </row>
    <row r="4580" spans="4:19" x14ac:dyDescent="0.25">
      <c r="D4580" t="s">
        <v>118</v>
      </c>
      <c r="E4580">
        <v>2015</v>
      </c>
      <c r="F4580" t="s">
        <v>26</v>
      </c>
      <c r="G4580">
        <v>45242</v>
      </c>
      <c r="H4580">
        <v>39569</v>
      </c>
      <c r="I4580">
        <v>43517</v>
      </c>
      <c r="J4580">
        <v>41334</v>
      </c>
      <c r="K4580">
        <v>34783</v>
      </c>
      <c r="L4580">
        <v>43506</v>
      </c>
      <c r="M4580">
        <v>47508</v>
      </c>
    </row>
    <row r="4581" spans="4:19" x14ac:dyDescent="0.25">
      <c r="D4581" t="s">
        <v>118</v>
      </c>
      <c r="E4581">
        <v>2013</v>
      </c>
      <c r="F4581" t="s">
        <v>27</v>
      </c>
      <c r="S4581">
        <v>409684</v>
      </c>
    </row>
    <row r="4582" spans="4:19" x14ac:dyDescent="0.25">
      <c r="D4582" t="s">
        <v>118</v>
      </c>
      <c r="E4582">
        <v>2014</v>
      </c>
      <c r="F4582" t="s">
        <v>27</v>
      </c>
      <c r="S4582">
        <v>424136</v>
      </c>
    </row>
    <row r="4583" spans="4:19" x14ac:dyDescent="0.25">
      <c r="D4583" t="s">
        <v>118</v>
      </c>
      <c r="E4583">
        <v>2015</v>
      </c>
      <c r="F4583" t="s">
        <v>27</v>
      </c>
      <c r="S4583">
        <v>484444</v>
      </c>
    </row>
    <row r="4584" spans="4:19" x14ac:dyDescent="0.25">
      <c r="D4584" t="s">
        <v>118</v>
      </c>
      <c r="E4584">
        <v>2013</v>
      </c>
      <c r="F4584" t="s">
        <v>28</v>
      </c>
      <c r="G4584">
        <v>65163</v>
      </c>
      <c r="H4584">
        <v>62480</v>
      </c>
      <c r="I4584">
        <v>58600</v>
      </c>
      <c r="J4584">
        <v>55946</v>
      </c>
      <c r="K4584">
        <v>50890</v>
      </c>
      <c r="L4584">
        <v>54806</v>
      </c>
      <c r="M4584">
        <v>61799</v>
      </c>
      <c r="N4584">
        <v>54757</v>
      </c>
      <c r="O4584">
        <v>76418</v>
      </c>
      <c r="P4584">
        <v>78296</v>
      </c>
      <c r="Q4584">
        <v>63597</v>
      </c>
      <c r="R4584">
        <v>71460</v>
      </c>
    </row>
    <row r="4585" spans="4:19" x14ac:dyDescent="0.25">
      <c r="D4585" t="s">
        <v>118</v>
      </c>
      <c r="E4585">
        <v>2014</v>
      </c>
      <c r="F4585" t="s">
        <v>28</v>
      </c>
      <c r="G4585">
        <v>70819</v>
      </c>
      <c r="H4585">
        <v>64128</v>
      </c>
      <c r="I4585">
        <v>59461</v>
      </c>
      <c r="J4585">
        <v>59226</v>
      </c>
      <c r="K4585">
        <v>52840</v>
      </c>
      <c r="L4585">
        <v>54723</v>
      </c>
      <c r="M4585">
        <v>62939</v>
      </c>
      <c r="N4585">
        <v>59568</v>
      </c>
      <c r="O4585">
        <v>80322</v>
      </c>
      <c r="P4585">
        <v>75360</v>
      </c>
      <c r="Q4585">
        <v>68028</v>
      </c>
      <c r="R4585">
        <v>83632</v>
      </c>
    </row>
    <row r="4586" spans="4:19" x14ac:dyDescent="0.25">
      <c r="D4586" t="s">
        <v>118</v>
      </c>
      <c r="E4586">
        <v>2015</v>
      </c>
      <c r="F4586" t="s">
        <v>28</v>
      </c>
      <c r="G4586">
        <v>72246</v>
      </c>
      <c r="H4586">
        <v>67259</v>
      </c>
      <c r="I4586">
        <v>72790</v>
      </c>
      <c r="J4586">
        <v>66699</v>
      </c>
      <c r="K4586">
        <v>57159</v>
      </c>
      <c r="L4586">
        <v>72105</v>
      </c>
      <c r="M4586">
        <v>76186</v>
      </c>
    </row>
    <row r="4587" spans="4:19" x14ac:dyDescent="0.25">
      <c r="D4587" t="s">
        <v>118</v>
      </c>
      <c r="E4587">
        <v>2013</v>
      </c>
      <c r="F4587" t="s">
        <v>29</v>
      </c>
      <c r="S4587">
        <v>55834</v>
      </c>
    </row>
    <row r="4588" spans="4:19" x14ac:dyDescent="0.25">
      <c r="D4588" t="s">
        <v>118</v>
      </c>
      <c r="E4588">
        <v>2014</v>
      </c>
      <c r="F4588" t="s">
        <v>29</v>
      </c>
      <c r="S4588">
        <v>58016</v>
      </c>
    </row>
    <row r="4589" spans="4:19" x14ac:dyDescent="0.25">
      <c r="D4589" t="s">
        <v>118</v>
      </c>
      <c r="E4589">
        <v>2015</v>
      </c>
      <c r="F4589" t="s">
        <v>29</v>
      </c>
      <c r="S4589">
        <v>61300</v>
      </c>
    </row>
    <row r="4590" spans="4:19" x14ac:dyDescent="0.25">
      <c r="D4590" t="s">
        <v>118</v>
      </c>
      <c r="E4590">
        <v>2013</v>
      </c>
      <c r="F4590" t="s">
        <v>30</v>
      </c>
      <c r="G4590">
        <v>10942</v>
      </c>
      <c r="H4590">
        <v>7974</v>
      </c>
      <c r="I4590">
        <v>7613</v>
      </c>
      <c r="J4590">
        <v>7203</v>
      </c>
      <c r="K4590">
        <v>7306</v>
      </c>
      <c r="L4590">
        <v>7112</v>
      </c>
      <c r="M4590">
        <v>7684</v>
      </c>
      <c r="N4590">
        <v>7211</v>
      </c>
      <c r="O4590">
        <v>10116</v>
      </c>
      <c r="P4590">
        <v>9687</v>
      </c>
      <c r="Q4590">
        <v>8091</v>
      </c>
      <c r="R4590">
        <v>8114</v>
      </c>
    </row>
    <row r="4591" spans="4:19" x14ac:dyDescent="0.25">
      <c r="D4591" t="s">
        <v>118</v>
      </c>
      <c r="E4591">
        <v>2014</v>
      </c>
      <c r="F4591" t="s">
        <v>30</v>
      </c>
      <c r="G4591">
        <v>9666</v>
      </c>
      <c r="H4591">
        <v>8600</v>
      </c>
      <c r="I4591">
        <v>8252</v>
      </c>
      <c r="J4591">
        <v>8027</v>
      </c>
      <c r="K4591">
        <v>7188</v>
      </c>
      <c r="L4591">
        <v>7648</v>
      </c>
      <c r="M4591">
        <v>8635</v>
      </c>
      <c r="N4591">
        <v>8632</v>
      </c>
      <c r="O4591">
        <v>11407</v>
      </c>
      <c r="P4591">
        <v>10098</v>
      </c>
      <c r="Q4591">
        <v>8106</v>
      </c>
      <c r="R4591">
        <v>9048</v>
      </c>
    </row>
    <row r="4592" spans="4:19" x14ac:dyDescent="0.25">
      <c r="D4592" t="s">
        <v>118</v>
      </c>
      <c r="E4592">
        <v>2015</v>
      </c>
      <c r="F4592" t="s">
        <v>30</v>
      </c>
      <c r="G4592">
        <v>9622</v>
      </c>
      <c r="H4592">
        <v>8869</v>
      </c>
      <c r="I4592">
        <v>9506</v>
      </c>
      <c r="J4592">
        <v>8219</v>
      </c>
      <c r="K4592">
        <v>7297</v>
      </c>
      <c r="L4592">
        <v>9090</v>
      </c>
      <c r="M4592">
        <v>8697</v>
      </c>
    </row>
    <row r="4593" spans="4:19" x14ac:dyDescent="0.25">
      <c r="D4593" t="s">
        <v>118</v>
      </c>
      <c r="E4593">
        <v>2013</v>
      </c>
      <c r="F4593" t="s">
        <v>31</v>
      </c>
      <c r="S4593">
        <v>0.81777740117781639</v>
      </c>
    </row>
    <row r="4594" spans="4:19" x14ac:dyDescent="0.25">
      <c r="D4594" t="s">
        <v>118</v>
      </c>
      <c r="E4594">
        <v>2014</v>
      </c>
      <c r="F4594" t="s">
        <v>31</v>
      </c>
      <c r="S4594">
        <v>0.93318782898960073</v>
      </c>
    </row>
    <row r="4595" spans="4:19" x14ac:dyDescent="0.25">
      <c r="D4595" t="s">
        <v>118</v>
      </c>
      <c r="E4595">
        <v>2015</v>
      </c>
      <c r="F4595" t="s">
        <v>31</v>
      </c>
      <c r="S4595">
        <v>0.89758027697458531</v>
      </c>
    </row>
    <row r="4596" spans="4:19" x14ac:dyDescent="0.25">
      <c r="D4596" t="s">
        <v>118</v>
      </c>
      <c r="E4596">
        <v>2013</v>
      </c>
      <c r="F4596" t="s">
        <v>32</v>
      </c>
      <c r="G4596">
        <v>0.780816965899506</v>
      </c>
      <c r="H4596">
        <v>0.77979527175237628</v>
      </c>
      <c r="I4596">
        <v>0.75744594043247659</v>
      </c>
      <c r="J4596">
        <v>0.84760347646502021</v>
      </c>
      <c r="K4596">
        <v>0.86780560623652347</v>
      </c>
      <c r="L4596">
        <v>0.83659708110105302</v>
      </c>
      <c r="M4596">
        <v>0.89738331556065953</v>
      </c>
      <c r="N4596">
        <v>0.93145425601648091</v>
      </c>
      <c r="O4596">
        <v>0.93882131479872577</v>
      </c>
      <c r="P4596">
        <v>0.93323465253973203</v>
      </c>
      <c r="Q4596">
        <v>0.92990777338603425</v>
      </c>
      <c r="R4596">
        <v>0.94944997380827656</v>
      </c>
    </row>
    <row r="4597" spans="4:19" x14ac:dyDescent="0.25">
      <c r="D4597" t="s">
        <v>118</v>
      </c>
      <c r="E4597">
        <v>2014</v>
      </c>
      <c r="F4597" t="s">
        <v>32</v>
      </c>
      <c r="G4597">
        <v>0.95141030462579912</v>
      </c>
      <c r="H4597">
        <v>0.94846104520679708</v>
      </c>
      <c r="I4597">
        <v>0.93832431919536963</v>
      </c>
      <c r="J4597">
        <v>0.91484759095378565</v>
      </c>
      <c r="K4597">
        <v>0.93545183714001989</v>
      </c>
      <c r="L4597">
        <v>0.93459258515020593</v>
      </c>
      <c r="M4597">
        <v>0.90616427303533964</v>
      </c>
      <c r="N4597">
        <v>0.86086956521739133</v>
      </c>
      <c r="O4597">
        <v>0.90241641073187695</v>
      </c>
      <c r="P4597">
        <v>0.89849397590361446</v>
      </c>
      <c r="Q4597">
        <v>0.91147043058781485</v>
      </c>
      <c r="R4597">
        <v>0.90306291390728477</v>
      </c>
    </row>
    <row r="4598" spans="4:19" x14ac:dyDescent="0.25">
      <c r="D4598" t="s">
        <v>118</v>
      </c>
      <c r="E4598">
        <v>2015</v>
      </c>
      <c r="F4598" t="s">
        <v>32</v>
      </c>
      <c r="G4598">
        <v>0.90627385132040905</v>
      </c>
      <c r="H4598">
        <v>0.89098418140730928</v>
      </c>
      <c r="I4598">
        <v>0.8929534726904923</v>
      </c>
      <c r="J4598">
        <v>0.88459613652287061</v>
      </c>
      <c r="K4598">
        <v>0.90194947514130808</v>
      </c>
      <c r="L4598">
        <v>0.90552338939435717</v>
      </c>
      <c r="M4598">
        <v>0.9002779708130646</v>
      </c>
    </row>
    <row r="4599" spans="4:19" x14ac:dyDescent="0.25">
      <c r="D4599" t="s">
        <v>118</v>
      </c>
      <c r="E4599">
        <v>2013</v>
      </c>
      <c r="F4599" t="s">
        <v>33</v>
      </c>
      <c r="S4599">
        <v>0.81762615921955917</v>
      </c>
    </row>
    <row r="4600" spans="4:19" x14ac:dyDescent="0.25">
      <c r="D4600" t="s">
        <v>118</v>
      </c>
      <c r="E4600">
        <v>2014</v>
      </c>
      <c r="F4600" t="s">
        <v>33</v>
      </c>
      <c r="S4600">
        <v>0.91064217052499863</v>
      </c>
    </row>
    <row r="4601" spans="4:19" x14ac:dyDescent="0.25">
      <c r="D4601" t="s">
        <v>118</v>
      </c>
      <c r="E4601">
        <v>2015</v>
      </c>
      <c r="F4601" t="s">
        <v>33</v>
      </c>
      <c r="S4601">
        <v>0.9036111978353627</v>
      </c>
    </row>
    <row r="4602" spans="4:19" x14ac:dyDescent="0.25">
      <c r="D4602" t="s">
        <v>118</v>
      </c>
      <c r="E4602">
        <v>2013</v>
      </c>
      <c r="F4602" t="s">
        <v>34</v>
      </c>
      <c r="G4602">
        <v>0.76706382978723409</v>
      </c>
      <c r="H4602">
        <v>0.77045239934758347</v>
      </c>
      <c r="I4602">
        <v>0.73755742725880546</v>
      </c>
      <c r="J4602">
        <v>0.87304094277730526</v>
      </c>
      <c r="K4602">
        <v>0.9062538095818603</v>
      </c>
      <c r="L4602">
        <v>0.86154451291464529</v>
      </c>
      <c r="M4602">
        <v>0.8718882104274307</v>
      </c>
      <c r="N4602">
        <v>0.89972602739726026</v>
      </c>
      <c r="O4602">
        <v>0.91166631821032829</v>
      </c>
      <c r="P4602">
        <v>0.90538750275999114</v>
      </c>
      <c r="Q4602">
        <v>0.89817532218961338</v>
      </c>
      <c r="R4602">
        <v>0.92745270016288683</v>
      </c>
    </row>
    <row r="4603" spans="4:19" x14ac:dyDescent="0.25">
      <c r="D4603" t="s">
        <v>118</v>
      </c>
      <c r="E4603">
        <v>2014</v>
      </c>
      <c r="F4603" t="s">
        <v>34</v>
      </c>
      <c r="G4603">
        <v>0.93071643071643073</v>
      </c>
      <c r="H4603">
        <v>0.92550110068358249</v>
      </c>
      <c r="I4603">
        <v>0.91129912663755464</v>
      </c>
      <c r="J4603">
        <v>0.88347685683530675</v>
      </c>
      <c r="K4603">
        <v>0.90724591723481851</v>
      </c>
      <c r="L4603">
        <v>0.90622299049265342</v>
      </c>
      <c r="M4603">
        <v>0.90087033485764867</v>
      </c>
      <c r="N4603">
        <v>0.87151494793416195</v>
      </c>
      <c r="O4603">
        <v>0.88963449457452881</v>
      </c>
      <c r="P4603">
        <v>0.90589436825211556</v>
      </c>
      <c r="Q4603">
        <v>0.9207381370826011</v>
      </c>
      <c r="R4603">
        <v>0.90593169562612341</v>
      </c>
    </row>
    <row r="4604" spans="4:19" x14ac:dyDescent="0.25">
      <c r="D4604" t="s">
        <v>118</v>
      </c>
      <c r="E4604">
        <v>2015</v>
      </c>
      <c r="F4604" t="s">
        <v>34</v>
      </c>
      <c r="G4604">
        <v>0.90404777704047778</v>
      </c>
      <c r="H4604">
        <v>0.88189079481471777</v>
      </c>
      <c r="I4604">
        <v>0.91105193075898805</v>
      </c>
      <c r="J4604">
        <v>0.89143507232244434</v>
      </c>
      <c r="K4604">
        <v>0.90995515695067264</v>
      </c>
      <c r="L4604">
        <v>0.91919642857142858</v>
      </c>
      <c r="M4604">
        <v>0.90961677512653649</v>
      </c>
    </row>
    <row r="4605" spans="4:19" x14ac:dyDescent="0.25">
      <c r="D4605" t="s">
        <v>119</v>
      </c>
      <c r="E4605">
        <v>2013</v>
      </c>
      <c r="F4605" t="s">
        <v>17</v>
      </c>
      <c r="S4605">
        <v>0.97638295170779188</v>
      </c>
    </row>
    <row r="4606" spans="4:19" x14ac:dyDescent="0.25">
      <c r="D4606" t="s">
        <v>119</v>
      </c>
      <c r="E4606">
        <v>2014</v>
      </c>
      <c r="F4606" t="s">
        <v>17</v>
      </c>
      <c r="S4606">
        <v>0.97196010310433711</v>
      </c>
    </row>
    <row r="4607" spans="4:19" x14ac:dyDescent="0.25">
      <c r="D4607" t="s">
        <v>119</v>
      </c>
      <c r="E4607">
        <v>2015</v>
      </c>
      <c r="F4607" t="s">
        <v>17</v>
      </c>
      <c r="S4607">
        <v>0.95676236596333453</v>
      </c>
    </row>
    <row r="4608" spans="4:19" x14ac:dyDescent="0.25">
      <c r="D4608" t="s">
        <v>119</v>
      </c>
      <c r="E4608">
        <v>2013</v>
      </c>
      <c r="F4608" t="s">
        <v>18</v>
      </c>
      <c r="G4608">
        <v>0.97464440321583179</v>
      </c>
      <c r="H4608">
        <v>0.97238976008577938</v>
      </c>
      <c r="I4608">
        <v>0.96222837975791164</v>
      </c>
      <c r="J4608">
        <v>0.98124428179322964</v>
      </c>
      <c r="K4608">
        <v>0.98018075154590134</v>
      </c>
      <c r="L4608">
        <v>0.98310267138719021</v>
      </c>
      <c r="M4608">
        <v>0.98388773388773387</v>
      </c>
      <c r="N4608">
        <v>0.96929238985313748</v>
      </c>
      <c r="O4608">
        <v>0.97486721077859828</v>
      </c>
      <c r="P4608">
        <v>0.98208512931034486</v>
      </c>
      <c r="Q4608">
        <v>0.9397934868943606</v>
      </c>
      <c r="R4608">
        <v>0.9687006006955422</v>
      </c>
    </row>
    <row r="4609" spans="4:19" x14ac:dyDescent="0.25">
      <c r="D4609" t="s">
        <v>119</v>
      </c>
      <c r="E4609">
        <v>2014</v>
      </c>
      <c r="F4609" t="s">
        <v>18</v>
      </c>
      <c r="G4609">
        <v>0.99018497546243867</v>
      </c>
      <c r="H4609">
        <v>0.97073757349011225</v>
      </c>
      <c r="I4609">
        <v>0.97501591343093574</v>
      </c>
      <c r="J4609">
        <v>0.97877813504823152</v>
      </c>
      <c r="K4609">
        <v>0.95818878948329378</v>
      </c>
      <c r="L4609">
        <v>0.96044388759620547</v>
      </c>
      <c r="M4609">
        <v>0.9617165242165242</v>
      </c>
      <c r="N4609">
        <v>0.97231767850324546</v>
      </c>
      <c r="O4609">
        <v>0.95005442012335228</v>
      </c>
      <c r="P4609">
        <v>0.95349766822118587</v>
      </c>
      <c r="Q4609">
        <v>0.9732142857142857</v>
      </c>
      <c r="R4609">
        <v>0.9330220576396715</v>
      </c>
    </row>
    <row r="4610" spans="4:19" x14ac:dyDescent="0.25">
      <c r="D4610" t="s">
        <v>119</v>
      </c>
      <c r="E4610">
        <v>2015</v>
      </c>
      <c r="F4610" t="s">
        <v>18</v>
      </c>
      <c r="G4610">
        <v>0.93167227147661269</v>
      </c>
      <c r="H4610">
        <v>0.94</v>
      </c>
      <c r="I4610">
        <v>0.95289691497366436</v>
      </c>
      <c r="J4610">
        <v>0.97245530828164906</v>
      </c>
      <c r="K4610">
        <v>0.97260560434964449</v>
      </c>
      <c r="L4610">
        <v>0.96454849498327755</v>
      </c>
      <c r="M4610">
        <v>0.97270763793441983</v>
      </c>
    </row>
    <row r="4611" spans="4:19" x14ac:dyDescent="0.25">
      <c r="D4611" t="s">
        <v>119</v>
      </c>
      <c r="E4611">
        <v>2013</v>
      </c>
      <c r="F4611" t="s">
        <v>19</v>
      </c>
      <c r="S4611">
        <v>0.85005275988793072</v>
      </c>
    </row>
    <row r="4612" spans="4:19" x14ac:dyDescent="0.25">
      <c r="D4612" t="s">
        <v>119</v>
      </c>
      <c r="E4612">
        <v>2014</v>
      </c>
      <c r="F4612" t="s">
        <v>19</v>
      </c>
      <c r="S4612">
        <v>0.96288089545308275</v>
      </c>
    </row>
    <row r="4613" spans="4:19" x14ac:dyDescent="0.25">
      <c r="D4613" t="s">
        <v>119</v>
      </c>
      <c r="E4613">
        <v>2015</v>
      </c>
      <c r="F4613" t="s">
        <v>19</v>
      </c>
      <c r="S4613">
        <v>0.95880838543582203</v>
      </c>
    </row>
    <row r="4614" spans="4:19" x14ac:dyDescent="0.25">
      <c r="D4614" t="s">
        <v>119</v>
      </c>
      <c r="E4614">
        <v>2013</v>
      </c>
      <c r="F4614" t="s">
        <v>20</v>
      </c>
      <c r="G4614">
        <v>0.74288600412654748</v>
      </c>
      <c r="H4614">
        <v>0.99678378378378374</v>
      </c>
      <c r="I4614">
        <v>0.91355236139630391</v>
      </c>
      <c r="J4614">
        <v>0.65998798437969364</v>
      </c>
      <c r="K4614">
        <v>0.71593117237883352</v>
      </c>
      <c r="L4614">
        <v>0.98907447872301024</v>
      </c>
      <c r="M4614">
        <v>0.98941908102213449</v>
      </c>
      <c r="N4614">
        <v>0.98870605833956615</v>
      </c>
      <c r="O4614">
        <v>0.96965802589098204</v>
      </c>
      <c r="P4614">
        <v>0.99358142552599871</v>
      </c>
      <c r="Q4614">
        <v>0.9629388008698353</v>
      </c>
      <c r="R4614">
        <v>0.97484033863062525</v>
      </c>
    </row>
    <row r="4615" spans="4:19" x14ac:dyDescent="0.25">
      <c r="D4615" t="s">
        <v>119</v>
      </c>
      <c r="E4615">
        <v>2014</v>
      </c>
      <c r="F4615" t="s">
        <v>20</v>
      </c>
      <c r="G4615">
        <v>0.99808206041509695</v>
      </c>
      <c r="H4615">
        <v>0.99876918027406247</v>
      </c>
      <c r="I4615">
        <v>0.98894418367923997</v>
      </c>
      <c r="J4615">
        <v>0.93801304659945695</v>
      </c>
      <c r="K4615">
        <v>0.86542379159207361</v>
      </c>
      <c r="L4615">
        <v>0.97470735108142292</v>
      </c>
      <c r="M4615">
        <v>0.9574868867186368</v>
      </c>
      <c r="N4615">
        <v>0.84136127387691595</v>
      </c>
      <c r="O4615">
        <v>0.85976849467320882</v>
      </c>
      <c r="P4615">
        <v>0.90663819875776397</v>
      </c>
      <c r="Q4615">
        <v>0.8590414336400265</v>
      </c>
      <c r="R4615">
        <v>0.94026442002689881</v>
      </c>
    </row>
    <row r="4616" spans="4:19" x14ac:dyDescent="0.25">
      <c r="D4616" t="s">
        <v>119</v>
      </c>
      <c r="E4616">
        <v>2015</v>
      </c>
      <c r="F4616" t="s">
        <v>20</v>
      </c>
      <c r="G4616">
        <v>0.89508933393825485</v>
      </c>
      <c r="H4616">
        <v>0.99089436856418245</v>
      </c>
      <c r="I4616">
        <v>0.97048431169320648</v>
      </c>
      <c r="J4616">
        <v>0.92442947013766419</v>
      </c>
      <c r="K4616">
        <v>0.96596883971484793</v>
      </c>
      <c r="L4616">
        <v>0.99066670094875686</v>
      </c>
      <c r="M4616">
        <v>0.99015817223198599</v>
      </c>
    </row>
    <row r="4617" spans="4:19" x14ac:dyDescent="0.25">
      <c r="D4617" t="s">
        <v>119</v>
      </c>
      <c r="E4617">
        <v>2013</v>
      </c>
      <c r="F4617" t="s">
        <v>21</v>
      </c>
      <c r="S4617">
        <v>0.98445770230992813</v>
      </c>
    </row>
    <row r="4618" spans="4:19" x14ac:dyDescent="0.25">
      <c r="D4618" t="s">
        <v>119</v>
      </c>
      <c r="E4618">
        <v>2014</v>
      </c>
      <c r="F4618" t="s">
        <v>21</v>
      </c>
      <c r="S4618">
        <v>0.99649788803935202</v>
      </c>
    </row>
    <row r="4619" spans="4:19" x14ac:dyDescent="0.25">
      <c r="D4619" t="s">
        <v>119</v>
      </c>
      <c r="E4619">
        <v>2015</v>
      </c>
      <c r="F4619" t="s">
        <v>21</v>
      </c>
      <c r="S4619">
        <v>0.89142857142857146</v>
      </c>
    </row>
    <row r="4620" spans="4:19" x14ac:dyDescent="0.25">
      <c r="D4620" t="s">
        <v>119</v>
      </c>
      <c r="E4620">
        <v>2013</v>
      </c>
      <c r="F4620" t="s">
        <v>22</v>
      </c>
      <c r="G4620">
        <v>0.98406219630709424</v>
      </c>
      <c r="H4620">
        <v>0.9833059017164355</v>
      </c>
      <c r="I4620">
        <v>0.98529996027016287</v>
      </c>
      <c r="J4620">
        <v>0.9895620139173148</v>
      </c>
      <c r="K4620">
        <v>0.97743055555555558</v>
      </c>
      <c r="L4620">
        <v>0.98335089567966283</v>
      </c>
      <c r="M4620">
        <v>0.98586914440572981</v>
      </c>
      <c r="N4620">
        <v>0.99298948422633948</v>
      </c>
      <c r="O4620">
        <v>0.99007337073802326</v>
      </c>
      <c r="P4620">
        <v>0.99039286326985765</v>
      </c>
      <c r="Q4620">
        <v>0.99190194790982711</v>
      </c>
      <c r="R4620">
        <v>0.97612428454619793</v>
      </c>
    </row>
    <row r="4621" spans="4:19" x14ac:dyDescent="0.25">
      <c r="D4621" t="s">
        <v>119</v>
      </c>
      <c r="E4621">
        <v>2014</v>
      </c>
      <c r="F4621" t="s">
        <v>22</v>
      </c>
      <c r="G4621">
        <v>0.99800829875518671</v>
      </c>
      <c r="H4621">
        <v>0.99694248041276512</v>
      </c>
      <c r="I4621">
        <v>0.99673579109062982</v>
      </c>
      <c r="J4621">
        <v>0.99684321290775169</v>
      </c>
      <c r="K4621">
        <v>0.993072625698324</v>
      </c>
      <c r="L4621">
        <v>0.9963754292254865</v>
      </c>
      <c r="M4621">
        <v>0.9967397210650244</v>
      </c>
      <c r="N4621">
        <v>0.99671669793621009</v>
      </c>
      <c r="O4621">
        <v>0.73414126112478695</v>
      </c>
      <c r="P4621">
        <v>0.86690186016677362</v>
      </c>
      <c r="Q4621">
        <v>0.9895353704478862</v>
      </c>
      <c r="R4621">
        <v>0.97521170130869905</v>
      </c>
    </row>
    <row r="4622" spans="4:19" x14ac:dyDescent="0.25">
      <c r="D4622" t="s">
        <v>119</v>
      </c>
      <c r="E4622">
        <v>2015</v>
      </c>
      <c r="F4622" t="s">
        <v>22</v>
      </c>
      <c r="G4622">
        <v>0.95491433724075747</v>
      </c>
      <c r="H4622">
        <v>0.87935889105479748</v>
      </c>
      <c r="I4622">
        <v>0.72884893241290738</v>
      </c>
      <c r="J4622">
        <v>0.88258973498825899</v>
      </c>
      <c r="K4622">
        <v>0.98879103282626102</v>
      </c>
      <c r="L4622">
        <v>0.94810344827586202</v>
      </c>
      <c r="M4622">
        <v>0.87141138043665123</v>
      </c>
    </row>
    <row r="4623" spans="4:19" x14ac:dyDescent="0.25">
      <c r="D4623" t="s">
        <v>119</v>
      </c>
      <c r="E4623">
        <v>2013</v>
      </c>
      <c r="F4623" t="s">
        <v>23</v>
      </c>
      <c r="S4623">
        <v>63714</v>
      </c>
    </row>
    <row r="4624" spans="4:19" x14ac:dyDescent="0.25">
      <c r="D4624" t="s">
        <v>119</v>
      </c>
      <c r="E4624">
        <v>2014</v>
      </c>
      <c r="F4624" t="s">
        <v>23</v>
      </c>
      <c r="S4624">
        <v>54438</v>
      </c>
    </row>
    <row r="4625" spans="4:19" x14ac:dyDescent="0.25">
      <c r="D4625" t="s">
        <v>119</v>
      </c>
      <c r="E4625">
        <v>2015</v>
      </c>
      <c r="F4625" t="s">
        <v>23</v>
      </c>
      <c r="S4625">
        <v>54775</v>
      </c>
    </row>
    <row r="4626" spans="4:19" x14ac:dyDescent="0.25">
      <c r="D4626" t="s">
        <v>119</v>
      </c>
      <c r="E4626">
        <v>2013</v>
      </c>
      <c r="F4626" t="s">
        <v>24</v>
      </c>
      <c r="G4626">
        <v>11284</v>
      </c>
      <c r="H4626">
        <v>10407</v>
      </c>
      <c r="I4626">
        <v>9369</v>
      </c>
      <c r="J4626">
        <v>8638</v>
      </c>
      <c r="K4626">
        <v>7754</v>
      </c>
      <c r="L4626">
        <v>7431</v>
      </c>
      <c r="M4626">
        <v>8831</v>
      </c>
      <c r="N4626">
        <v>8577</v>
      </c>
      <c r="O4626">
        <v>9500</v>
      </c>
      <c r="P4626">
        <v>9629</v>
      </c>
      <c r="Q4626">
        <v>8679</v>
      </c>
      <c r="R4626">
        <v>8764</v>
      </c>
    </row>
    <row r="4627" spans="4:19" x14ac:dyDescent="0.25">
      <c r="D4627" t="s">
        <v>119</v>
      </c>
      <c r="E4627">
        <v>2014</v>
      </c>
      <c r="F4627" t="s">
        <v>24</v>
      </c>
      <c r="G4627">
        <v>10203</v>
      </c>
      <c r="H4627">
        <v>10831</v>
      </c>
      <c r="J4627">
        <v>8247</v>
      </c>
      <c r="K4627">
        <v>7808</v>
      </c>
      <c r="L4627">
        <v>7825</v>
      </c>
      <c r="M4627">
        <v>9524</v>
      </c>
      <c r="N4627">
        <v>9717</v>
      </c>
      <c r="O4627">
        <v>12968</v>
      </c>
      <c r="P4627">
        <v>10552</v>
      </c>
      <c r="Q4627">
        <v>8832</v>
      </c>
      <c r="R4627">
        <v>9437</v>
      </c>
    </row>
    <row r="4628" spans="4:19" x14ac:dyDescent="0.25">
      <c r="D4628" t="s">
        <v>119</v>
      </c>
      <c r="E4628">
        <v>2015</v>
      </c>
      <c r="F4628" t="s">
        <v>24</v>
      </c>
      <c r="G4628">
        <v>9890</v>
      </c>
      <c r="H4628">
        <v>9409</v>
      </c>
      <c r="I4628">
        <v>9103</v>
      </c>
      <c r="J4628">
        <v>8203</v>
      </c>
      <c r="L4628">
        <v>8687</v>
      </c>
      <c r="M4628">
        <v>9483</v>
      </c>
    </row>
    <row r="4629" spans="4:19" x14ac:dyDescent="0.25">
      <c r="D4629" t="s">
        <v>119</v>
      </c>
      <c r="E4629">
        <v>2013</v>
      </c>
      <c r="F4629" t="s">
        <v>25</v>
      </c>
      <c r="S4629">
        <v>181190</v>
      </c>
    </row>
    <row r="4630" spans="4:19" x14ac:dyDescent="0.25">
      <c r="D4630" t="s">
        <v>119</v>
      </c>
      <c r="E4630">
        <v>2014</v>
      </c>
      <c r="F4630" t="s">
        <v>25</v>
      </c>
      <c r="S4630">
        <v>140555</v>
      </c>
    </row>
    <row r="4631" spans="4:19" x14ac:dyDescent="0.25">
      <c r="D4631" t="s">
        <v>119</v>
      </c>
      <c r="E4631">
        <v>2015</v>
      </c>
      <c r="F4631" t="s">
        <v>25</v>
      </c>
      <c r="S4631">
        <v>180219</v>
      </c>
    </row>
    <row r="4632" spans="4:19" x14ac:dyDescent="0.25">
      <c r="D4632" t="s">
        <v>119</v>
      </c>
      <c r="E4632">
        <v>2013</v>
      </c>
      <c r="F4632" t="s">
        <v>26</v>
      </c>
      <c r="G4632">
        <v>29930</v>
      </c>
      <c r="H4632">
        <v>26793</v>
      </c>
      <c r="I4632">
        <v>25092</v>
      </c>
      <c r="J4632">
        <v>24206</v>
      </c>
      <c r="K4632">
        <v>23176</v>
      </c>
      <c r="L4632">
        <v>23195</v>
      </c>
      <c r="M4632">
        <v>28798</v>
      </c>
      <c r="N4632">
        <v>24467</v>
      </c>
      <c r="O4632">
        <v>34398</v>
      </c>
      <c r="P4632">
        <v>35396</v>
      </c>
      <c r="Q4632">
        <v>32357</v>
      </c>
      <c r="R4632">
        <v>31013</v>
      </c>
    </row>
    <row r="4633" spans="4:19" x14ac:dyDescent="0.25">
      <c r="D4633" t="s">
        <v>119</v>
      </c>
      <c r="E4633">
        <v>2014</v>
      </c>
      <c r="F4633" t="s">
        <v>26</v>
      </c>
      <c r="G4633">
        <v>32866</v>
      </c>
      <c r="H4633">
        <v>29761</v>
      </c>
      <c r="J4633">
        <v>25465</v>
      </c>
      <c r="L4633">
        <v>24434</v>
      </c>
      <c r="M4633">
        <v>28029</v>
      </c>
      <c r="N4633">
        <v>26478</v>
      </c>
      <c r="O4633">
        <v>34624</v>
      </c>
      <c r="P4633">
        <v>33015</v>
      </c>
      <c r="Q4633">
        <v>33254</v>
      </c>
      <c r="R4633">
        <v>34615</v>
      </c>
    </row>
    <row r="4634" spans="4:19" x14ac:dyDescent="0.25">
      <c r="D4634" t="s">
        <v>119</v>
      </c>
      <c r="E4634">
        <v>2015</v>
      </c>
      <c r="F4634" t="s">
        <v>26</v>
      </c>
      <c r="G4634">
        <v>32376</v>
      </c>
      <c r="H4634">
        <v>27961</v>
      </c>
      <c r="I4634">
        <v>31203</v>
      </c>
      <c r="J4634">
        <v>28602</v>
      </c>
      <c r="L4634">
        <v>30157</v>
      </c>
      <c r="M4634">
        <v>29920</v>
      </c>
    </row>
    <row r="4635" spans="4:19" x14ac:dyDescent="0.25">
      <c r="D4635" t="s">
        <v>119</v>
      </c>
      <c r="E4635">
        <v>2013</v>
      </c>
      <c r="F4635" t="s">
        <v>27</v>
      </c>
      <c r="S4635">
        <v>363239</v>
      </c>
    </row>
    <row r="4636" spans="4:19" x14ac:dyDescent="0.25">
      <c r="D4636" t="s">
        <v>119</v>
      </c>
      <c r="E4636">
        <v>2014</v>
      </c>
      <c r="F4636" t="s">
        <v>27</v>
      </c>
      <c r="S4636">
        <v>335486</v>
      </c>
    </row>
    <row r="4637" spans="4:19" x14ac:dyDescent="0.25">
      <c r="D4637" t="s">
        <v>119</v>
      </c>
      <c r="E4637">
        <v>2015</v>
      </c>
      <c r="F4637" t="s">
        <v>27</v>
      </c>
      <c r="S4637">
        <v>361203</v>
      </c>
    </row>
    <row r="4638" spans="4:19" x14ac:dyDescent="0.25">
      <c r="D4638" t="s">
        <v>119</v>
      </c>
      <c r="E4638">
        <v>2013</v>
      </c>
      <c r="F4638" t="s">
        <v>28</v>
      </c>
      <c r="G4638">
        <v>61194</v>
      </c>
      <c r="H4638">
        <v>56306</v>
      </c>
      <c r="I4638">
        <v>53263</v>
      </c>
      <c r="J4638">
        <v>49114</v>
      </c>
      <c r="K4638">
        <v>47366</v>
      </c>
      <c r="L4638">
        <v>43584</v>
      </c>
      <c r="M4638">
        <v>52412</v>
      </c>
      <c r="N4638">
        <v>41881</v>
      </c>
      <c r="O4638">
        <v>55748</v>
      </c>
      <c r="P4638">
        <v>59690</v>
      </c>
      <c r="Q4638">
        <v>52884</v>
      </c>
      <c r="R4638">
        <v>53037</v>
      </c>
    </row>
    <row r="4639" spans="4:19" x14ac:dyDescent="0.25">
      <c r="D4639" t="s">
        <v>119</v>
      </c>
      <c r="E4639">
        <v>2014</v>
      </c>
      <c r="F4639" t="s">
        <v>28</v>
      </c>
      <c r="G4639">
        <v>58169</v>
      </c>
      <c r="H4639">
        <v>53707</v>
      </c>
      <c r="I4639">
        <v>46969</v>
      </c>
      <c r="J4639">
        <v>45016</v>
      </c>
      <c r="K4639">
        <v>41178</v>
      </c>
      <c r="L4639">
        <v>41993</v>
      </c>
      <c r="M4639">
        <v>48454</v>
      </c>
      <c r="N4639">
        <v>43516</v>
      </c>
      <c r="O4639">
        <v>57538</v>
      </c>
      <c r="P4639">
        <v>55478</v>
      </c>
      <c r="Q4639">
        <v>54417</v>
      </c>
      <c r="R4639">
        <v>59908</v>
      </c>
    </row>
    <row r="4640" spans="4:19" x14ac:dyDescent="0.25">
      <c r="D4640" t="s">
        <v>119</v>
      </c>
      <c r="E4640">
        <v>2015</v>
      </c>
      <c r="F4640" t="s">
        <v>28</v>
      </c>
      <c r="G4640">
        <v>54140</v>
      </c>
      <c r="H4640">
        <v>51118</v>
      </c>
      <c r="I4640">
        <v>56212</v>
      </c>
      <c r="J4640">
        <v>50571</v>
      </c>
      <c r="K4640">
        <v>43048</v>
      </c>
      <c r="L4640">
        <v>53418</v>
      </c>
      <c r="M4640">
        <v>52696</v>
      </c>
    </row>
    <row r="4641" spans="4:19" x14ac:dyDescent="0.25">
      <c r="D4641" t="s">
        <v>119</v>
      </c>
      <c r="E4641">
        <v>2013</v>
      </c>
      <c r="F4641" t="s">
        <v>29</v>
      </c>
      <c r="S4641">
        <v>47254</v>
      </c>
    </row>
    <row r="4642" spans="4:19" x14ac:dyDescent="0.25">
      <c r="D4642" t="s">
        <v>119</v>
      </c>
      <c r="E4642">
        <v>2014</v>
      </c>
      <c r="F4642" t="s">
        <v>29</v>
      </c>
      <c r="S4642">
        <v>44615</v>
      </c>
    </row>
    <row r="4643" spans="4:19" x14ac:dyDescent="0.25">
      <c r="D4643" t="s">
        <v>119</v>
      </c>
      <c r="E4643">
        <v>2015</v>
      </c>
      <c r="F4643" t="s">
        <v>29</v>
      </c>
      <c r="S4643">
        <v>40474</v>
      </c>
    </row>
    <row r="4644" spans="4:19" x14ac:dyDescent="0.25">
      <c r="D4644" t="s">
        <v>119</v>
      </c>
      <c r="E4644">
        <v>2013</v>
      </c>
      <c r="F4644" t="s">
        <v>30</v>
      </c>
      <c r="G4644">
        <v>8085</v>
      </c>
      <c r="H4644">
        <v>7461</v>
      </c>
      <c r="I4644">
        <v>6857</v>
      </c>
      <c r="J4644">
        <v>6558</v>
      </c>
      <c r="K4644">
        <v>6307</v>
      </c>
      <c r="L4644">
        <v>6214</v>
      </c>
      <c r="M4644">
        <v>5772</v>
      </c>
      <c r="N4644">
        <v>5243</v>
      </c>
      <c r="O4644">
        <v>7719</v>
      </c>
      <c r="P4644">
        <v>7424</v>
      </c>
      <c r="Q4644">
        <v>6295</v>
      </c>
      <c r="R4644">
        <v>6326</v>
      </c>
    </row>
    <row r="4645" spans="4:19" x14ac:dyDescent="0.25">
      <c r="D4645" t="s">
        <v>119</v>
      </c>
      <c r="E4645">
        <v>2014</v>
      </c>
      <c r="F4645" t="s">
        <v>30</v>
      </c>
      <c r="G4645">
        <v>7947</v>
      </c>
      <c r="H4645">
        <v>7484</v>
      </c>
      <c r="I4645">
        <v>6284</v>
      </c>
      <c r="J4645">
        <v>6220</v>
      </c>
      <c r="K4645">
        <v>5477</v>
      </c>
      <c r="L4645">
        <v>5587</v>
      </c>
      <c r="M4645">
        <v>5616</v>
      </c>
      <c r="N4645">
        <v>5238</v>
      </c>
      <c r="O4645">
        <v>8269</v>
      </c>
      <c r="P4645">
        <v>7505</v>
      </c>
      <c r="Q4645">
        <v>7056</v>
      </c>
      <c r="R4645">
        <v>6211</v>
      </c>
    </row>
    <row r="4646" spans="4:19" x14ac:dyDescent="0.25">
      <c r="D4646" t="s">
        <v>119</v>
      </c>
      <c r="E4646">
        <v>2015</v>
      </c>
      <c r="F4646" t="s">
        <v>30</v>
      </c>
      <c r="G4646">
        <v>6542</v>
      </c>
      <c r="H4646">
        <v>5950</v>
      </c>
      <c r="I4646">
        <v>6645</v>
      </c>
      <c r="J4646">
        <v>5482</v>
      </c>
      <c r="K4646">
        <v>4782</v>
      </c>
      <c r="L4646">
        <v>5980</v>
      </c>
      <c r="M4646">
        <v>5093</v>
      </c>
    </row>
    <row r="4647" spans="4:19" x14ac:dyDescent="0.25">
      <c r="D4647" t="s">
        <v>119</v>
      </c>
      <c r="E4647">
        <v>2013</v>
      </c>
      <c r="F4647" t="s">
        <v>31</v>
      </c>
      <c r="S4647">
        <v>0.83220328342279559</v>
      </c>
    </row>
    <row r="4648" spans="4:19" x14ac:dyDescent="0.25">
      <c r="D4648" t="s">
        <v>119</v>
      </c>
      <c r="E4648">
        <v>2014</v>
      </c>
      <c r="F4648" t="s">
        <v>31</v>
      </c>
      <c r="S4648">
        <v>0.93787400199996829</v>
      </c>
    </row>
    <row r="4649" spans="4:19" x14ac:dyDescent="0.25">
      <c r="D4649" t="s">
        <v>119</v>
      </c>
      <c r="E4649">
        <v>2015</v>
      </c>
      <c r="F4649" t="s">
        <v>31</v>
      </c>
      <c r="S4649">
        <v>0.89582323085378079</v>
      </c>
    </row>
    <row r="4650" spans="4:19" x14ac:dyDescent="0.25">
      <c r="D4650" t="s">
        <v>119</v>
      </c>
      <c r="E4650">
        <v>2013</v>
      </c>
      <c r="F4650" t="s">
        <v>32</v>
      </c>
      <c r="G4650">
        <v>0.81194611839773134</v>
      </c>
      <c r="H4650">
        <v>0.78687421927548762</v>
      </c>
      <c r="I4650">
        <v>0.76262141103639658</v>
      </c>
      <c r="J4650">
        <v>0.85934244037971752</v>
      </c>
      <c r="K4650">
        <v>0.87903017797265925</v>
      </c>
      <c r="L4650">
        <v>0.83434261875925175</v>
      </c>
      <c r="M4650">
        <v>0.9158645679990941</v>
      </c>
      <c r="N4650">
        <v>0.93517546927830242</v>
      </c>
      <c r="O4650">
        <v>0.93</v>
      </c>
      <c r="P4650">
        <v>0.93436493924602759</v>
      </c>
      <c r="Q4650">
        <v>0.91174098398433001</v>
      </c>
      <c r="R4650">
        <v>0.94751255134641721</v>
      </c>
    </row>
    <row r="4651" spans="4:19" x14ac:dyDescent="0.25">
      <c r="D4651" t="s">
        <v>119</v>
      </c>
      <c r="E4651">
        <v>2014</v>
      </c>
      <c r="F4651" t="s">
        <v>32</v>
      </c>
      <c r="G4651">
        <v>0.96275605214152704</v>
      </c>
      <c r="H4651">
        <v>0.94497276336441693</v>
      </c>
      <c r="I4651">
        <v>0.94896648370898051</v>
      </c>
      <c r="J4651">
        <v>0.91560567479083299</v>
      </c>
      <c r="K4651">
        <v>0.94006147540983609</v>
      </c>
      <c r="L4651">
        <v>0.93789137380191689</v>
      </c>
      <c r="M4651">
        <v>0.91064678706425872</v>
      </c>
      <c r="N4651">
        <v>0.87033034887310901</v>
      </c>
      <c r="O4651">
        <v>0.90152683528685995</v>
      </c>
      <c r="P4651">
        <v>0.89708112206216828</v>
      </c>
      <c r="Q4651">
        <v>0.91281702898550721</v>
      </c>
      <c r="R4651">
        <v>0.90092190314718656</v>
      </c>
    </row>
    <row r="4652" spans="4:19" x14ac:dyDescent="0.25">
      <c r="D4652" t="s">
        <v>119</v>
      </c>
      <c r="E4652">
        <v>2015</v>
      </c>
      <c r="F4652" t="s">
        <v>32</v>
      </c>
      <c r="G4652">
        <v>0.892618806875632</v>
      </c>
      <c r="H4652">
        <v>0.89297481135083434</v>
      </c>
      <c r="I4652">
        <v>0.89486982313523011</v>
      </c>
      <c r="J4652">
        <v>0.88540777764232603</v>
      </c>
      <c r="K4652">
        <v>0.90241150754477506</v>
      </c>
      <c r="L4652">
        <v>0.90249798549556814</v>
      </c>
      <c r="M4652">
        <v>0.90087525044817041</v>
      </c>
    </row>
    <row r="4653" spans="4:19" x14ac:dyDescent="0.25">
      <c r="D4653" t="s">
        <v>119</v>
      </c>
      <c r="E4653">
        <v>2013</v>
      </c>
      <c r="F4653" t="s">
        <v>33</v>
      </c>
      <c r="S4653">
        <v>0.82616268548678973</v>
      </c>
    </row>
    <row r="4654" spans="4:19" x14ac:dyDescent="0.25">
      <c r="D4654" t="s">
        <v>119</v>
      </c>
      <c r="E4654">
        <v>2014</v>
      </c>
      <c r="F4654" t="s">
        <v>33</v>
      </c>
      <c r="S4654">
        <v>0.9147625020450455</v>
      </c>
    </row>
    <row r="4655" spans="4:19" x14ac:dyDescent="0.25">
      <c r="D4655" t="s">
        <v>119</v>
      </c>
      <c r="E4655">
        <v>2015</v>
      </c>
      <c r="F4655" t="s">
        <v>33</v>
      </c>
      <c r="S4655">
        <v>0.90551040987009901</v>
      </c>
    </row>
    <row r="4656" spans="4:19" x14ac:dyDescent="0.25">
      <c r="D4656" t="s">
        <v>119</v>
      </c>
      <c r="E4656">
        <v>2013</v>
      </c>
      <c r="F4656" t="s">
        <v>34</v>
      </c>
      <c r="G4656">
        <v>0.79337479375555275</v>
      </c>
      <c r="H4656">
        <v>0.76452097854311873</v>
      </c>
      <c r="I4656">
        <v>0.73864315600717279</v>
      </c>
      <c r="J4656">
        <v>0.87998664663662163</v>
      </c>
      <c r="K4656">
        <v>0.90085470085470087</v>
      </c>
      <c r="L4656">
        <v>0.862199244382581</v>
      </c>
      <c r="M4656">
        <v>0.89212924606462307</v>
      </c>
      <c r="N4656">
        <v>0.90410486374611931</v>
      </c>
      <c r="O4656">
        <v>0.90076108043575587</v>
      </c>
      <c r="P4656">
        <v>0.90753474762253106</v>
      </c>
      <c r="Q4656">
        <v>0.87086985839514497</v>
      </c>
      <c r="R4656">
        <v>0.92571059431524549</v>
      </c>
    </row>
    <row r="4657" spans="4:19" x14ac:dyDescent="0.25">
      <c r="D4657" t="s">
        <v>119</v>
      </c>
      <c r="E4657">
        <v>2014</v>
      </c>
      <c r="F4657" t="s">
        <v>34</v>
      </c>
      <c r="G4657">
        <v>0.94759343538822227</v>
      </c>
      <c r="H4657">
        <v>0.92121612690019827</v>
      </c>
      <c r="J4657">
        <v>0.88203389830508472</v>
      </c>
      <c r="K4657">
        <v>0.9112627986348123</v>
      </c>
      <c r="L4657">
        <v>0.91024930747922439</v>
      </c>
      <c r="M4657">
        <v>0.90510533308028085</v>
      </c>
      <c r="N4657">
        <v>0.87940746922595447</v>
      </c>
      <c r="O4657">
        <v>0.88984539704848908</v>
      </c>
      <c r="P4657">
        <v>0.90152444366567375</v>
      </c>
      <c r="Q4657">
        <v>0.92130518234165071</v>
      </c>
      <c r="R4657">
        <v>0.90829775385186562</v>
      </c>
    </row>
    <row r="4658" spans="4:19" x14ac:dyDescent="0.25">
      <c r="D4658" t="s">
        <v>119</v>
      </c>
      <c r="E4658">
        <v>2015</v>
      </c>
      <c r="F4658" t="s">
        <v>34</v>
      </c>
      <c r="G4658">
        <v>0.89517854204377156</v>
      </c>
      <c r="H4658">
        <v>0.88588214349296779</v>
      </c>
      <c r="I4658">
        <v>0.91550244066655451</v>
      </c>
      <c r="J4658">
        <v>0.89645614729756484</v>
      </c>
      <c r="L4658">
        <v>0.92041198501872656</v>
      </c>
      <c r="M4658">
        <v>0.91953619114546736</v>
      </c>
    </row>
    <row r="4659" spans="4:19" x14ac:dyDescent="0.25">
      <c r="D4659" t="s">
        <v>120</v>
      </c>
      <c r="E4659">
        <v>2013</v>
      </c>
      <c r="F4659" t="s">
        <v>17</v>
      </c>
      <c r="S4659">
        <v>0.87660773217221089</v>
      </c>
    </row>
    <row r="4660" spans="4:19" x14ac:dyDescent="0.25">
      <c r="D4660" t="s">
        <v>120</v>
      </c>
      <c r="E4660">
        <v>2014</v>
      </c>
      <c r="F4660" t="s">
        <v>17</v>
      </c>
      <c r="S4660">
        <v>0.8324000201797439</v>
      </c>
    </row>
    <row r="4661" spans="4:19" x14ac:dyDescent="0.25">
      <c r="D4661" t="s">
        <v>120</v>
      </c>
      <c r="E4661">
        <v>2015</v>
      </c>
      <c r="F4661" t="s">
        <v>17</v>
      </c>
      <c r="S4661">
        <v>0.74266654049962155</v>
      </c>
    </row>
    <row r="4662" spans="4:19" x14ac:dyDescent="0.25">
      <c r="D4662" t="s">
        <v>120</v>
      </c>
      <c r="E4662">
        <v>2013</v>
      </c>
      <c r="F4662" t="s">
        <v>18</v>
      </c>
      <c r="G4662">
        <v>0.79982931181627748</v>
      </c>
      <c r="H4662">
        <v>0.8093905227469842</v>
      </c>
      <c r="I4662">
        <v>0.865976318804906</v>
      </c>
      <c r="J4662">
        <v>0.90675412160964364</v>
      </c>
      <c r="K4662">
        <v>0.90593571287714458</v>
      </c>
      <c r="L4662">
        <v>0.93174458611617084</v>
      </c>
      <c r="M4662">
        <v>0.94775003398740199</v>
      </c>
      <c r="N4662">
        <v>0.90776226047417996</v>
      </c>
      <c r="O4662">
        <v>0.84295887550799742</v>
      </c>
      <c r="P4662">
        <v>0.9009230337275822</v>
      </c>
      <c r="Q4662">
        <v>0.84088050314465412</v>
      </c>
      <c r="R4662">
        <v>0.8573332288155523</v>
      </c>
    </row>
    <row r="4663" spans="4:19" x14ac:dyDescent="0.25">
      <c r="D4663" t="s">
        <v>120</v>
      </c>
      <c r="E4663">
        <v>2014</v>
      </c>
      <c r="F4663" t="s">
        <v>18</v>
      </c>
      <c r="G4663">
        <v>0.79504076086956521</v>
      </c>
      <c r="H4663">
        <v>0.82662823746046998</v>
      </c>
      <c r="I4663">
        <v>0.83772214294979896</v>
      </c>
      <c r="J4663">
        <v>0.86439697159666296</v>
      </c>
      <c r="K4663">
        <v>0.87346859716236502</v>
      </c>
      <c r="L4663">
        <v>0.81995372018511925</v>
      </c>
      <c r="M4663">
        <v>0.80316979373033448</v>
      </c>
      <c r="N4663">
        <v>0.85648315827598698</v>
      </c>
      <c r="O4663">
        <v>0.76611647461849885</v>
      </c>
      <c r="P4663">
        <v>0.76280172144951042</v>
      </c>
      <c r="Q4663">
        <v>0.73762454531077015</v>
      </c>
      <c r="R4663">
        <v>0.71666489869523708</v>
      </c>
    </row>
    <row r="4664" spans="4:19" x14ac:dyDescent="0.25">
      <c r="D4664" t="s">
        <v>120</v>
      </c>
      <c r="E4664">
        <v>2015</v>
      </c>
      <c r="F4664" t="s">
        <v>18</v>
      </c>
      <c r="G4664">
        <v>0.62905784075288151</v>
      </c>
      <c r="H4664">
        <v>0.75236593059936907</v>
      </c>
      <c r="I4664">
        <v>0.75273382220506879</v>
      </c>
      <c r="J4664">
        <v>0.82842481035252125</v>
      </c>
      <c r="K4664">
        <v>0.80567879325643299</v>
      </c>
      <c r="L4664">
        <v>0.78785625774473356</v>
      </c>
      <c r="M4664">
        <v>0.77682993946064938</v>
      </c>
    </row>
    <row r="4665" spans="4:19" x14ac:dyDescent="0.25">
      <c r="D4665" t="s">
        <v>120</v>
      </c>
      <c r="E4665">
        <v>2013</v>
      </c>
      <c r="F4665" t="s">
        <v>19</v>
      </c>
      <c r="S4665">
        <v>0.68482654270258447</v>
      </c>
    </row>
    <row r="4666" spans="4:19" x14ac:dyDescent="0.25">
      <c r="D4666" t="s">
        <v>120</v>
      </c>
      <c r="E4666">
        <v>2014</v>
      </c>
      <c r="F4666" t="s">
        <v>19</v>
      </c>
      <c r="S4666">
        <v>0.7992190488563613</v>
      </c>
    </row>
    <row r="4667" spans="4:19" x14ac:dyDescent="0.25">
      <c r="D4667" t="s">
        <v>120</v>
      </c>
      <c r="E4667">
        <v>2015</v>
      </c>
      <c r="F4667" t="s">
        <v>19</v>
      </c>
      <c r="S4667">
        <v>0.90686475877493267</v>
      </c>
    </row>
    <row r="4668" spans="4:19" x14ac:dyDescent="0.25">
      <c r="D4668" t="s">
        <v>120</v>
      </c>
      <c r="E4668">
        <v>2013</v>
      </c>
      <c r="F4668" t="s">
        <v>20</v>
      </c>
      <c r="G4668">
        <v>0.62730433537279118</v>
      </c>
      <c r="H4668">
        <v>0.61933264651040021</v>
      </c>
      <c r="I4668">
        <v>0.61046586934933722</v>
      </c>
      <c r="J4668">
        <v>0.6666279654785402</v>
      </c>
      <c r="K4668">
        <v>0.62132391443015322</v>
      </c>
      <c r="L4668">
        <v>0.76668754264775985</v>
      </c>
      <c r="M4668">
        <v>0.91927407504469172</v>
      </c>
      <c r="N4668">
        <v>0.89366223908918407</v>
      </c>
      <c r="O4668">
        <v>0.91125026574669987</v>
      </c>
      <c r="P4668">
        <v>0.88682138231835306</v>
      </c>
      <c r="Q4668">
        <v>0.67403405773863856</v>
      </c>
      <c r="R4668">
        <v>0.78251974602339569</v>
      </c>
    </row>
    <row r="4669" spans="4:19" x14ac:dyDescent="0.25">
      <c r="D4669" t="s">
        <v>120</v>
      </c>
      <c r="E4669">
        <v>2014</v>
      </c>
      <c r="F4669" t="s">
        <v>20</v>
      </c>
      <c r="G4669">
        <v>0.86672835820895522</v>
      </c>
      <c r="H4669">
        <v>0.81486298737769369</v>
      </c>
      <c r="I4669">
        <v>0.71324527066015819</v>
      </c>
      <c r="J4669">
        <v>0.72177649774851993</v>
      </c>
      <c r="K4669">
        <v>0.69802242095981859</v>
      </c>
      <c r="L4669">
        <v>0.79781424513933674</v>
      </c>
      <c r="M4669">
        <v>0.93952666951664787</v>
      </c>
      <c r="N4669">
        <v>0.91897115670532259</v>
      </c>
      <c r="O4669">
        <v>0.93004878924840617</v>
      </c>
      <c r="P4669">
        <v>0.86325773955948137</v>
      </c>
      <c r="Q4669">
        <v>0.78481318909204023</v>
      </c>
      <c r="R4669">
        <v>0.87899940396821985</v>
      </c>
    </row>
    <row r="4670" spans="4:19" x14ac:dyDescent="0.25">
      <c r="D4670" t="s">
        <v>120</v>
      </c>
      <c r="E4670">
        <v>2015</v>
      </c>
      <c r="F4670" t="s">
        <v>20</v>
      </c>
      <c r="G4670">
        <v>0.87021776281990793</v>
      </c>
      <c r="H4670">
        <v>0.92526498818386871</v>
      </c>
      <c r="I4670">
        <v>0.91014070989613161</v>
      </c>
      <c r="J4670">
        <v>0.93106866855388737</v>
      </c>
      <c r="K4670">
        <v>0.93501603377976406</v>
      </c>
      <c r="L4670">
        <v>0.88585466648664835</v>
      </c>
      <c r="M4670">
        <v>0.89903896635000635</v>
      </c>
    </row>
    <row r="4671" spans="4:19" x14ac:dyDescent="0.25">
      <c r="D4671" t="s">
        <v>120</v>
      </c>
      <c r="E4671">
        <v>2013</v>
      </c>
      <c r="F4671" t="s">
        <v>21</v>
      </c>
      <c r="S4671">
        <v>0.93862890871796645</v>
      </c>
    </row>
    <row r="4672" spans="4:19" x14ac:dyDescent="0.25">
      <c r="D4672" t="s">
        <v>120</v>
      </c>
      <c r="E4672">
        <v>2014</v>
      </c>
      <c r="F4672" t="s">
        <v>21</v>
      </c>
      <c r="S4672">
        <v>0.96261454973634364</v>
      </c>
    </row>
    <row r="4673" spans="4:19" x14ac:dyDescent="0.25">
      <c r="D4673" t="s">
        <v>120</v>
      </c>
      <c r="E4673">
        <v>2015</v>
      </c>
      <c r="F4673" t="s">
        <v>21</v>
      </c>
      <c r="S4673">
        <v>0.92164785040098873</v>
      </c>
    </row>
    <row r="4674" spans="4:19" x14ac:dyDescent="0.25">
      <c r="D4674" t="s">
        <v>120</v>
      </c>
      <c r="E4674">
        <v>2013</v>
      </c>
      <c r="F4674" t="s">
        <v>22</v>
      </c>
      <c r="G4674">
        <v>0.91559594693408541</v>
      </c>
      <c r="H4674">
        <v>0.92058972412047579</v>
      </c>
      <c r="I4674">
        <v>0.89435087937356283</v>
      </c>
      <c r="J4674">
        <v>0.95309568480300189</v>
      </c>
      <c r="K4674">
        <v>0.91268131552491738</v>
      </c>
      <c r="L4674">
        <v>0.98643290794201466</v>
      </c>
      <c r="M4674">
        <v>0.98359995396478306</v>
      </c>
      <c r="N4674">
        <v>0.97816735654573495</v>
      </c>
      <c r="O4674">
        <v>0.97927222478120679</v>
      </c>
      <c r="P4674">
        <v>0.96337124818359476</v>
      </c>
      <c r="Q4674">
        <v>0.9062407717295009</v>
      </c>
      <c r="R4674">
        <v>0.954526526193054</v>
      </c>
    </row>
    <row r="4675" spans="4:19" x14ac:dyDescent="0.25">
      <c r="D4675" t="s">
        <v>120</v>
      </c>
      <c r="E4675">
        <v>2014</v>
      </c>
      <c r="F4675" t="s">
        <v>22</v>
      </c>
      <c r="G4675">
        <v>0.99280602779145055</v>
      </c>
      <c r="H4675">
        <v>0.9755775254502741</v>
      </c>
      <c r="I4675">
        <v>0.97288605489326307</v>
      </c>
      <c r="J4675">
        <v>0.96243121353800321</v>
      </c>
      <c r="K4675">
        <v>0.90770301624129934</v>
      </c>
      <c r="L4675">
        <v>0.95743158647826865</v>
      </c>
      <c r="M4675">
        <v>0.96502596232244775</v>
      </c>
      <c r="N4675">
        <v>0.93078902699446975</v>
      </c>
      <c r="O4675">
        <v>0.95236192505771622</v>
      </c>
      <c r="P4675">
        <v>0.93904668479957198</v>
      </c>
      <c r="Q4675">
        <v>0.8920101637492942</v>
      </c>
      <c r="R4675">
        <v>0.91760105342963172</v>
      </c>
    </row>
    <row r="4676" spans="4:19" x14ac:dyDescent="0.25">
      <c r="D4676" t="s">
        <v>120</v>
      </c>
      <c r="E4676">
        <v>2015</v>
      </c>
      <c r="F4676" t="s">
        <v>22</v>
      </c>
      <c r="G4676">
        <v>0.91854204593872257</v>
      </c>
      <c r="H4676">
        <v>0.91318277103191869</v>
      </c>
      <c r="I4676">
        <v>0.90746320346320342</v>
      </c>
      <c r="J4676">
        <v>0.93284816407542182</v>
      </c>
      <c r="K4676">
        <v>0.92972586838110549</v>
      </c>
      <c r="L4676">
        <v>0.92850363808921232</v>
      </c>
      <c r="M4676">
        <v>0.923398928054458</v>
      </c>
    </row>
    <row r="4677" spans="4:19" x14ac:dyDescent="0.25">
      <c r="D4677" t="s">
        <v>120</v>
      </c>
      <c r="E4677">
        <v>2013</v>
      </c>
      <c r="F4677" t="s">
        <v>23</v>
      </c>
      <c r="S4677">
        <v>327956</v>
      </c>
    </row>
    <row r="4678" spans="4:19" x14ac:dyDescent="0.25">
      <c r="D4678" t="s">
        <v>120</v>
      </c>
      <c r="E4678">
        <v>2014</v>
      </c>
      <c r="F4678" t="s">
        <v>23</v>
      </c>
      <c r="S4678">
        <v>283410</v>
      </c>
    </row>
    <row r="4679" spans="4:19" x14ac:dyDescent="0.25">
      <c r="D4679" t="s">
        <v>120</v>
      </c>
      <c r="E4679">
        <v>2015</v>
      </c>
      <c r="F4679" t="s">
        <v>23</v>
      </c>
      <c r="S4679">
        <v>340596</v>
      </c>
    </row>
    <row r="4680" spans="4:19" x14ac:dyDescent="0.25">
      <c r="D4680" t="s">
        <v>120</v>
      </c>
      <c r="E4680">
        <v>2013</v>
      </c>
      <c r="F4680" t="s">
        <v>24</v>
      </c>
      <c r="G4680">
        <v>53634</v>
      </c>
      <c r="H4680">
        <v>72114</v>
      </c>
      <c r="I4680">
        <v>47065</v>
      </c>
      <c r="J4680">
        <v>36442</v>
      </c>
      <c r="K4680">
        <v>39619</v>
      </c>
      <c r="L4680">
        <v>38903</v>
      </c>
      <c r="M4680">
        <v>40179</v>
      </c>
      <c r="N4680">
        <v>38819</v>
      </c>
      <c r="O4680">
        <v>49285</v>
      </c>
      <c r="P4680">
        <v>47796</v>
      </c>
      <c r="Q4680">
        <v>40399</v>
      </c>
      <c r="R4680">
        <v>41512</v>
      </c>
    </row>
    <row r="4681" spans="4:19" x14ac:dyDescent="0.25">
      <c r="D4681" t="s">
        <v>120</v>
      </c>
      <c r="E4681">
        <v>2014</v>
      </c>
      <c r="F4681" t="s">
        <v>24</v>
      </c>
      <c r="G4681">
        <v>53131</v>
      </c>
      <c r="I4681">
        <v>49652</v>
      </c>
      <c r="J4681">
        <v>40762</v>
      </c>
      <c r="K4681">
        <v>41536</v>
      </c>
      <c r="L4681">
        <v>48851</v>
      </c>
      <c r="M4681">
        <v>49478</v>
      </c>
      <c r="N4681">
        <v>41936</v>
      </c>
      <c r="O4681">
        <v>54833</v>
      </c>
      <c r="P4681">
        <v>51299</v>
      </c>
      <c r="Q4681">
        <v>46804</v>
      </c>
      <c r="R4681">
        <v>52578</v>
      </c>
    </row>
    <row r="4682" spans="4:19" x14ac:dyDescent="0.25">
      <c r="D4682" t="s">
        <v>120</v>
      </c>
      <c r="E4682">
        <v>2015</v>
      </c>
      <c r="F4682" t="s">
        <v>24</v>
      </c>
      <c r="G4682">
        <v>55306</v>
      </c>
      <c r="H4682">
        <v>51652</v>
      </c>
      <c r="I4682">
        <v>50849</v>
      </c>
      <c r="J4682">
        <v>48861</v>
      </c>
      <c r="K4682">
        <v>38065</v>
      </c>
      <c r="L4682">
        <v>48036</v>
      </c>
      <c r="M4682">
        <v>47827</v>
      </c>
    </row>
    <row r="4683" spans="4:19" x14ac:dyDescent="0.25">
      <c r="D4683" t="s">
        <v>120</v>
      </c>
      <c r="E4683">
        <v>2013</v>
      </c>
      <c r="F4683" t="s">
        <v>25</v>
      </c>
      <c r="S4683">
        <v>741192</v>
      </c>
    </row>
    <row r="4684" spans="4:19" x14ac:dyDescent="0.25">
      <c r="D4684" t="s">
        <v>120</v>
      </c>
      <c r="E4684">
        <v>2014</v>
      </c>
      <c r="F4684" t="s">
        <v>25</v>
      </c>
      <c r="S4684">
        <v>779592</v>
      </c>
    </row>
    <row r="4685" spans="4:19" x14ac:dyDescent="0.25">
      <c r="D4685" t="s">
        <v>120</v>
      </c>
      <c r="E4685">
        <v>2015</v>
      </c>
      <c r="F4685" t="s">
        <v>25</v>
      </c>
      <c r="S4685">
        <v>856194</v>
      </c>
    </row>
    <row r="4686" spans="4:19" x14ac:dyDescent="0.25">
      <c r="D4686" t="s">
        <v>120</v>
      </c>
      <c r="E4686">
        <v>2013</v>
      </c>
      <c r="F4686" t="s">
        <v>26</v>
      </c>
      <c r="G4686">
        <v>131176</v>
      </c>
      <c r="H4686">
        <v>108221</v>
      </c>
      <c r="I4686">
        <v>101881</v>
      </c>
      <c r="J4686">
        <v>102778</v>
      </c>
      <c r="K4686">
        <v>90405</v>
      </c>
      <c r="L4686">
        <v>99508</v>
      </c>
      <c r="M4686">
        <v>107223</v>
      </c>
      <c r="N4686">
        <v>102937</v>
      </c>
      <c r="O4686">
        <v>112159</v>
      </c>
      <c r="P4686">
        <v>127320</v>
      </c>
      <c r="Q4686">
        <v>123743</v>
      </c>
      <c r="R4686">
        <v>128054</v>
      </c>
    </row>
    <row r="4687" spans="4:19" x14ac:dyDescent="0.25">
      <c r="D4687" t="s">
        <v>120</v>
      </c>
      <c r="E4687">
        <v>2014</v>
      </c>
      <c r="F4687" t="s">
        <v>26</v>
      </c>
      <c r="G4687">
        <v>136949</v>
      </c>
      <c r="H4687">
        <v>112842</v>
      </c>
      <c r="I4687">
        <v>102393</v>
      </c>
      <c r="J4687">
        <v>104719</v>
      </c>
      <c r="K4687">
        <v>95701</v>
      </c>
      <c r="L4687">
        <v>107374</v>
      </c>
      <c r="M4687">
        <v>119614</v>
      </c>
      <c r="N4687">
        <v>108012</v>
      </c>
      <c r="O4687">
        <v>119114</v>
      </c>
      <c r="P4687">
        <v>133064</v>
      </c>
      <c r="Q4687">
        <v>122873</v>
      </c>
      <c r="R4687">
        <v>155806</v>
      </c>
    </row>
    <row r="4688" spans="4:19" x14ac:dyDescent="0.25">
      <c r="D4688" t="s">
        <v>120</v>
      </c>
      <c r="E4688">
        <v>2015</v>
      </c>
      <c r="F4688" t="s">
        <v>26</v>
      </c>
      <c r="G4688">
        <v>133325</v>
      </c>
      <c r="H4688">
        <v>124476</v>
      </c>
      <c r="I4688">
        <v>123867</v>
      </c>
      <c r="J4688">
        <v>124786</v>
      </c>
      <c r="K4688">
        <v>100016</v>
      </c>
      <c r="L4688">
        <v>120251</v>
      </c>
      <c r="M4688">
        <v>129473</v>
      </c>
    </row>
    <row r="4689" spans="4:19" x14ac:dyDescent="0.25">
      <c r="D4689" t="s">
        <v>120</v>
      </c>
      <c r="E4689">
        <v>2013</v>
      </c>
      <c r="F4689" t="s">
        <v>27</v>
      </c>
      <c r="S4689">
        <v>1337380</v>
      </c>
    </row>
    <row r="4690" spans="4:19" x14ac:dyDescent="0.25">
      <c r="D4690" t="s">
        <v>120</v>
      </c>
      <c r="E4690">
        <v>2014</v>
      </c>
      <c r="F4690" t="s">
        <v>27</v>
      </c>
      <c r="S4690">
        <v>1405437</v>
      </c>
    </row>
    <row r="4691" spans="4:19" x14ac:dyDescent="0.25">
      <c r="D4691" t="s">
        <v>120</v>
      </c>
      <c r="E4691">
        <v>2015</v>
      </c>
      <c r="F4691" t="s">
        <v>27</v>
      </c>
      <c r="S4691">
        <v>1573674</v>
      </c>
    </row>
    <row r="4692" spans="4:19" x14ac:dyDescent="0.25">
      <c r="D4692" t="s">
        <v>120</v>
      </c>
      <c r="E4692">
        <v>2013</v>
      </c>
      <c r="F4692" t="s">
        <v>28</v>
      </c>
      <c r="G4692">
        <v>229086</v>
      </c>
      <c r="H4692">
        <v>200073</v>
      </c>
      <c r="I4692">
        <v>186849</v>
      </c>
      <c r="J4692">
        <v>187199</v>
      </c>
      <c r="K4692">
        <v>162529</v>
      </c>
      <c r="L4692">
        <v>180525</v>
      </c>
      <c r="M4692">
        <v>191119</v>
      </c>
      <c r="N4692">
        <v>172512</v>
      </c>
      <c r="O4692">
        <v>193544</v>
      </c>
      <c r="P4692">
        <v>233555</v>
      </c>
      <c r="Q4692">
        <v>213757</v>
      </c>
      <c r="R4692">
        <v>225550</v>
      </c>
    </row>
    <row r="4693" spans="4:19" x14ac:dyDescent="0.25">
      <c r="D4693" t="s">
        <v>120</v>
      </c>
      <c r="E4693">
        <v>2014</v>
      </c>
      <c r="F4693" t="s">
        <v>28</v>
      </c>
      <c r="G4693">
        <v>238405</v>
      </c>
      <c r="H4693">
        <v>208455</v>
      </c>
      <c r="I4693">
        <v>183841</v>
      </c>
      <c r="J4693">
        <v>195063</v>
      </c>
      <c r="K4693">
        <v>173824</v>
      </c>
      <c r="L4693">
        <v>193192</v>
      </c>
      <c r="M4693">
        <v>212657</v>
      </c>
      <c r="N4693">
        <v>187275</v>
      </c>
      <c r="O4693">
        <v>209695</v>
      </c>
      <c r="P4693">
        <v>248342</v>
      </c>
      <c r="Q4693">
        <v>218408</v>
      </c>
      <c r="R4693">
        <v>268211</v>
      </c>
    </row>
    <row r="4694" spans="4:19" x14ac:dyDescent="0.25">
      <c r="D4694" t="s">
        <v>120</v>
      </c>
      <c r="E4694">
        <v>2015</v>
      </c>
      <c r="F4694" t="s">
        <v>28</v>
      </c>
      <c r="G4694">
        <v>239571</v>
      </c>
      <c r="H4694">
        <v>233338</v>
      </c>
      <c r="I4694">
        <v>232150</v>
      </c>
      <c r="J4694">
        <v>230613</v>
      </c>
      <c r="K4694">
        <v>184598</v>
      </c>
      <c r="L4694">
        <v>220282</v>
      </c>
      <c r="M4694">
        <v>233122</v>
      </c>
    </row>
    <row r="4695" spans="4:19" x14ac:dyDescent="0.25">
      <c r="D4695" t="s">
        <v>120</v>
      </c>
      <c r="E4695">
        <v>2013</v>
      </c>
      <c r="F4695" t="s">
        <v>29</v>
      </c>
      <c r="S4695">
        <v>159386</v>
      </c>
    </row>
    <row r="4696" spans="4:19" x14ac:dyDescent="0.25">
      <c r="D4696" t="s">
        <v>120</v>
      </c>
      <c r="E4696">
        <v>2014</v>
      </c>
      <c r="F4696" t="s">
        <v>29</v>
      </c>
      <c r="S4696">
        <v>138753</v>
      </c>
    </row>
    <row r="4697" spans="4:19" x14ac:dyDescent="0.25">
      <c r="D4697" t="s">
        <v>120</v>
      </c>
      <c r="E4697">
        <v>2015</v>
      </c>
      <c r="F4697" t="s">
        <v>29</v>
      </c>
      <c r="S4697">
        <v>42272</v>
      </c>
    </row>
    <row r="4698" spans="4:19" x14ac:dyDescent="0.25">
      <c r="D4698" t="s">
        <v>120</v>
      </c>
      <c r="E4698">
        <v>2013</v>
      </c>
      <c r="F4698" t="s">
        <v>30</v>
      </c>
      <c r="G4698">
        <v>25778</v>
      </c>
      <c r="H4698">
        <v>25366</v>
      </c>
      <c r="I4698">
        <v>23563</v>
      </c>
      <c r="J4698">
        <v>22564</v>
      </c>
      <c r="K4698">
        <v>20284</v>
      </c>
      <c r="L4698">
        <v>19764</v>
      </c>
      <c r="M4698">
        <v>22067</v>
      </c>
      <c r="N4698">
        <v>18474</v>
      </c>
      <c r="O4698">
        <v>26821</v>
      </c>
      <c r="P4698">
        <v>28493</v>
      </c>
      <c r="Q4698">
        <v>25440</v>
      </c>
      <c r="R4698">
        <v>25514</v>
      </c>
    </row>
    <row r="4699" spans="4:19" x14ac:dyDescent="0.25">
      <c r="D4699" t="s">
        <v>120</v>
      </c>
      <c r="E4699">
        <v>2014</v>
      </c>
      <c r="F4699" t="s">
        <v>30</v>
      </c>
      <c r="G4699">
        <v>29440</v>
      </c>
      <c r="H4699">
        <v>24981</v>
      </c>
      <c r="I4699">
        <v>23127</v>
      </c>
      <c r="J4699">
        <v>20737</v>
      </c>
      <c r="K4699">
        <v>20651</v>
      </c>
      <c r="L4699">
        <v>11236</v>
      </c>
      <c r="M4699">
        <v>8581</v>
      </c>
      <c r="N4699">
        <v>11044</v>
      </c>
      <c r="O4699">
        <v>16055</v>
      </c>
      <c r="P4699">
        <v>16033</v>
      </c>
      <c r="Q4699">
        <v>12646</v>
      </c>
      <c r="R4699">
        <v>9427</v>
      </c>
    </row>
    <row r="4700" spans="4:19" x14ac:dyDescent="0.25">
      <c r="D4700" t="s">
        <v>120</v>
      </c>
      <c r="E4700">
        <v>2015</v>
      </c>
      <c r="F4700" t="s">
        <v>30</v>
      </c>
      <c r="G4700">
        <v>9457</v>
      </c>
      <c r="H4700">
        <v>9510</v>
      </c>
      <c r="I4700">
        <v>7773</v>
      </c>
      <c r="J4700">
        <v>4482</v>
      </c>
      <c r="K4700">
        <v>3381</v>
      </c>
      <c r="L4700">
        <v>4035</v>
      </c>
      <c r="M4700">
        <v>3634</v>
      </c>
    </row>
    <row r="4701" spans="4:19" x14ac:dyDescent="0.25">
      <c r="D4701" t="s">
        <v>120</v>
      </c>
      <c r="E4701">
        <v>2013</v>
      </c>
      <c r="F4701" t="s">
        <v>31</v>
      </c>
      <c r="S4701">
        <v>0.755887984973594</v>
      </c>
    </row>
    <row r="4702" spans="4:19" x14ac:dyDescent="0.25">
      <c r="D4702" t="s">
        <v>120</v>
      </c>
      <c r="E4702">
        <v>2014</v>
      </c>
      <c r="F4702" t="s">
        <v>31</v>
      </c>
      <c r="S4702">
        <v>0.903676807896307</v>
      </c>
    </row>
    <row r="4703" spans="4:19" x14ac:dyDescent="0.25">
      <c r="D4703" t="s">
        <v>120</v>
      </c>
      <c r="E4703">
        <v>2015</v>
      </c>
      <c r="F4703" t="s">
        <v>31</v>
      </c>
      <c r="S4703">
        <v>0.88457586113753539</v>
      </c>
    </row>
    <row r="4704" spans="4:19" x14ac:dyDescent="0.25">
      <c r="D4704" t="s">
        <v>120</v>
      </c>
      <c r="E4704">
        <v>2013</v>
      </c>
      <c r="F4704" t="s">
        <v>32</v>
      </c>
      <c r="G4704">
        <v>0.85745982026326584</v>
      </c>
      <c r="H4704">
        <v>0.55410877222176003</v>
      </c>
      <c r="I4704">
        <v>0.76483586529268033</v>
      </c>
      <c r="J4704">
        <v>0.87023214971735907</v>
      </c>
      <c r="K4704">
        <v>0.80585072818597137</v>
      </c>
      <c r="L4704">
        <v>0.74567514073464769</v>
      </c>
      <c r="M4704">
        <v>0.82889071405460568</v>
      </c>
      <c r="N4704">
        <v>0.83296839176691828</v>
      </c>
      <c r="O4704">
        <v>0.71307700111595818</v>
      </c>
      <c r="P4704">
        <v>0.79533852205205458</v>
      </c>
      <c r="Q4704">
        <v>0.92484962499071754</v>
      </c>
      <c r="R4704">
        <v>0.94548564270572366</v>
      </c>
    </row>
    <row r="4705" spans="4:19" x14ac:dyDescent="0.25">
      <c r="D4705" t="s">
        <v>120</v>
      </c>
      <c r="E4705">
        <v>2014</v>
      </c>
      <c r="F4705" t="s">
        <v>32</v>
      </c>
      <c r="G4705">
        <v>0.8883326118461915</v>
      </c>
      <c r="H4705">
        <v>0.92053958054796159</v>
      </c>
      <c r="I4705">
        <v>0.91492789817127207</v>
      </c>
      <c r="J4705">
        <v>0.9336391737402483</v>
      </c>
      <c r="K4705">
        <v>0.90071263482280428</v>
      </c>
      <c r="L4705">
        <v>0.86767926961577035</v>
      </c>
      <c r="M4705">
        <v>0.90512955252839644</v>
      </c>
      <c r="N4705">
        <v>0.92192865318580697</v>
      </c>
      <c r="O4705">
        <v>0.93600569000419453</v>
      </c>
      <c r="P4705">
        <v>0.9414023665178658</v>
      </c>
      <c r="Q4705">
        <v>0.9335954191949406</v>
      </c>
      <c r="R4705">
        <v>0.91764616379474306</v>
      </c>
    </row>
    <row r="4706" spans="4:19" x14ac:dyDescent="0.25">
      <c r="D4706" t="s">
        <v>120</v>
      </c>
      <c r="E4706">
        <v>2015</v>
      </c>
      <c r="F4706" t="s">
        <v>32</v>
      </c>
      <c r="G4706">
        <v>0.88621487722851044</v>
      </c>
      <c r="H4706">
        <v>0.90296600325253618</v>
      </c>
      <c r="I4706">
        <v>0.89386221951267475</v>
      </c>
      <c r="J4706">
        <v>0.8649024784593029</v>
      </c>
      <c r="K4706">
        <v>0.86869827925916199</v>
      </c>
      <c r="L4706">
        <v>0.89247647597635105</v>
      </c>
      <c r="M4706">
        <v>0.87774687937775731</v>
      </c>
    </row>
    <row r="4707" spans="4:19" x14ac:dyDescent="0.25">
      <c r="D4707" t="s">
        <v>120</v>
      </c>
      <c r="E4707">
        <v>2013</v>
      </c>
      <c r="F4707" t="s">
        <v>33</v>
      </c>
      <c r="S4707">
        <v>0.71687088593813086</v>
      </c>
    </row>
    <row r="4708" spans="4:19" x14ac:dyDescent="0.25">
      <c r="D4708" t="s">
        <v>120</v>
      </c>
      <c r="E4708">
        <v>2014</v>
      </c>
      <c r="F4708" t="s">
        <v>33</v>
      </c>
      <c r="S4708">
        <v>0.87706043561443925</v>
      </c>
    </row>
    <row r="4709" spans="4:19" x14ac:dyDescent="0.25">
      <c r="D4709" t="s">
        <v>120</v>
      </c>
      <c r="E4709">
        <v>2015</v>
      </c>
      <c r="F4709" t="s">
        <v>33</v>
      </c>
      <c r="S4709">
        <v>0.88790829591113207</v>
      </c>
    </row>
    <row r="4710" spans="4:19" x14ac:dyDescent="0.25">
      <c r="D4710" t="s">
        <v>120</v>
      </c>
      <c r="E4710">
        <v>2013</v>
      </c>
      <c r="F4710" t="s">
        <v>34</v>
      </c>
      <c r="G4710">
        <v>0.85850616388687451</v>
      </c>
      <c r="H4710">
        <v>0.428398395615742</v>
      </c>
      <c r="I4710">
        <v>0.75119170015889336</v>
      </c>
      <c r="J4710">
        <v>0.92669332879509869</v>
      </c>
      <c r="K4710">
        <v>0.80620095399292202</v>
      </c>
      <c r="L4710">
        <v>0.71561414646898458</v>
      </c>
      <c r="M4710">
        <v>0.76548379986775406</v>
      </c>
      <c r="N4710">
        <v>0.73967157827116869</v>
      </c>
      <c r="O4710">
        <v>0.58732891703388102</v>
      </c>
      <c r="P4710">
        <v>0.69038425017408367</v>
      </c>
      <c r="Q4710">
        <v>0.87874915132393461</v>
      </c>
      <c r="R4710">
        <v>0.911955802824573</v>
      </c>
    </row>
    <row r="4711" spans="4:19" x14ac:dyDescent="0.25">
      <c r="D4711" t="s">
        <v>120</v>
      </c>
      <c r="E4711">
        <v>2014</v>
      </c>
      <c r="F4711" t="s">
        <v>34</v>
      </c>
      <c r="G4711">
        <v>0.83259501707062444</v>
      </c>
      <c r="I4711">
        <v>0.85987261146496818</v>
      </c>
      <c r="J4711">
        <v>0.90398949385958682</v>
      </c>
      <c r="K4711">
        <v>0.85154787616990646</v>
      </c>
      <c r="L4711">
        <v>0.86461145049012644</v>
      </c>
      <c r="M4711">
        <v>0.97536743575006157</v>
      </c>
      <c r="N4711">
        <v>0.97349979115422103</v>
      </c>
      <c r="O4711">
        <v>0.96656626506024101</v>
      </c>
      <c r="P4711">
        <v>0.98723534357563247</v>
      </c>
      <c r="Q4711">
        <v>0.9633285743422394</v>
      </c>
      <c r="R4711">
        <v>0.9336855466739854</v>
      </c>
    </row>
    <row r="4712" spans="4:19" x14ac:dyDescent="0.25">
      <c r="D4712" t="s">
        <v>120</v>
      </c>
      <c r="E4712">
        <v>2015</v>
      </c>
      <c r="F4712" t="s">
        <v>34</v>
      </c>
      <c r="G4712">
        <v>0.87761268417281879</v>
      </c>
      <c r="H4712">
        <v>0.91182070730717613</v>
      </c>
      <c r="I4712">
        <v>0.91812993854258118</v>
      </c>
      <c r="J4712">
        <v>0.86319788569540801</v>
      </c>
      <c r="K4712">
        <v>0.86617845599967269</v>
      </c>
      <c r="L4712">
        <v>0.90041360736156983</v>
      </c>
      <c r="M4712">
        <v>0.87067801188546734</v>
      </c>
    </row>
    <row r="4713" spans="4:19" x14ac:dyDescent="0.25">
      <c r="D4713" t="s">
        <v>121</v>
      </c>
      <c r="E4713">
        <v>2013</v>
      </c>
      <c r="F4713" t="s">
        <v>17</v>
      </c>
      <c r="S4713">
        <v>0.84013679296493327</v>
      </c>
    </row>
    <row r="4714" spans="4:19" x14ac:dyDescent="0.25">
      <c r="D4714" t="s">
        <v>121</v>
      </c>
      <c r="E4714">
        <v>2014</v>
      </c>
      <c r="F4714" t="s">
        <v>17</v>
      </c>
      <c r="S4714">
        <v>0.88390930667433831</v>
      </c>
    </row>
    <row r="4715" spans="4:19" x14ac:dyDescent="0.25">
      <c r="D4715" t="s">
        <v>121</v>
      </c>
      <c r="E4715">
        <v>2015</v>
      </c>
      <c r="F4715" t="s">
        <v>17</v>
      </c>
      <c r="S4715">
        <v>0.95558981557117706</v>
      </c>
    </row>
    <row r="4716" spans="4:19" x14ac:dyDescent="0.25">
      <c r="D4716" t="s">
        <v>121</v>
      </c>
      <c r="E4716">
        <v>2013</v>
      </c>
      <c r="F4716" t="s">
        <v>18</v>
      </c>
      <c r="G4716">
        <v>0.79661661281125262</v>
      </c>
      <c r="H4716">
        <v>0.79767200474495847</v>
      </c>
      <c r="I4716">
        <v>0.85284788305061365</v>
      </c>
      <c r="J4716">
        <v>0.86182447038478172</v>
      </c>
      <c r="K4716">
        <v>0.84106010268800968</v>
      </c>
      <c r="L4716">
        <v>0.86234465289321616</v>
      </c>
      <c r="M4716">
        <v>0.88893988067921059</v>
      </c>
      <c r="N4716">
        <v>0.83261141592068533</v>
      </c>
      <c r="O4716">
        <v>0.88553473235327129</v>
      </c>
      <c r="P4716">
        <v>0.9277215414668798</v>
      </c>
      <c r="Q4716">
        <v>0.91552456033959972</v>
      </c>
      <c r="R4716">
        <v>0.89132310960632011</v>
      </c>
    </row>
    <row r="4717" spans="4:19" x14ac:dyDescent="0.25">
      <c r="D4717" t="s">
        <v>121</v>
      </c>
      <c r="E4717">
        <v>2014</v>
      </c>
      <c r="F4717" t="s">
        <v>18</v>
      </c>
      <c r="G4717">
        <v>0.88382721509656492</v>
      </c>
      <c r="H4717">
        <v>0.88649020712095616</v>
      </c>
      <c r="I4717">
        <v>0.8838421444527178</v>
      </c>
      <c r="J4717">
        <v>0.86856524386119194</v>
      </c>
      <c r="K4717">
        <v>0.84507973836995665</v>
      </c>
      <c r="L4717">
        <v>0.90649643259481782</v>
      </c>
      <c r="M4717">
        <v>0.90858648911083373</v>
      </c>
      <c r="N4717">
        <v>0.83358345839586456</v>
      </c>
      <c r="O4717">
        <v>0.85071900047147575</v>
      </c>
      <c r="P4717">
        <v>0.86481126462616509</v>
      </c>
      <c r="Q4717">
        <v>0.90821749795584628</v>
      </c>
      <c r="R4717">
        <v>0.87736415490843589</v>
      </c>
    </row>
    <row r="4718" spans="4:19" x14ac:dyDescent="0.25">
      <c r="D4718" t="s">
        <v>121</v>
      </c>
      <c r="E4718">
        <v>2015</v>
      </c>
      <c r="F4718" t="s">
        <v>18</v>
      </c>
      <c r="G4718">
        <v>0.93601462522851919</v>
      </c>
      <c r="H4718">
        <v>0.9560929048679605</v>
      </c>
      <c r="I4718">
        <v>0.95659232675382377</v>
      </c>
      <c r="J4718">
        <v>0.93461752176328949</v>
      </c>
      <c r="K4718">
        <v>0.95664428417474923</v>
      </c>
      <c r="L4718">
        <v>0.97000392618767173</v>
      </c>
      <c r="M4718">
        <v>0.97651634133572662</v>
      </c>
    </row>
    <row r="4719" spans="4:19" x14ac:dyDescent="0.25">
      <c r="D4719" t="s">
        <v>121</v>
      </c>
      <c r="E4719">
        <v>2013</v>
      </c>
      <c r="F4719" t="s">
        <v>19</v>
      </c>
      <c r="S4719">
        <v>0.63926299796564778</v>
      </c>
    </row>
    <row r="4720" spans="4:19" x14ac:dyDescent="0.25">
      <c r="D4720" t="s">
        <v>121</v>
      </c>
      <c r="E4720">
        <v>2014</v>
      </c>
      <c r="F4720" t="s">
        <v>19</v>
      </c>
      <c r="S4720">
        <v>0.93925668234183524</v>
      </c>
    </row>
    <row r="4721" spans="4:19" x14ac:dyDescent="0.25">
      <c r="D4721" t="s">
        <v>121</v>
      </c>
      <c r="E4721">
        <v>2015</v>
      </c>
      <c r="F4721" t="s">
        <v>19</v>
      </c>
      <c r="S4721">
        <v>0.85659172580466714</v>
      </c>
    </row>
    <row r="4722" spans="4:19" x14ac:dyDescent="0.25">
      <c r="D4722" t="s">
        <v>121</v>
      </c>
      <c r="E4722">
        <v>2013</v>
      </c>
      <c r="F4722" t="s">
        <v>20</v>
      </c>
      <c r="G4722">
        <v>0.56403418583729603</v>
      </c>
      <c r="H4722">
        <v>0.6333333333333333</v>
      </c>
      <c r="I4722">
        <v>0.53319144169373811</v>
      </c>
      <c r="J4722">
        <v>0.64464538957300721</v>
      </c>
      <c r="K4722">
        <v>0.56823425830347929</v>
      </c>
      <c r="L4722">
        <v>0.75203674813659216</v>
      </c>
      <c r="M4722">
        <v>0.8061083694854998</v>
      </c>
      <c r="N4722">
        <v>0.93717292708454469</v>
      </c>
      <c r="O4722">
        <v>0.87830395752007673</v>
      </c>
      <c r="P4722">
        <v>0.71933993002295804</v>
      </c>
      <c r="Q4722">
        <v>0.73763408633973948</v>
      </c>
      <c r="R4722">
        <v>0.90136177559943187</v>
      </c>
    </row>
    <row r="4723" spans="4:19" x14ac:dyDescent="0.25">
      <c r="D4723" t="s">
        <v>121</v>
      </c>
      <c r="E4723">
        <v>2014</v>
      </c>
      <c r="F4723" t="s">
        <v>20</v>
      </c>
      <c r="G4723">
        <v>0.94056118674163958</v>
      </c>
      <c r="H4723">
        <v>0.98844204279099845</v>
      </c>
      <c r="I4723">
        <v>0.91332336899517519</v>
      </c>
      <c r="J4723">
        <v>0.90396039603960399</v>
      </c>
      <c r="K4723">
        <v>0.92212939308154385</v>
      </c>
      <c r="L4723">
        <v>0.96327830014066784</v>
      </c>
      <c r="M4723">
        <v>0.93984278649109909</v>
      </c>
      <c r="N4723">
        <v>0.96929587097141878</v>
      </c>
      <c r="O4723">
        <v>0.94532275922445086</v>
      </c>
      <c r="P4723">
        <v>0.92155002500514815</v>
      </c>
      <c r="Q4723">
        <v>0.8552020100949459</v>
      </c>
      <c r="R4723">
        <v>0.93292007688097456</v>
      </c>
    </row>
    <row r="4724" spans="4:19" x14ac:dyDescent="0.25">
      <c r="D4724" t="s">
        <v>121</v>
      </c>
      <c r="E4724">
        <v>2015</v>
      </c>
      <c r="F4724" t="s">
        <v>20</v>
      </c>
      <c r="G4724">
        <v>0.74534487561336216</v>
      </c>
      <c r="H4724">
        <v>0.77910113072635157</v>
      </c>
      <c r="I4724">
        <v>0.70962399558363487</v>
      </c>
      <c r="J4724">
        <v>0.93383062570371567</v>
      </c>
      <c r="K4724">
        <v>0.89551663820748828</v>
      </c>
      <c r="L4724">
        <v>0.9706511681702521</v>
      </c>
      <c r="M4724">
        <v>0.97513278354434385</v>
      </c>
    </row>
    <row r="4725" spans="4:19" x14ac:dyDescent="0.25">
      <c r="D4725" t="s">
        <v>121</v>
      </c>
      <c r="E4725">
        <v>2013</v>
      </c>
      <c r="F4725" t="s">
        <v>21</v>
      </c>
      <c r="S4725">
        <v>0.93342772524160866</v>
      </c>
    </row>
    <row r="4726" spans="4:19" x14ac:dyDescent="0.25">
      <c r="D4726" t="s">
        <v>121</v>
      </c>
      <c r="E4726">
        <v>2014</v>
      </c>
      <c r="F4726" t="s">
        <v>21</v>
      </c>
      <c r="S4726">
        <v>0.99224308945986717</v>
      </c>
    </row>
    <row r="4727" spans="4:19" x14ac:dyDescent="0.25">
      <c r="D4727" t="s">
        <v>121</v>
      </c>
      <c r="E4727">
        <v>2015</v>
      </c>
      <c r="F4727" t="s">
        <v>21</v>
      </c>
      <c r="S4727">
        <v>0.9534115228064286</v>
      </c>
    </row>
    <row r="4728" spans="4:19" x14ac:dyDescent="0.25">
      <c r="D4728" t="s">
        <v>121</v>
      </c>
      <c r="E4728">
        <v>2013</v>
      </c>
      <c r="F4728" t="s">
        <v>22</v>
      </c>
      <c r="G4728">
        <v>0.86576698874071711</v>
      </c>
      <c r="H4728">
        <v>0.94990548204158787</v>
      </c>
      <c r="I4728">
        <v>0.94557518156549802</v>
      </c>
      <c r="J4728">
        <v>0.95855777584708945</v>
      </c>
      <c r="K4728">
        <v>0.93186191284663267</v>
      </c>
      <c r="L4728">
        <v>0.95822890559732665</v>
      </c>
      <c r="M4728">
        <v>0.93298880275624463</v>
      </c>
      <c r="N4728">
        <v>0.95905776780706675</v>
      </c>
      <c r="O4728">
        <v>0.96079392305807398</v>
      </c>
      <c r="P4728">
        <v>0.96909795062126836</v>
      </c>
      <c r="Q4728">
        <v>0.97809824245155474</v>
      </c>
      <c r="R4728">
        <v>0.98155117703490513</v>
      </c>
    </row>
    <row r="4729" spans="4:19" x14ac:dyDescent="0.25">
      <c r="D4729" t="s">
        <v>121</v>
      </c>
      <c r="E4729">
        <v>2014</v>
      </c>
      <c r="F4729" t="s">
        <v>22</v>
      </c>
      <c r="G4729">
        <v>0.9962630197980441</v>
      </c>
      <c r="H4729">
        <v>0.9942796796620611</v>
      </c>
      <c r="I4729">
        <v>0.98941335668232111</v>
      </c>
      <c r="J4729">
        <v>0.99238498979431622</v>
      </c>
      <c r="K4729">
        <v>0.99222700880314663</v>
      </c>
      <c r="L4729">
        <v>0.99245283018867925</v>
      </c>
      <c r="M4729">
        <v>0.98873612721550441</v>
      </c>
      <c r="N4729">
        <v>0.99321637426900589</v>
      </c>
      <c r="O4729">
        <v>0.99435073201782309</v>
      </c>
      <c r="P4729">
        <v>0.98897473040399164</v>
      </c>
      <c r="Q4729">
        <v>0.98330599247322203</v>
      </c>
      <c r="R4729">
        <v>0.98489705777587799</v>
      </c>
    </row>
    <row r="4730" spans="4:19" x14ac:dyDescent="0.25">
      <c r="D4730" t="s">
        <v>121</v>
      </c>
      <c r="E4730">
        <v>2015</v>
      </c>
      <c r="F4730" t="s">
        <v>22</v>
      </c>
      <c r="G4730">
        <v>0.96614013137316235</v>
      </c>
      <c r="H4730">
        <v>0.97634310134310132</v>
      </c>
      <c r="I4730">
        <v>0.98544162719420447</v>
      </c>
      <c r="J4730">
        <v>0.93342304695799982</v>
      </c>
      <c r="K4730">
        <v>0.9331968012482933</v>
      </c>
      <c r="L4730">
        <v>0.93475579674395659</v>
      </c>
      <c r="M4730">
        <v>0.94436391247325191</v>
      </c>
    </row>
    <row r="4731" spans="4:19" x14ac:dyDescent="0.25">
      <c r="D4731" t="s">
        <v>121</v>
      </c>
      <c r="E4731">
        <v>2013</v>
      </c>
      <c r="F4731" t="s">
        <v>23</v>
      </c>
      <c r="S4731">
        <v>203345</v>
      </c>
    </row>
    <row r="4732" spans="4:19" x14ac:dyDescent="0.25">
      <c r="D4732" t="s">
        <v>121</v>
      </c>
      <c r="E4732">
        <v>2014</v>
      </c>
      <c r="F4732" t="s">
        <v>23</v>
      </c>
      <c r="S4732">
        <v>253974</v>
      </c>
    </row>
    <row r="4733" spans="4:19" x14ac:dyDescent="0.25">
      <c r="D4733" t="s">
        <v>121</v>
      </c>
      <c r="E4733">
        <v>2015</v>
      </c>
      <c r="F4733" t="s">
        <v>23</v>
      </c>
      <c r="S4733">
        <v>339309</v>
      </c>
    </row>
    <row r="4734" spans="4:19" x14ac:dyDescent="0.25">
      <c r="D4734" t="s">
        <v>121</v>
      </c>
      <c r="E4734">
        <v>2013</v>
      </c>
      <c r="F4734" t="s">
        <v>24</v>
      </c>
      <c r="G4734">
        <v>37798</v>
      </c>
      <c r="H4734">
        <v>32319</v>
      </c>
      <c r="I4734">
        <v>32087</v>
      </c>
      <c r="J4734">
        <v>26933</v>
      </c>
      <c r="K4734">
        <v>24512</v>
      </c>
      <c r="L4734">
        <v>23011</v>
      </c>
      <c r="M4734">
        <v>26685</v>
      </c>
      <c r="N4734">
        <v>27890</v>
      </c>
      <c r="O4734">
        <v>30932</v>
      </c>
      <c r="P4734">
        <v>30556</v>
      </c>
      <c r="Q4734">
        <v>31774</v>
      </c>
      <c r="R4734">
        <v>32384</v>
      </c>
    </row>
    <row r="4735" spans="4:19" x14ac:dyDescent="0.25">
      <c r="D4735" t="s">
        <v>121</v>
      </c>
      <c r="E4735">
        <v>2014</v>
      </c>
      <c r="F4735" t="s">
        <v>24</v>
      </c>
      <c r="G4735">
        <v>40870</v>
      </c>
      <c r="H4735">
        <v>38783</v>
      </c>
      <c r="I4735">
        <v>35644</v>
      </c>
      <c r="J4735">
        <v>31881</v>
      </c>
      <c r="K4735">
        <v>31409</v>
      </c>
      <c r="L4735">
        <v>34316</v>
      </c>
      <c r="M4735">
        <v>41071</v>
      </c>
      <c r="N4735">
        <v>43292</v>
      </c>
      <c r="O4735">
        <v>55765</v>
      </c>
      <c r="P4735">
        <v>53080</v>
      </c>
      <c r="Q4735">
        <v>51105</v>
      </c>
      <c r="R4735">
        <v>53285</v>
      </c>
    </row>
    <row r="4736" spans="4:19" x14ac:dyDescent="0.25">
      <c r="D4736" t="s">
        <v>121</v>
      </c>
      <c r="E4736">
        <v>2015</v>
      </c>
      <c r="F4736" t="s">
        <v>24</v>
      </c>
      <c r="G4736">
        <v>54044</v>
      </c>
      <c r="H4736">
        <v>54122</v>
      </c>
      <c r="I4736">
        <v>54962</v>
      </c>
      <c r="J4736">
        <v>48307</v>
      </c>
      <c r="K4736">
        <v>39391</v>
      </c>
      <c r="L4736">
        <v>43446</v>
      </c>
      <c r="M4736">
        <v>45037</v>
      </c>
    </row>
    <row r="4737" spans="4:19" x14ac:dyDescent="0.25">
      <c r="D4737" t="s">
        <v>121</v>
      </c>
      <c r="E4737">
        <v>2013</v>
      </c>
      <c r="F4737" t="s">
        <v>25</v>
      </c>
      <c r="S4737">
        <v>398931</v>
      </c>
    </row>
    <row r="4738" spans="4:19" x14ac:dyDescent="0.25">
      <c r="D4738" t="s">
        <v>121</v>
      </c>
      <c r="E4738">
        <v>2014</v>
      </c>
      <c r="F4738" t="s">
        <v>25</v>
      </c>
      <c r="S4738">
        <v>420371</v>
      </c>
    </row>
    <row r="4739" spans="4:19" x14ac:dyDescent="0.25">
      <c r="D4739" t="s">
        <v>121</v>
      </c>
      <c r="E4739">
        <v>2015</v>
      </c>
      <c r="F4739" t="s">
        <v>25</v>
      </c>
      <c r="S4739">
        <v>462962</v>
      </c>
    </row>
    <row r="4740" spans="4:19" x14ac:dyDescent="0.25">
      <c r="D4740" t="s">
        <v>121</v>
      </c>
      <c r="E4740">
        <v>2013</v>
      </c>
      <c r="F4740" t="s">
        <v>26</v>
      </c>
      <c r="G4740">
        <v>68320</v>
      </c>
      <c r="H4740">
        <v>57333</v>
      </c>
      <c r="I4740">
        <v>56148</v>
      </c>
      <c r="J4740">
        <v>53041</v>
      </c>
      <c r="K4740">
        <v>49301</v>
      </c>
      <c r="L4740">
        <v>52066</v>
      </c>
      <c r="M4740">
        <v>62722</v>
      </c>
      <c r="N4740">
        <v>58655</v>
      </c>
      <c r="O4740">
        <v>67975</v>
      </c>
      <c r="P4740">
        <v>73283</v>
      </c>
      <c r="Q4740">
        <v>67212</v>
      </c>
      <c r="R4740">
        <v>67733</v>
      </c>
    </row>
    <row r="4741" spans="4:19" x14ac:dyDescent="0.25">
      <c r="D4741" t="s">
        <v>121</v>
      </c>
      <c r="E4741">
        <v>2014</v>
      </c>
      <c r="F4741" t="s">
        <v>26</v>
      </c>
      <c r="G4741">
        <v>76836</v>
      </c>
      <c r="H4741">
        <v>64576</v>
      </c>
      <c r="I4741">
        <v>56505</v>
      </c>
      <c r="J4741">
        <v>56417</v>
      </c>
      <c r="K4741">
        <v>52545</v>
      </c>
      <c r="L4741">
        <v>53368</v>
      </c>
      <c r="M4741">
        <v>60124</v>
      </c>
      <c r="N4741">
        <v>63237</v>
      </c>
      <c r="O4741">
        <v>68498</v>
      </c>
      <c r="P4741">
        <v>69586</v>
      </c>
      <c r="Q4741">
        <v>74418</v>
      </c>
      <c r="R4741">
        <v>75862</v>
      </c>
    </row>
    <row r="4742" spans="4:19" x14ac:dyDescent="0.25">
      <c r="D4742" t="s">
        <v>121</v>
      </c>
      <c r="E4742">
        <v>2015</v>
      </c>
      <c r="F4742" t="s">
        <v>26</v>
      </c>
      <c r="G4742">
        <v>74326</v>
      </c>
      <c r="H4742">
        <v>63873</v>
      </c>
      <c r="I4742">
        <v>67059</v>
      </c>
      <c r="J4742">
        <v>67004</v>
      </c>
      <c r="K4742">
        <v>51053</v>
      </c>
      <c r="L4742">
        <v>68129</v>
      </c>
      <c r="M4742">
        <v>71518</v>
      </c>
    </row>
    <row r="4743" spans="4:19" x14ac:dyDescent="0.25">
      <c r="D4743" t="s">
        <v>121</v>
      </c>
      <c r="E4743">
        <v>2013</v>
      </c>
      <c r="F4743" t="s">
        <v>27</v>
      </c>
      <c r="S4743">
        <v>756207</v>
      </c>
    </row>
    <row r="4744" spans="4:19" x14ac:dyDescent="0.25">
      <c r="D4744" t="s">
        <v>121</v>
      </c>
      <c r="E4744">
        <v>2014</v>
      </c>
      <c r="F4744" t="s">
        <v>27</v>
      </c>
      <c r="S4744">
        <v>773024</v>
      </c>
    </row>
    <row r="4745" spans="4:19" x14ac:dyDescent="0.25">
      <c r="D4745" t="s">
        <v>121</v>
      </c>
      <c r="E4745">
        <v>2015</v>
      </c>
      <c r="F4745" t="s">
        <v>27</v>
      </c>
      <c r="S4745">
        <v>862957</v>
      </c>
    </row>
    <row r="4746" spans="4:19" x14ac:dyDescent="0.25">
      <c r="D4746" t="s">
        <v>121</v>
      </c>
      <c r="E4746">
        <v>2013</v>
      </c>
      <c r="F4746" t="s">
        <v>28</v>
      </c>
      <c r="G4746">
        <v>126392</v>
      </c>
      <c r="H4746">
        <v>111079</v>
      </c>
      <c r="I4746">
        <v>110147</v>
      </c>
      <c r="J4746">
        <v>100632</v>
      </c>
      <c r="K4746">
        <v>94296</v>
      </c>
      <c r="L4746">
        <v>98592</v>
      </c>
      <c r="M4746">
        <v>115069</v>
      </c>
      <c r="N4746">
        <v>102467</v>
      </c>
      <c r="O4746">
        <v>126124</v>
      </c>
      <c r="P4746">
        <v>134744</v>
      </c>
      <c r="Q4746">
        <v>119129</v>
      </c>
      <c r="R4746">
        <v>119899</v>
      </c>
    </row>
    <row r="4747" spans="4:19" x14ac:dyDescent="0.25">
      <c r="D4747" t="s">
        <v>121</v>
      </c>
      <c r="E4747">
        <v>2014</v>
      </c>
      <c r="F4747" t="s">
        <v>28</v>
      </c>
      <c r="G4747">
        <v>135672</v>
      </c>
      <c r="H4747">
        <v>125683</v>
      </c>
      <c r="I4747">
        <v>106648</v>
      </c>
      <c r="J4747">
        <v>105353</v>
      </c>
      <c r="K4747">
        <v>96259</v>
      </c>
      <c r="L4747">
        <v>96758</v>
      </c>
      <c r="M4747">
        <v>106651</v>
      </c>
      <c r="N4747">
        <v>104522</v>
      </c>
      <c r="O4747">
        <v>126817</v>
      </c>
      <c r="P4747">
        <v>126263</v>
      </c>
      <c r="Q4747">
        <v>125593</v>
      </c>
      <c r="R4747">
        <v>135360</v>
      </c>
    </row>
    <row r="4748" spans="4:19" x14ac:dyDescent="0.25">
      <c r="D4748" t="s">
        <v>121</v>
      </c>
      <c r="E4748">
        <v>2015</v>
      </c>
      <c r="F4748" t="s">
        <v>28</v>
      </c>
      <c r="G4748">
        <v>132330</v>
      </c>
      <c r="H4748">
        <v>122475</v>
      </c>
      <c r="I4748">
        <v>128645</v>
      </c>
      <c r="J4748">
        <v>125122</v>
      </c>
      <c r="K4748">
        <v>96614</v>
      </c>
      <c r="L4748">
        <v>127101</v>
      </c>
      <c r="M4748">
        <v>130670</v>
      </c>
    </row>
    <row r="4749" spans="4:19" x14ac:dyDescent="0.25">
      <c r="D4749" t="s">
        <v>121</v>
      </c>
      <c r="E4749">
        <v>2013</v>
      </c>
      <c r="F4749" t="s">
        <v>29</v>
      </c>
      <c r="S4749">
        <v>92110</v>
      </c>
    </row>
    <row r="4750" spans="4:19" x14ac:dyDescent="0.25">
      <c r="D4750" t="s">
        <v>121</v>
      </c>
      <c r="E4750">
        <v>2014</v>
      </c>
      <c r="F4750" t="s">
        <v>29</v>
      </c>
      <c r="S4750">
        <v>111232</v>
      </c>
    </row>
    <row r="4751" spans="4:19" x14ac:dyDescent="0.25">
      <c r="D4751" t="s">
        <v>121</v>
      </c>
      <c r="E4751">
        <v>2015</v>
      </c>
      <c r="F4751" t="s">
        <v>29</v>
      </c>
      <c r="S4751">
        <v>86917</v>
      </c>
    </row>
    <row r="4752" spans="4:19" x14ac:dyDescent="0.25">
      <c r="D4752" t="s">
        <v>121</v>
      </c>
      <c r="E4752">
        <v>2013</v>
      </c>
      <c r="F4752" t="s">
        <v>30</v>
      </c>
      <c r="G4752">
        <v>15783</v>
      </c>
      <c r="H4752">
        <v>13488</v>
      </c>
      <c r="I4752">
        <v>14502</v>
      </c>
      <c r="J4752">
        <v>11565</v>
      </c>
      <c r="K4752">
        <v>13244</v>
      </c>
      <c r="L4752">
        <v>12633</v>
      </c>
      <c r="M4752">
        <v>10895</v>
      </c>
      <c r="N4752">
        <v>10389</v>
      </c>
      <c r="O4752">
        <v>17822</v>
      </c>
      <c r="P4752">
        <v>16893</v>
      </c>
      <c r="Q4752">
        <v>16490</v>
      </c>
      <c r="R4752">
        <v>15063</v>
      </c>
    </row>
    <row r="4753" spans="4:19" x14ac:dyDescent="0.25">
      <c r="D4753" t="s">
        <v>121</v>
      </c>
      <c r="E4753">
        <v>2014</v>
      </c>
      <c r="F4753" t="s">
        <v>30</v>
      </c>
      <c r="G4753">
        <v>20349</v>
      </c>
      <c r="H4753">
        <v>15981</v>
      </c>
      <c r="I4753">
        <v>16116</v>
      </c>
      <c r="J4753">
        <v>14783</v>
      </c>
      <c r="K4753">
        <v>13607</v>
      </c>
      <c r="L4753">
        <v>15978</v>
      </c>
      <c r="M4753">
        <v>14418</v>
      </c>
      <c r="N4753">
        <v>11994</v>
      </c>
      <c r="O4753">
        <v>16968</v>
      </c>
      <c r="P4753">
        <v>15127</v>
      </c>
      <c r="Q4753">
        <v>9784</v>
      </c>
      <c r="R4753">
        <v>6662</v>
      </c>
    </row>
    <row r="4754" spans="4:19" x14ac:dyDescent="0.25">
      <c r="D4754" t="s">
        <v>121</v>
      </c>
      <c r="E4754">
        <v>2015</v>
      </c>
      <c r="F4754" t="s">
        <v>30</v>
      </c>
      <c r="G4754">
        <v>13675</v>
      </c>
      <c r="H4754">
        <v>12572</v>
      </c>
      <c r="I4754">
        <v>11703</v>
      </c>
      <c r="J4754">
        <v>10798</v>
      </c>
      <c r="K4754">
        <v>12063</v>
      </c>
      <c r="L4754">
        <v>12735</v>
      </c>
      <c r="M4754">
        <v>13371</v>
      </c>
    </row>
    <row r="4755" spans="4:19" x14ac:dyDescent="0.25">
      <c r="D4755" t="s">
        <v>121</v>
      </c>
      <c r="E4755">
        <v>2013</v>
      </c>
      <c r="F4755" t="s">
        <v>31</v>
      </c>
      <c r="S4755">
        <v>0.77069512405025942</v>
      </c>
    </row>
    <row r="4756" spans="4:19" x14ac:dyDescent="0.25">
      <c r="D4756" t="s">
        <v>121</v>
      </c>
      <c r="E4756">
        <v>2014</v>
      </c>
      <c r="F4756" t="s">
        <v>31</v>
      </c>
      <c r="S4756">
        <v>0.92008630804728042</v>
      </c>
    </row>
    <row r="4757" spans="4:19" x14ac:dyDescent="0.25">
      <c r="D4757" t="s">
        <v>121</v>
      </c>
      <c r="E4757">
        <v>2015</v>
      </c>
      <c r="F4757" t="s">
        <v>31</v>
      </c>
      <c r="S4757">
        <v>0.90288203378041842</v>
      </c>
    </row>
    <row r="4758" spans="4:19" x14ac:dyDescent="0.25">
      <c r="D4758" t="s">
        <v>121</v>
      </c>
      <c r="E4758">
        <v>2013</v>
      </c>
      <c r="F4758" t="s">
        <v>32</v>
      </c>
      <c r="G4758">
        <v>0.71323879570347637</v>
      </c>
      <c r="H4758">
        <v>0.73857483214208364</v>
      </c>
      <c r="I4758">
        <v>0.72898681709103375</v>
      </c>
      <c r="J4758">
        <v>0.74495971484795609</v>
      </c>
      <c r="K4758">
        <v>0.79112271540469969</v>
      </c>
      <c r="L4758">
        <v>0.79461996436486892</v>
      </c>
      <c r="M4758">
        <v>0.92771219786396852</v>
      </c>
      <c r="N4758">
        <v>0.91344567945500177</v>
      </c>
      <c r="O4758">
        <v>0.95212078106814946</v>
      </c>
      <c r="P4758">
        <v>0.97561853645765151</v>
      </c>
      <c r="Q4758">
        <v>0.96264241203499712</v>
      </c>
      <c r="R4758">
        <v>0.96773097826086951</v>
      </c>
    </row>
    <row r="4759" spans="4:19" x14ac:dyDescent="0.25">
      <c r="D4759" t="s">
        <v>121</v>
      </c>
      <c r="E4759">
        <v>2014</v>
      </c>
      <c r="F4759" t="s">
        <v>32</v>
      </c>
      <c r="G4759">
        <v>0.94088573525813557</v>
      </c>
      <c r="H4759">
        <v>0.90818141969419586</v>
      </c>
      <c r="I4759">
        <v>0.9409157221411738</v>
      </c>
      <c r="J4759">
        <v>0.94805683636021454</v>
      </c>
      <c r="K4759">
        <v>0.93804323601515494</v>
      </c>
      <c r="L4759">
        <v>0.88707891362629676</v>
      </c>
      <c r="M4759">
        <v>0.88468749239122491</v>
      </c>
      <c r="N4759">
        <v>0.90381594751917216</v>
      </c>
      <c r="O4759">
        <v>0.90763023401775311</v>
      </c>
      <c r="P4759">
        <v>0.9252637528259231</v>
      </c>
      <c r="Q4759">
        <v>0.91679874767635261</v>
      </c>
      <c r="R4759">
        <v>0.93076850896124608</v>
      </c>
    </row>
    <row r="4760" spans="4:19" x14ac:dyDescent="0.25">
      <c r="D4760" t="s">
        <v>121</v>
      </c>
      <c r="E4760">
        <v>2015</v>
      </c>
      <c r="F4760" t="s">
        <v>32</v>
      </c>
      <c r="G4760">
        <v>0.9166049885278662</v>
      </c>
      <c r="H4760">
        <v>0.905047854846458</v>
      </c>
      <c r="I4760">
        <v>0.90995596957898184</v>
      </c>
      <c r="J4760">
        <v>0.90529322872461548</v>
      </c>
      <c r="K4760">
        <v>0.91231499581122588</v>
      </c>
      <c r="L4760">
        <v>0.91223587902223446</v>
      </c>
      <c r="M4760">
        <v>0.85531895996624996</v>
      </c>
    </row>
    <row r="4761" spans="4:19" x14ac:dyDescent="0.25">
      <c r="D4761" t="s">
        <v>121</v>
      </c>
      <c r="E4761">
        <v>2013</v>
      </c>
      <c r="F4761" t="s">
        <v>33</v>
      </c>
      <c r="S4761">
        <v>0.90137319836884811</v>
      </c>
    </row>
    <row r="4762" spans="4:19" x14ac:dyDescent="0.25">
      <c r="D4762" t="s">
        <v>121</v>
      </c>
      <c r="E4762">
        <v>2014</v>
      </c>
      <c r="F4762" t="s">
        <v>33</v>
      </c>
      <c r="S4762">
        <v>0.89470782339918964</v>
      </c>
    </row>
    <row r="4763" spans="4:19" x14ac:dyDescent="0.25">
      <c r="D4763" t="s">
        <v>121</v>
      </c>
      <c r="E4763">
        <v>2015</v>
      </c>
      <c r="F4763" t="s">
        <v>33</v>
      </c>
      <c r="S4763">
        <v>0.8862227540577583</v>
      </c>
    </row>
    <row r="4764" spans="4:19" x14ac:dyDescent="0.25">
      <c r="D4764" t="s">
        <v>121</v>
      </c>
      <c r="E4764">
        <v>2013</v>
      </c>
      <c r="F4764" t="s">
        <v>34</v>
      </c>
      <c r="G4764">
        <v>0.87362715732420482</v>
      </c>
      <c r="H4764">
        <v>0.85794954152204317</v>
      </c>
      <c r="I4764">
        <v>0.91449414692077136</v>
      </c>
      <c r="J4764">
        <v>0.90088653613113079</v>
      </c>
      <c r="K4764">
        <v>0.91468022257333237</v>
      </c>
      <c r="L4764">
        <v>0.92904835277716635</v>
      </c>
      <c r="M4764">
        <v>0.94158803517555689</v>
      </c>
      <c r="N4764">
        <v>0.85461753428218623</v>
      </c>
      <c r="O4764">
        <v>0.92968661613304671</v>
      </c>
      <c r="P4764">
        <v>0.9697168797037391</v>
      </c>
      <c r="Q4764">
        <v>0.94299331517702401</v>
      </c>
      <c r="R4764">
        <v>0.95615175511168893</v>
      </c>
    </row>
    <row r="4765" spans="4:19" x14ac:dyDescent="0.25">
      <c r="D4765" t="s">
        <v>121</v>
      </c>
      <c r="E4765">
        <v>2014</v>
      </c>
      <c r="F4765" t="s">
        <v>34</v>
      </c>
      <c r="G4765">
        <v>0.90590608950843732</v>
      </c>
      <c r="H4765">
        <v>0.83607057507499871</v>
      </c>
      <c r="I4765">
        <v>0.89970162956162492</v>
      </c>
      <c r="J4765">
        <v>0.91814577615126558</v>
      </c>
      <c r="K4765">
        <v>0.89244821819117459</v>
      </c>
      <c r="L4765">
        <v>0.88831559009862193</v>
      </c>
      <c r="M4765">
        <v>0.93682656826568267</v>
      </c>
      <c r="N4765">
        <v>0.94377387318563788</v>
      </c>
      <c r="O4765">
        <v>0.88380105584884694</v>
      </c>
      <c r="P4765">
        <v>0.94846647646219684</v>
      </c>
      <c r="Q4765">
        <v>0.90833852956181627</v>
      </c>
      <c r="R4765">
        <v>0.93704532736429769</v>
      </c>
    </row>
    <row r="4766" spans="4:19" x14ac:dyDescent="0.25">
      <c r="D4766" t="s">
        <v>121</v>
      </c>
      <c r="E4766">
        <v>2015</v>
      </c>
      <c r="F4766" t="s">
        <v>34</v>
      </c>
      <c r="G4766">
        <v>0.90572093023255817</v>
      </c>
      <c r="H4766">
        <v>0.87684353280216987</v>
      </c>
      <c r="I4766">
        <v>0.92146395626921762</v>
      </c>
      <c r="J4766">
        <v>0.89824507389162567</v>
      </c>
      <c r="K4766">
        <v>0.90507184084489745</v>
      </c>
      <c r="L4766">
        <v>0.91236242641412846</v>
      </c>
      <c r="M4766">
        <v>0.78203454508937542</v>
      </c>
    </row>
    <row r="4767" spans="4:19" x14ac:dyDescent="0.25">
      <c r="D4767" t="s">
        <v>122</v>
      </c>
      <c r="E4767">
        <v>2013</v>
      </c>
      <c r="F4767" t="s">
        <v>17</v>
      </c>
      <c r="S4767">
        <v>0.8971478785794792</v>
      </c>
    </row>
    <row r="4768" spans="4:19" x14ac:dyDescent="0.25">
      <c r="D4768" t="s">
        <v>122</v>
      </c>
      <c r="E4768">
        <v>2014</v>
      </c>
      <c r="F4768" t="s">
        <v>17</v>
      </c>
      <c r="S4768">
        <v>0.95309010989010989</v>
      </c>
    </row>
    <row r="4769" spans="4:19" x14ac:dyDescent="0.25">
      <c r="D4769" t="s">
        <v>122</v>
      </c>
      <c r="E4769">
        <v>2015</v>
      </c>
      <c r="F4769" t="s">
        <v>17</v>
      </c>
      <c r="S4769">
        <v>0.92668771385900905</v>
      </c>
    </row>
    <row r="4770" spans="4:19" x14ac:dyDescent="0.25">
      <c r="D4770" t="s">
        <v>122</v>
      </c>
      <c r="E4770">
        <v>2013</v>
      </c>
      <c r="F4770" t="s">
        <v>18</v>
      </c>
      <c r="G4770">
        <v>0.94359892569382275</v>
      </c>
      <c r="H4770">
        <v>0.9211143695014663</v>
      </c>
      <c r="I4770">
        <v>0.85917721518987344</v>
      </c>
      <c r="J4770">
        <v>0.92872117400419285</v>
      </c>
      <c r="K4770">
        <v>0.80513979101948607</v>
      </c>
      <c r="L4770">
        <v>0.93718592964824121</v>
      </c>
      <c r="M4770">
        <v>0.87375508486463738</v>
      </c>
      <c r="N4770">
        <v>0.89136975455265244</v>
      </c>
      <c r="O4770">
        <v>0.83750000000000002</v>
      </c>
      <c r="P4770">
        <v>0.92598050328723647</v>
      </c>
      <c r="Q4770">
        <v>0.92593105357884531</v>
      </c>
      <c r="R4770">
        <v>0.95608924257496097</v>
      </c>
    </row>
    <row r="4771" spans="4:19" x14ac:dyDescent="0.25">
      <c r="D4771" t="s">
        <v>122</v>
      </c>
      <c r="E4771">
        <v>2014</v>
      </c>
      <c r="F4771" t="s">
        <v>18</v>
      </c>
      <c r="G4771">
        <v>0.91964700418021361</v>
      </c>
      <c r="H4771">
        <v>0.93828024734570059</v>
      </c>
      <c r="I4771">
        <v>0.96661288320714911</v>
      </c>
      <c r="J4771">
        <v>0.95760687843324577</v>
      </c>
      <c r="K4771">
        <v>0.97347767253044659</v>
      </c>
      <c r="L4771">
        <v>0.96963178539795014</v>
      </c>
      <c r="M4771">
        <v>0.95143072289156627</v>
      </c>
      <c r="N4771">
        <v>0.94776528653687964</v>
      </c>
      <c r="O4771">
        <v>0.95468122360696261</v>
      </c>
      <c r="P4771">
        <v>0.95317220543806647</v>
      </c>
      <c r="Q4771">
        <v>0.94797687861271673</v>
      </c>
      <c r="R4771">
        <v>0.949222668004012</v>
      </c>
    </row>
    <row r="4772" spans="4:19" x14ac:dyDescent="0.25">
      <c r="D4772" t="s">
        <v>122</v>
      </c>
      <c r="E4772">
        <v>2015</v>
      </c>
      <c r="F4772" t="s">
        <v>18</v>
      </c>
      <c r="G4772">
        <v>0.9079953650057937</v>
      </c>
      <c r="H4772">
        <v>0.9014894172981448</v>
      </c>
      <c r="I4772">
        <v>0.94094812375014703</v>
      </c>
      <c r="J4772">
        <v>0.95772427629693324</v>
      </c>
      <c r="K4772">
        <v>0.91363858562815703</v>
      </c>
      <c r="L4772">
        <v>0.93372949231365454</v>
      </c>
      <c r="M4772">
        <v>0.93246968026460864</v>
      </c>
    </row>
    <row r="4773" spans="4:19" x14ac:dyDescent="0.25">
      <c r="D4773" t="s">
        <v>122</v>
      </c>
      <c r="E4773">
        <v>2013</v>
      </c>
      <c r="F4773" t="s">
        <v>19</v>
      </c>
      <c r="S4773">
        <v>0.81347558961845734</v>
      </c>
    </row>
    <row r="4774" spans="4:19" x14ac:dyDescent="0.25">
      <c r="D4774" t="s">
        <v>122</v>
      </c>
      <c r="E4774">
        <v>2014</v>
      </c>
      <c r="F4774" t="s">
        <v>19</v>
      </c>
      <c r="S4774">
        <v>0.95326073138692313</v>
      </c>
    </row>
    <row r="4775" spans="4:19" x14ac:dyDescent="0.25">
      <c r="D4775" t="s">
        <v>122</v>
      </c>
      <c r="E4775">
        <v>2015</v>
      </c>
      <c r="F4775" t="s">
        <v>19</v>
      </c>
      <c r="S4775">
        <v>0.87793384629027371</v>
      </c>
    </row>
    <row r="4776" spans="4:19" x14ac:dyDescent="0.25">
      <c r="D4776" t="s">
        <v>122</v>
      </c>
      <c r="E4776">
        <v>2013</v>
      </c>
      <c r="F4776" t="s">
        <v>20</v>
      </c>
      <c r="G4776">
        <v>0.70342807234615523</v>
      </c>
      <c r="H4776">
        <v>0.7798392312667467</v>
      </c>
      <c r="I4776">
        <v>0.74556153799963976</v>
      </c>
      <c r="J4776">
        <v>0.74897207972745428</v>
      </c>
      <c r="K4776">
        <v>0.75403371749690451</v>
      </c>
      <c r="L4776">
        <v>0.97661771634992933</v>
      </c>
      <c r="M4776">
        <v>0.99072707316150033</v>
      </c>
      <c r="N4776">
        <v>0.90305315391449437</v>
      </c>
      <c r="O4776">
        <v>0.93011102763168874</v>
      </c>
      <c r="P4776">
        <v>0.95784727874019815</v>
      </c>
      <c r="Q4776">
        <v>0.90933827530924116</v>
      </c>
      <c r="R4776">
        <v>0.99107402266197497</v>
      </c>
    </row>
    <row r="4777" spans="4:19" x14ac:dyDescent="0.25">
      <c r="D4777" t="s">
        <v>122</v>
      </c>
      <c r="E4777">
        <v>2014</v>
      </c>
      <c r="F4777" t="s">
        <v>20</v>
      </c>
      <c r="G4777">
        <v>0.99691386039756735</v>
      </c>
      <c r="H4777">
        <v>0.95992545657845696</v>
      </c>
      <c r="I4777">
        <v>0.95629370629370625</v>
      </c>
      <c r="J4777">
        <v>0.92836172526277638</v>
      </c>
      <c r="K4777">
        <v>0.83458203552487586</v>
      </c>
      <c r="L4777">
        <v>0.99490067872499199</v>
      </c>
      <c r="M4777">
        <v>0.99479234053564503</v>
      </c>
      <c r="N4777">
        <v>0.95285854587661079</v>
      </c>
      <c r="O4777">
        <v>0.99498489770331111</v>
      </c>
      <c r="P4777">
        <v>0.95641640248460014</v>
      </c>
      <c r="Q4777">
        <v>0.87325499509810689</v>
      </c>
      <c r="R4777">
        <v>0.99162798408488062</v>
      </c>
    </row>
    <row r="4778" spans="4:19" x14ac:dyDescent="0.25">
      <c r="D4778" t="s">
        <v>122</v>
      </c>
      <c r="E4778">
        <v>2015</v>
      </c>
      <c r="F4778" t="s">
        <v>20</v>
      </c>
      <c r="G4778">
        <v>0.97527421980043871</v>
      </c>
      <c r="H4778">
        <v>0.77298372247182734</v>
      </c>
      <c r="I4778">
        <v>0.83203570302457008</v>
      </c>
      <c r="J4778">
        <v>0.88513868000419715</v>
      </c>
      <c r="K4778">
        <v>0.75686249763362146</v>
      </c>
      <c r="L4778">
        <v>0.98070139317823068</v>
      </c>
      <c r="M4778">
        <v>0.93195039586821415</v>
      </c>
    </row>
    <row r="4779" spans="4:19" x14ac:dyDescent="0.25">
      <c r="D4779" t="s">
        <v>122</v>
      </c>
      <c r="E4779">
        <v>2013</v>
      </c>
      <c r="F4779" t="s">
        <v>21</v>
      </c>
      <c r="S4779">
        <v>0.94044163790398494</v>
      </c>
    </row>
    <row r="4780" spans="4:19" x14ac:dyDescent="0.25">
      <c r="D4780" t="s">
        <v>122</v>
      </c>
      <c r="E4780">
        <v>2014</v>
      </c>
      <c r="F4780" t="s">
        <v>21</v>
      </c>
      <c r="S4780">
        <v>0.99239223767817275</v>
      </c>
    </row>
    <row r="4781" spans="4:19" x14ac:dyDescent="0.25">
      <c r="D4781" t="s">
        <v>122</v>
      </c>
      <c r="E4781">
        <v>2015</v>
      </c>
      <c r="F4781" t="s">
        <v>21</v>
      </c>
      <c r="S4781">
        <v>0.97766745468873129</v>
      </c>
    </row>
    <row r="4782" spans="4:19" x14ac:dyDescent="0.25">
      <c r="D4782" t="s">
        <v>122</v>
      </c>
      <c r="E4782">
        <v>2013</v>
      </c>
      <c r="F4782" t="s">
        <v>22</v>
      </c>
      <c r="G4782">
        <v>0.95978398253475816</v>
      </c>
      <c r="H4782">
        <v>0.96063463553360273</v>
      </c>
      <c r="I4782">
        <v>0.97765517241379307</v>
      </c>
      <c r="J4782">
        <v>0.84754074715130534</v>
      </c>
      <c r="K4782">
        <v>0.84912989434431319</v>
      </c>
      <c r="L4782">
        <v>0.98666275831745565</v>
      </c>
      <c r="M4782">
        <v>0.9824883663972569</v>
      </c>
      <c r="N4782">
        <v>0.94909656110355545</v>
      </c>
      <c r="O4782">
        <v>0.96478248002367561</v>
      </c>
      <c r="P4782">
        <v>0.95717391304347821</v>
      </c>
      <c r="Q4782">
        <v>0.94968107725017714</v>
      </c>
      <c r="R4782">
        <v>0.95894105894105897</v>
      </c>
    </row>
    <row r="4783" spans="4:19" x14ac:dyDescent="0.25">
      <c r="D4783" t="s">
        <v>122</v>
      </c>
      <c r="E4783">
        <v>2014</v>
      </c>
      <c r="F4783" t="s">
        <v>22</v>
      </c>
      <c r="G4783">
        <v>0.99585397916877338</v>
      </c>
      <c r="H4783">
        <v>0.9838627700127065</v>
      </c>
      <c r="I4783">
        <v>0.98836748182419032</v>
      </c>
      <c r="J4783">
        <v>0.9916016796640672</v>
      </c>
      <c r="K4783">
        <v>0.99122686771761481</v>
      </c>
      <c r="L4783">
        <v>0.99746713303582202</v>
      </c>
      <c r="M4783">
        <v>0.99643850862548689</v>
      </c>
      <c r="N4783">
        <v>0.98007774538386783</v>
      </c>
      <c r="O4783">
        <v>0.99260650158432107</v>
      </c>
      <c r="P4783">
        <v>0.99638408999598227</v>
      </c>
      <c r="Q4783">
        <v>0.9987156434626252</v>
      </c>
      <c r="R4783">
        <v>0.99766877124817877</v>
      </c>
    </row>
    <row r="4784" spans="4:19" x14ac:dyDescent="0.25">
      <c r="D4784" t="s">
        <v>122</v>
      </c>
      <c r="E4784">
        <v>2015</v>
      </c>
      <c r="F4784" t="s">
        <v>22</v>
      </c>
      <c r="G4784">
        <v>0.90694980694980698</v>
      </c>
      <c r="H4784">
        <v>0.9906982362889587</v>
      </c>
      <c r="I4784">
        <v>0.98635920753491391</v>
      </c>
      <c r="J4784">
        <v>0.99350434878344163</v>
      </c>
      <c r="K4784">
        <v>0.99322225360067773</v>
      </c>
      <c r="L4784">
        <v>0.99095213045765385</v>
      </c>
      <c r="M4784">
        <v>0.99424533064109033</v>
      </c>
    </row>
    <row r="4785" spans="4:19" x14ac:dyDescent="0.25">
      <c r="D4785" t="s">
        <v>122</v>
      </c>
      <c r="E4785">
        <v>2013</v>
      </c>
      <c r="F4785" t="s">
        <v>23</v>
      </c>
      <c r="S4785">
        <v>129059</v>
      </c>
    </row>
    <row r="4786" spans="4:19" x14ac:dyDescent="0.25">
      <c r="D4786" t="s">
        <v>122</v>
      </c>
      <c r="E4786">
        <v>2014</v>
      </c>
      <c r="F4786" t="s">
        <v>23</v>
      </c>
      <c r="S4786">
        <v>132413</v>
      </c>
    </row>
    <row r="4787" spans="4:19" x14ac:dyDescent="0.25">
      <c r="D4787" t="s">
        <v>122</v>
      </c>
      <c r="E4787">
        <v>2015</v>
      </c>
      <c r="F4787" t="s">
        <v>23</v>
      </c>
      <c r="S4787">
        <v>127320</v>
      </c>
    </row>
    <row r="4788" spans="4:19" x14ac:dyDescent="0.25">
      <c r="D4788" t="s">
        <v>122</v>
      </c>
      <c r="E4788">
        <v>2013</v>
      </c>
      <c r="F4788" t="s">
        <v>24</v>
      </c>
      <c r="G4788">
        <v>21119</v>
      </c>
      <c r="H4788">
        <v>21697</v>
      </c>
      <c r="I4788">
        <v>18675</v>
      </c>
      <c r="J4788">
        <v>17810</v>
      </c>
      <c r="K4788">
        <v>17573</v>
      </c>
      <c r="L4788">
        <v>15223</v>
      </c>
      <c r="M4788">
        <v>16962</v>
      </c>
      <c r="N4788">
        <v>16296</v>
      </c>
      <c r="O4788">
        <v>20861</v>
      </c>
      <c r="P4788">
        <v>21888</v>
      </c>
      <c r="Q4788">
        <v>18446</v>
      </c>
      <c r="R4788">
        <v>16634</v>
      </c>
    </row>
    <row r="4789" spans="4:19" x14ac:dyDescent="0.25">
      <c r="D4789" t="s">
        <v>122</v>
      </c>
      <c r="E4789">
        <v>2014</v>
      </c>
      <c r="F4789" t="s">
        <v>24</v>
      </c>
      <c r="G4789">
        <v>20974</v>
      </c>
      <c r="H4789">
        <v>22432</v>
      </c>
      <c r="I4789">
        <v>18020</v>
      </c>
      <c r="J4789">
        <v>17179</v>
      </c>
      <c r="K4789">
        <v>15898</v>
      </c>
      <c r="L4789">
        <v>18146</v>
      </c>
      <c r="M4789">
        <v>19764</v>
      </c>
      <c r="N4789">
        <v>19350</v>
      </c>
      <c r="O4789">
        <v>23980</v>
      </c>
      <c r="P4789">
        <v>20571</v>
      </c>
      <c r="Q4789">
        <v>18685</v>
      </c>
      <c r="R4789">
        <v>18693</v>
      </c>
    </row>
    <row r="4790" spans="4:19" x14ac:dyDescent="0.25">
      <c r="D4790" t="s">
        <v>122</v>
      </c>
      <c r="E4790">
        <v>2015</v>
      </c>
      <c r="F4790" t="s">
        <v>24</v>
      </c>
      <c r="G4790">
        <v>20144</v>
      </c>
      <c r="H4790">
        <v>19489</v>
      </c>
      <c r="I4790">
        <v>19472</v>
      </c>
      <c r="J4790">
        <v>16320</v>
      </c>
      <c r="K4790">
        <v>14787</v>
      </c>
      <c r="L4790">
        <v>17848</v>
      </c>
      <c r="M4790">
        <v>19260</v>
      </c>
    </row>
    <row r="4791" spans="4:19" x14ac:dyDescent="0.25">
      <c r="D4791" t="s">
        <v>122</v>
      </c>
      <c r="E4791">
        <v>2013</v>
      </c>
      <c r="F4791" t="s">
        <v>25</v>
      </c>
      <c r="S4791">
        <v>340051</v>
      </c>
    </row>
    <row r="4792" spans="4:19" x14ac:dyDescent="0.25">
      <c r="D4792" t="s">
        <v>122</v>
      </c>
      <c r="E4792">
        <v>2014</v>
      </c>
      <c r="F4792" t="s">
        <v>25</v>
      </c>
      <c r="S4792">
        <v>359862</v>
      </c>
    </row>
    <row r="4793" spans="4:19" x14ac:dyDescent="0.25">
      <c r="D4793" t="s">
        <v>122</v>
      </c>
      <c r="E4793">
        <v>2015</v>
      </c>
      <c r="F4793" t="s">
        <v>25</v>
      </c>
      <c r="S4793">
        <v>399763</v>
      </c>
    </row>
    <row r="4794" spans="4:19" x14ac:dyDescent="0.25">
      <c r="D4794" t="s">
        <v>122</v>
      </c>
      <c r="E4794">
        <v>2013</v>
      </c>
      <c r="F4794" t="s">
        <v>26</v>
      </c>
      <c r="G4794">
        <v>54074</v>
      </c>
      <c r="H4794">
        <v>48472</v>
      </c>
      <c r="I4794">
        <v>45175</v>
      </c>
      <c r="J4794">
        <v>47277</v>
      </c>
      <c r="K4794">
        <v>42208</v>
      </c>
      <c r="L4794">
        <v>47495</v>
      </c>
      <c r="M4794">
        <v>55350</v>
      </c>
      <c r="N4794">
        <v>47126</v>
      </c>
      <c r="O4794">
        <v>63870</v>
      </c>
      <c r="P4794">
        <v>65799</v>
      </c>
      <c r="Q4794">
        <v>66029</v>
      </c>
      <c r="R4794">
        <v>55778</v>
      </c>
    </row>
    <row r="4795" spans="4:19" x14ac:dyDescent="0.25">
      <c r="D4795" t="s">
        <v>122</v>
      </c>
      <c r="E4795">
        <v>2014</v>
      </c>
      <c r="F4795" t="s">
        <v>26</v>
      </c>
      <c r="G4795">
        <v>58305</v>
      </c>
      <c r="H4795">
        <v>52820</v>
      </c>
      <c r="I4795">
        <v>48649</v>
      </c>
      <c r="J4795">
        <v>51317</v>
      </c>
      <c r="K4795">
        <v>45517</v>
      </c>
      <c r="L4795">
        <v>47839</v>
      </c>
      <c r="M4795">
        <v>55415</v>
      </c>
      <c r="N4795">
        <v>56027</v>
      </c>
      <c r="O4795">
        <v>65599</v>
      </c>
      <c r="P4795">
        <v>64586</v>
      </c>
      <c r="Q4795">
        <v>65908</v>
      </c>
      <c r="R4795">
        <v>64772</v>
      </c>
    </row>
    <row r="4796" spans="4:19" x14ac:dyDescent="0.25">
      <c r="D4796" t="s">
        <v>122</v>
      </c>
      <c r="E4796">
        <v>2015</v>
      </c>
      <c r="F4796" t="s">
        <v>26</v>
      </c>
      <c r="G4796">
        <v>62942</v>
      </c>
      <c r="H4796">
        <v>52247</v>
      </c>
      <c r="I4796">
        <v>59514</v>
      </c>
      <c r="J4796">
        <v>54716</v>
      </c>
      <c r="K4796">
        <v>47084</v>
      </c>
      <c r="L4796">
        <v>57855</v>
      </c>
      <c r="M4796">
        <v>65405</v>
      </c>
    </row>
    <row r="4797" spans="4:19" x14ac:dyDescent="0.25">
      <c r="D4797" t="s">
        <v>122</v>
      </c>
      <c r="E4797">
        <v>2013</v>
      </c>
      <c r="F4797" t="s">
        <v>27</v>
      </c>
      <c r="S4797">
        <v>544520</v>
      </c>
    </row>
    <row r="4798" spans="4:19" x14ac:dyDescent="0.25">
      <c r="D4798" t="s">
        <v>122</v>
      </c>
      <c r="E4798">
        <v>2014</v>
      </c>
      <c r="F4798" t="s">
        <v>27</v>
      </c>
      <c r="S4798">
        <v>579322</v>
      </c>
    </row>
    <row r="4799" spans="4:19" x14ac:dyDescent="0.25">
      <c r="D4799" t="s">
        <v>122</v>
      </c>
      <c r="E4799">
        <v>2015</v>
      </c>
      <c r="F4799" t="s">
        <v>27</v>
      </c>
      <c r="S4799">
        <v>656042</v>
      </c>
    </row>
    <row r="4800" spans="4:19" x14ac:dyDescent="0.25">
      <c r="D4800" t="s">
        <v>122</v>
      </c>
      <c r="E4800">
        <v>2013</v>
      </c>
      <c r="F4800" t="s">
        <v>28</v>
      </c>
      <c r="G4800">
        <v>85480</v>
      </c>
      <c r="H4800">
        <v>79263</v>
      </c>
      <c r="I4800">
        <v>74050</v>
      </c>
      <c r="J4800">
        <v>75884</v>
      </c>
      <c r="K4800">
        <v>66346</v>
      </c>
      <c r="L4800">
        <v>76191</v>
      </c>
      <c r="M4800">
        <v>87306</v>
      </c>
      <c r="N4800">
        <v>72515</v>
      </c>
      <c r="O4800">
        <v>100012</v>
      </c>
      <c r="P4800">
        <v>109213</v>
      </c>
      <c r="Q4800">
        <v>99875</v>
      </c>
      <c r="R4800">
        <v>90692</v>
      </c>
    </row>
    <row r="4801" spans="4:19" x14ac:dyDescent="0.25">
      <c r="D4801" t="s">
        <v>122</v>
      </c>
      <c r="E4801">
        <v>2014</v>
      </c>
      <c r="F4801" t="s">
        <v>28</v>
      </c>
      <c r="G4801">
        <v>93425</v>
      </c>
      <c r="H4801">
        <v>86880</v>
      </c>
      <c r="I4801">
        <v>79793</v>
      </c>
      <c r="J4801">
        <v>83436</v>
      </c>
      <c r="K4801">
        <v>72369</v>
      </c>
      <c r="L4801">
        <v>75814</v>
      </c>
      <c r="M4801">
        <v>87605</v>
      </c>
      <c r="N4801">
        <v>84933</v>
      </c>
      <c r="O4801">
        <v>106060</v>
      </c>
      <c r="P4801">
        <v>105431</v>
      </c>
      <c r="Q4801">
        <v>102349</v>
      </c>
      <c r="R4801">
        <v>106530</v>
      </c>
    </row>
    <row r="4802" spans="4:19" x14ac:dyDescent="0.25">
      <c r="D4802" t="s">
        <v>122</v>
      </c>
      <c r="E4802">
        <v>2015</v>
      </c>
      <c r="F4802" t="s">
        <v>28</v>
      </c>
      <c r="G4802">
        <v>104057</v>
      </c>
      <c r="H4802">
        <v>88420</v>
      </c>
      <c r="I4802">
        <v>100503</v>
      </c>
      <c r="J4802">
        <v>88728</v>
      </c>
      <c r="K4802">
        <v>75644</v>
      </c>
      <c r="L4802">
        <v>92910</v>
      </c>
      <c r="M4802">
        <v>105780</v>
      </c>
    </row>
    <row r="4803" spans="4:19" x14ac:dyDescent="0.25">
      <c r="D4803" t="s">
        <v>122</v>
      </c>
      <c r="E4803">
        <v>2013</v>
      </c>
      <c r="F4803" t="s">
        <v>29</v>
      </c>
      <c r="S4803">
        <v>52347</v>
      </c>
    </row>
    <row r="4804" spans="4:19" x14ac:dyDescent="0.25">
      <c r="D4804" t="s">
        <v>122</v>
      </c>
      <c r="E4804">
        <v>2014</v>
      </c>
      <c r="F4804" t="s">
        <v>29</v>
      </c>
      <c r="S4804">
        <v>56875</v>
      </c>
    </row>
    <row r="4805" spans="4:19" x14ac:dyDescent="0.25">
      <c r="D4805" t="s">
        <v>122</v>
      </c>
      <c r="E4805">
        <v>2015</v>
      </c>
      <c r="F4805" t="s">
        <v>29</v>
      </c>
      <c r="S4805">
        <v>52897</v>
      </c>
    </row>
    <row r="4806" spans="4:19" x14ac:dyDescent="0.25">
      <c r="D4806" t="s">
        <v>122</v>
      </c>
      <c r="E4806">
        <v>2013</v>
      </c>
      <c r="F4806" t="s">
        <v>30</v>
      </c>
      <c r="G4806">
        <v>8936</v>
      </c>
      <c r="H4806">
        <v>6820</v>
      </c>
      <c r="I4806">
        <v>7584</v>
      </c>
      <c r="J4806">
        <v>7632</v>
      </c>
      <c r="K4806">
        <v>7082</v>
      </c>
      <c r="L4806">
        <v>7164</v>
      </c>
      <c r="M4806">
        <v>7129</v>
      </c>
      <c r="N4806">
        <v>6315</v>
      </c>
      <c r="O4806">
        <v>9200</v>
      </c>
      <c r="P4806">
        <v>8822</v>
      </c>
      <c r="Q4806">
        <v>7223</v>
      </c>
      <c r="R4806">
        <v>7037</v>
      </c>
    </row>
    <row r="4807" spans="4:19" x14ac:dyDescent="0.25">
      <c r="D4807" t="s">
        <v>122</v>
      </c>
      <c r="E4807">
        <v>2014</v>
      </c>
      <c r="F4807" t="s">
        <v>30</v>
      </c>
      <c r="G4807">
        <v>8612</v>
      </c>
      <c r="H4807">
        <v>8571</v>
      </c>
      <c r="I4807">
        <v>8057</v>
      </c>
      <c r="J4807">
        <v>8374</v>
      </c>
      <c r="K4807">
        <v>7390</v>
      </c>
      <c r="L4807">
        <v>7903</v>
      </c>
      <c r="M4807">
        <v>7968</v>
      </c>
      <c r="N4807">
        <v>7294</v>
      </c>
      <c r="O4807">
        <v>9709</v>
      </c>
      <c r="P4807">
        <v>9268</v>
      </c>
      <c r="Q4807">
        <v>7266</v>
      </c>
      <c r="R4807">
        <v>7976</v>
      </c>
    </row>
    <row r="4808" spans="4:19" x14ac:dyDescent="0.25">
      <c r="D4808" t="s">
        <v>122</v>
      </c>
      <c r="E4808">
        <v>2015</v>
      </c>
      <c r="F4808" t="s">
        <v>30</v>
      </c>
      <c r="G4808">
        <v>8630</v>
      </c>
      <c r="H4808">
        <v>7654</v>
      </c>
      <c r="I4808">
        <v>8501</v>
      </c>
      <c r="J4808">
        <v>6978</v>
      </c>
      <c r="K4808">
        <v>6137</v>
      </c>
      <c r="L4808">
        <v>7741</v>
      </c>
      <c r="M4808">
        <v>7256</v>
      </c>
    </row>
    <row r="4809" spans="4:19" x14ac:dyDescent="0.25">
      <c r="D4809" t="s">
        <v>122</v>
      </c>
      <c r="E4809">
        <v>2013</v>
      </c>
      <c r="F4809" t="s">
        <v>31</v>
      </c>
      <c r="S4809">
        <v>0.8756150287852843</v>
      </c>
    </row>
    <row r="4810" spans="4:19" x14ac:dyDescent="0.25">
      <c r="D4810" t="s">
        <v>122</v>
      </c>
      <c r="E4810">
        <v>2014</v>
      </c>
      <c r="F4810" t="s">
        <v>31</v>
      </c>
      <c r="S4810">
        <v>0.91346015874574249</v>
      </c>
    </row>
    <row r="4811" spans="4:19" x14ac:dyDescent="0.25">
      <c r="D4811" t="s">
        <v>122</v>
      </c>
      <c r="E4811">
        <v>2015</v>
      </c>
      <c r="F4811" t="s">
        <v>31</v>
      </c>
      <c r="S4811">
        <v>0.88876845743009736</v>
      </c>
    </row>
    <row r="4812" spans="4:19" x14ac:dyDescent="0.25">
      <c r="D4812" t="s">
        <v>122</v>
      </c>
      <c r="E4812">
        <v>2013</v>
      </c>
      <c r="F4812" t="s">
        <v>32</v>
      </c>
      <c r="G4812">
        <v>0.87248449263696193</v>
      </c>
      <c r="H4812">
        <v>0.86800018435728443</v>
      </c>
      <c r="I4812">
        <v>0.86757697456492633</v>
      </c>
      <c r="J4812">
        <v>0.85485682201010671</v>
      </c>
      <c r="K4812">
        <v>0.8452170944061913</v>
      </c>
      <c r="L4812">
        <v>0.88188924653484857</v>
      </c>
      <c r="M4812">
        <v>0.94576111307628818</v>
      </c>
      <c r="N4812">
        <v>0.9643470790378007</v>
      </c>
      <c r="O4812">
        <v>0.91975456593643645</v>
      </c>
      <c r="P4812">
        <v>0.86056286549707606</v>
      </c>
      <c r="Q4812">
        <v>0.92160902092594599</v>
      </c>
      <c r="R4812">
        <v>0.97078273415895155</v>
      </c>
    </row>
    <row r="4813" spans="4:19" x14ac:dyDescent="0.25">
      <c r="D4813" t="s">
        <v>122</v>
      </c>
      <c r="E4813">
        <v>2014</v>
      </c>
      <c r="F4813" t="s">
        <v>32</v>
      </c>
      <c r="G4813">
        <v>0.9480785734719176</v>
      </c>
      <c r="H4813">
        <v>0.86960592011412263</v>
      </c>
      <c r="I4813">
        <v>0.95027746947835734</v>
      </c>
      <c r="J4813">
        <v>0.92514116071948305</v>
      </c>
      <c r="K4813">
        <v>0.93049440181154863</v>
      </c>
      <c r="L4813">
        <v>0.88201256475256251</v>
      </c>
      <c r="M4813">
        <v>0.89794575996761794</v>
      </c>
      <c r="N4813">
        <v>0.90320413436692504</v>
      </c>
      <c r="O4813">
        <v>0.93628023352793999</v>
      </c>
      <c r="P4813">
        <v>0.92465120801127798</v>
      </c>
      <c r="Q4813">
        <v>0.91410222103291405</v>
      </c>
      <c r="R4813">
        <v>0.91884662707965548</v>
      </c>
    </row>
    <row r="4814" spans="4:19" x14ac:dyDescent="0.25">
      <c r="D4814" t="s">
        <v>122</v>
      </c>
      <c r="E4814">
        <v>2015</v>
      </c>
      <c r="F4814" t="s">
        <v>32</v>
      </c>
      <c r="G4814">
        <v>0.9071683876092137</v>
      </c>
      <c r="H4814">
        <v>0.88593565601108315</v>
      </c>
      <c r="I4814">
        <v>0.90535127362366474</v>
      </c>
      <c r="J4814">
        <v>0.89136029411764706</v>
      </c>
      <c r="K4814">
        <v>0.89991208493947383</v>
      </c>
      <c r="L4814">
        <v>0.90962572837292699</v>
      </c>
      <c r="M4814">
        <v>0.82554517133956384</v>
      </c>
    </row>
    <row r="4815" spans="4:19" x14ac:dyDescent="0.25">
      <c r="D4815" t="s">
        <v>122</v>
      </c>
      <c r="E4815">
        <v>2013</v>
      </c>
      <c r="F4815" t="s">
        <v>33</v>
      </c>
      <c r="S4815">
        <v>0.90806989283397099</v>
      </c>
    </row>
    <row r="4816" spans="4:19" x14ac:dyDescent="0.25">
      <c r="D4816" t="s">
        <v>122</v>
      </c>
      <c r="E4816">
        <v>2014</v>
      </c>
      <c r="F4816" t="s">
        <v>33</v>
      </c>
      <c r="S4816">
        <v>0.89882288902497109</v>
      </c>
    </row>
    <row r="4817" spans="4:19" x14ac:dyDescent="0.25">
      <c r="D4817" t="s">
        <v>122</v>
      </c>
      <c r="E4817">
        <v>2015</v>
      </c>
      <c r="F4817" t="s">
        <v>33</v>
      </c>
      <c r="S4817">
        <v>0.89482917361335756</v>
      </c>
    </row>
    <row r="4818" spans="4:19" x14ac:dyDescent="0.25">
      <c r="D4818" t="s">
        <v>122</v>
      </c>
      <c r="E4818">
        <v>2013</v>
      </c>
      <c r="F4818" t="s">
        <v>34</v>
      </c>
      <c r="G4818">
        <v>0.91248007761069916</v>
      </c>
      <c r="H4818">
        <v>0.88591133004926104</v>
      </c>
      <c r="I4818">
        <v>0.90824213668018672</v>
      </c>
      <c r="J4818">
        <v>0.88621337033711534</v>
      </c>
      <c r="K4818">
        <v>0.8999328408327737</v>
      </c>
      <c r="L4818">
        <v>0.92980652397420316</v>
      </c>
      <c r="M4818">
        <v>0.94224743839444491</v>
      </c>
      <c r="N4818">
        <v>0.94762462814387449</v>
      </c>
      <c r="O4818">
        <v>0.88600612870275797</v>
      </c>
      <c r="P4818">
        <v>0.80722587165234971</v>
      </c>
      <c r="Q4818">
        <v>0.88149483691198161</v>
      </c>
      <c r="R4818">
        <v>0.95742817098808686</v>
      </c>
    </row>
    <row r="4819" spans="4:19" x14ac:dyDescent="0.25">
      <c r="D4819" t="s">
        <v>122</v>
      </c>
      <c r="E4819">
        <v>2014</v>
      </c>
      <c r="F4819" t="s">
        <v>34</v>
      </c>
      <c r="G4819">
        <v>0.92534448481524645</v>
      </c>
      <c r="H4819">
        <v>0.81845829195630582</v>
      </c>
      <c r="I4819">
        <v>0.93023980068514478</v>
      </c>
      <c r="J4819">
        <v>0.89690556357223028</v>
      </c>
      <c r="K4819">
        <v>0.90391304347826085</v>
      </c>
      <c r="L4819">
        <v>0.87929114863611058</v>
      </c>
      <c r="M4819">
        <v>0.96763426721958123</v>
      </c>
      <c r="N4819">
        <v>0.94346627068307165</v>
      </c>
      <c r="O4819">
        <v>0.96746121831252363</v>
      </c>
      <c r="P4819">
        <v>0.95405381246089216</v>
      </c>
      <c r="Q4819">
        <v>0.91838148001582909</v>
      </c>
      <c r="R4819">
        <v>0.94171303475326096</v>
      </c>
    </row>
    <row r="4820" spans="4:19" x14ac:dyDescent="0.25">
      <c r="D4820" t="s">
        <v>122</v>
      </c>
      <c r="E4820">
        <v>2015</v>
      </c>
      <c r="F4820" t="s">
        <v>34</v>
      </c>
      <c r="G4820">
        <v>0.91668033459078235</v>
      </c>
      <c r="H4820">
        <v>0.88999683444127886</v>
      </c>
      <c r="I4820">
        <v>0.92805249589875793</v>
      </c>
      <c r="J4820">
        <v>0.9077870824910963</v>
      </c>
      <c r="K4820">
        <v>0.91058570660934979</v>
      </c>
      <c r="L4820">
        <v>0.9251782572460413</v>
      </c>
      <c r="M4820">
        <v>0.79363265306122444</v>
      </c>
    </row>
    <row r="4821" spans="4:19" x14ac:dyDescent="0.25">
      <c r="D4821" t="s">
        <v>123</v>
      </c>
      <c r="E4821">
        <v>2013</v>
      </c>
      <c r="F4821" t="s">
        <v>17</v>
      </c>
      <c r="S4821">
        <v>0.85203276699029129</v>
      </c>
    </row>
    <row r="4822" spans="4:19" x14ac:dyDescent="0.25">
      <c r="D4822" t="s">
        <v>123</v>
      </c>
      <c r="E4822">
        <v>2014</v>
      </c>
      <c r="F4822" t="s">
        <v>17</v>
      </c>
      <c r="S4822">
        <v>0.90691901487911664</v>
      </c>
    </row>
    <row r="4823" spans="4:19" x14ac:dyDescent="0.25">
      <c r="D4823" t="s">
        <v>123</v>
      </c>
      <c r="E4823">
        <v>2015</v>
      </c>
      <c r="F4823" t="s">
        <v>17</v>
      </c>
      <c r="S4823">
        <v>0.93708569543177656</v>
      </c>
    </row>
    <row r="4824" spans="4:19" x14ac:dyDescent="0.25">
      <c r="D4824" t="s">
        <v>123</v>
      </c>
      <c r="E4824">
        <v>2013</v>
      </c>
      <c r="F4824" t="s">
        <v>18</v>
      </c>
      <c r="G4824">
        <v>0.7937355543157727</v>
      </c>
      <c r="H4824">
        <v>0.77949032314563449</v>
      </c>
      <c r="I4824">
        <v>0.72743977133523885</v>
      </c>
      <c r="J4824">
        <v>0.77958546913305105</v>
      </c>
      <c r="K4824">
        <v>1</v>
      </c>
      <c r="L4824">
        <v>1</v>
      </c>
      <c r="M4824">
        <v>1</v>
      </c>
      <c r="N4824">
        <v>1</v>
      </c>
      <c r="O4824">
        <v>1</v>
      </c>
      <c r="P4824">
        <v>1</v>
      </c>
      <c r="Q4824">
        <v>0.94463130659767136</v>
      </c>
      <c r="R4824">
        <v>0.91938846421125786</v>
      </c>
    </row>
    <row r="4825" spans="4:19" x14ac:dyDescent="0.25">
      <c r="D4825" t="s">
        <v>123</v>
      </c>
      <c r="E4825">
        <v>2014</v>
      </c>
      <c r="F4825" t="s">
        <v>18</v>
      </c>
      <c r="G4825">
        <v>0.89135109864422624</v>
      </c>
      <c r="H4825">
        <v>0.91290111329404056</v>
      </c>
      <c r="I4825">
        <v>0.89184539511411864</v>
      </c>
      <c r="J4825">
        <v>0.91909924937447873</v>
      </c>
      <c r="K4825">
        <v>0.91374053309727554</v>
      </c>
      <c r="L4825">
        <v>0.91594774463889572</v>
      </c>
      <c r="M4825">
        <v>0.90676530885105622</v>
      </c>
      <c r="N4825">
        <v>0.88533070575193984</v>
      </c>
      <c r="O4825">
        <v>0.91768583571862261</v>
      </c>
      <c r="P4825">
        <v>0.88156035051352111</v>
      </c>
      <c r="Q4825">
        <v>0.89805414551607443</v>
      </c>
      <c r="R4825">
        <v>0.91276616622510054</v>
      </c>
    </row>
    <row r="4826" spans="4:19" x14ac:dyDescent="0.25">
      <c r="D4826" t="s">
        <v>123</v>
      </c>
      <c r="E4826">
        <v>2015</v>
      </c>
      <c r="F4826" t="s">
        <v>18</v>
      </c>
      <c r="G4826">
        <v>0.9128964059196617</v>
      </c>
      <c r="H4826">
        <v>0.89968528717545238</v>
      </c>
      <c r="I4826">
        <v>0.94561680766012823</v>
      </c>
      <c r="J4826">
        <v>0.95622298570320297</v>
      </c>
      <c r="K4826">
        <v>0.95780362456045443</v>
      </c>
      <c r="L4826">
        <v>0.92942368302566414</v>
      </c>
      <c r="M4826">
        <v>0.97380317607511302</v>
      </c>
    </row>
    <row r="4827" spans="4:19" x14ac:dyDescent="0.25">
      <c r="D4827" t="s">
        <v>123</v>
      </c>
      <c r="E4827">
        <v>2013</v>
      </c>
      <c r="F4827" t="s">
        <v>19</v>
      </c>
      <c r="S4827">
        <v>0.63960744619988563</v>
      </c>
    </row>
    <row r="4828" spans="4:19" x14ac:dyDescent="0.25">
      <c r="D4828" t="s">
        <v>123</v>
      </c>
      <c r="E4828">
        <v>2014</v>
      </c>
      <c r="F4828" t="s">
        <v>19</v>
      </c>
      <c r="S4828">
        <v>0.97958969350409308</v>
      </c>
    </row>
    <row r="4829" spans="4:19" x14ac:dyDescent="0.25">
      <c r="D4829" t="s">
        <v>123</v>
      </c>
      <c r="E4829">
        <v>2015</v>
      </c>
      <c r="F4829" t="s">
        <v>19</v>
      </c>
      <c r="S4829">
        <v>0.98502707722295268</v>
      </c>
    </row>
    <row r="4830" spans="4:19" x14ac:dyDescent="0.25">
      <c r="D4830" t="s">
        <v>123</v>
      </c>
      <c r="E4830">
        <v>2013</v>
      </c>
      <c r="F4830" t="s">
        <v>20</v>
      </c>
      <c r="G4830">
        <v>0.60912641707154425</v>
      </c>
      <c r="H4830">
        <v>0.62013939838591348</v>
      </c>
      <c r="I4830">
        <v>0.53561321264231243</v>
      </c>
      <c r="J4830">
        <v>0.56037902716361343</v>
      </c>
      <c r="K4830">
        <v>0.4807856013620333</v>
      </c>
      <c r="L4830">
        <v>0.67538176361550006</v>
      </c>
      <c r="M4830">
        <v>0.94600828024273587</v>
      </c>
      <c r="N4830">
        <v>0.85375679220535883</v>
      </c>
      <c r="O4830">
        <v>0.85374883753575126</v>
      </c>
      <c r="P4830">
        <v>0.72801568274236061</v>
      </c>
      <c r="Q4830">
        <v>0.79606358581257264</v>
      </c>
      <c r="R4830">
        <v>0.97482908106440946</v>
      </c>
    </row>
    <row r="4831" spans="4:19" x14ac:dyDescent="0.25">
      <c r="D4831" t="s">
        <v>123</v>
      </c>
      <c r="E4831">
        <v>2014</v>
      </c>
      <c r="F4831" t="s">
        <v>20</v>
      </c>
      <c r="G4831">
        <v>0.98765685770896017</v>
      </c>
      <c r="H4831">
        <v>0.98328485825419631</v>
      </c>
      <c r="I4831">
        <v>0.98685161928682874</v>
      </c>
      <c r="J4831">
        <v>0.98554936305732488</v>
      </c>
      <c r="K4831">
        <v>0.96964880912963824</v>
      </c>
      <c r="L4831">
        <v>0.965677390122338</v>
      </c>
      <c r="M4831">
        <v>0.97493224932249323</v>
      </c>
      <c r="N4831">
        <v>0.86865086101208999</v>
      </c>
      <c r="O4831">
        <v>0.83603958230823905</v>
      </c>
      <c r="P4831">
        <v>0.95113932916840838</v>
      </c>
      <c r="Q4831">
        <v>0.98735125380909416</v>
      </c>
      <c r="R4831">
        <v>0.98468393205235305</v>
      </c>
    </row>
    <row r="4832" spans="4:19" x14ac:dyDescent="0.25">
      <c r="D4832" t="s">
        <v>123</v>
      </c>
      <c r="E4832">
        <v>2015</v>
      </c>
      <c r="F4832" t="s">
        <v>20</v>
      </c>
      <c r="G4832">
        <v>0.98786540905746201</v>
      </c>
      <c r="H4832">
        <v>0.96987221944009172</v>
      </c>
      <c r="I4832">
        <v>0.97804133029953555</v>
      </c>
      <c r="J4832">
        <v>0.98637054468794427</v>
      </c>
      <c r="K4832">
        <v>0.99286677840003268</v>
      </c>
      <c r="L4832">
        <v>0.9868081622565148</v>
      </c>
      <c r="M4832">
        <v>0.99501549238852216</v>
      </c>
    </row>
    <row r="4833" spans="4:19" x14ac:dyDescent="0.25">
      <c r="D4833" t="s">
        <v>123</v>
      </c>
      <c r="E4833">
        <v>2013</v>
      </c>
      <c r="F4833" t="s">
        <v>21</v>
      </c>
      <c r="S4833">
        <v>0.84449982718160488</v>
      </c>
    </row>
    <row r="4834" spans="4:19" x14ac:dyDescent="0.25">
      <c r="D4834" t="s">
        <v>123</v>
      </c>
      <c r="E4834">
        <v>2014</v>
      </c>
      <c r="F4834" t="s">
        <v>21</v>
      </c>
      <c r="S4834">
        <v>0.97756518224078692</v>
      </c>
    </row>
    <row r="4835" spans="4:19" x14ac:dyDescent="0.25">
      <c r="D4835" t="s">
        <v>123</v>
      </c>
      <c r="E4835">
        <v>2015</v>
      </c>
      <c r="F4835" t="s">
        <v>21</v>
      </c>
      <c r="S4835">
        <v>0.97282583334629569</v>
      </c>
    </row>
    <row r="4836" spans="4:19" x14ac:dyDescent="0.25">
      <c r="D4836" t="s">
        <v>123</v>
      </c>
      <c r="E4836">
        <v>2013</v>
      </c>
      <c r="F4836" t="s">
        <v>22</v>
      </c>
      <c r="G4836">
        <v>0.81179039301310041</v>
      </c>
      <c r="H4836">
        <v>0.85261606484893149</v>
      </c>
      <c r="I4836">
        <v>0.80316863587540277</v>
      </c>
      <c r="J4836">
        <v>0.76891749868628478</v>
      </c>
      <c r="K4836">
        <v>0.87916964924838936</v>
      </c>
      <c r="L4836">
        <v>0.90756091434312991</v>
      </c>
      <c r="M4836">
        <v>0.88701629892449274</v>
      </c>
      <c r="N4836">
        <v>0.90885033813584237</v>
      </c>
      <c r="O4836">
        <v>0.92718382450112324</v>
      </c>
      <c r="P4836">
        <v>0.9120904476234426</v>
      </c>
      <c r="Q4836">
        <v>0.8927769708173775</v>
      </c>
      <c r="R4836">
        <v>0.94704264099037139</v>
      </c>
    </row>
    <row r="4837" spans="4:19" x14ac:dyDescent="0.25">
      <c r="D4837" t="s">
        <v>123</v>
      </c>
      <c r="E4837">
        <v>2014</v>
      </c>
      <c r="F4837" t="s">
        <v>22</v>
      </c>
      <c r="G4837">
        <v>0.98728685299162544</v>
      </c>
      <c r="H4837">
        <v>0.98411437648927724</v>
      </c>
      <c r="I4837">
        <v>0.97828971173561696</v>
      </c>
      <c r="J4837">
        <v>0.98019453884917385</v>
      </c>
      <c r="K4837">
        <v>0.966742596810934</v>
      </c>
      <c r="L4837">
        <v>0.97218656397090286</v>
      </c>
      <c r="M4837">
        <v>0.97180327868852456</v>
      </c>
      <c r="N4837">
        <v>0.93021922911591914</v>
      </c>
      <c r="O4837">
        <v>0.952603928734582</v>
      </c>
      <c r="P4837">
        <v>0.96351197263397947</v>
      </c>
      <c r="Q4837">
        <v>0.97059223961878827</v>
      </c>
      <c r="R4837">
        <v>0.97433108549053726</v>
      </c>
    </row>
    <row r="4838" spans="4:19" x14ac:dyDescent="0.25">
      <c r="D4838" t="s">
        <v>123</v>
      </c>
      <c r="E4838">
        <v>2015</v>
      </c>
      <c r="F4838" t="s">
        <v>22</v>
      </c>
      <c r="G4838">
        <v>0.96087533156498672</v>
      </c>
      <c r="H4838">
        <v>0.97343200291156129</v>
      </c>
      <c r="I4838">
        <v>0.96557071960297769</v>
      </c>
      <c r="J4838">
        <v>0.97802077638053586</v>
      </c>
      <c r="K4838">
        <v>0.98230088495575218</v>
      </c>
      <c r="L4838">
        <v>0.98239470868592549</v>
      </c>
      <c r="M4838">
        <v>0.97000223863890755</v>
      </c>
    </row>
    <row r="4839" spans="4:19" x14ac:dyDescent="0.25">
      <c r="D4839" t="s">
        <v>123</v>
      </c>
      <c r="E4839">
        <v>2013</v>
      </c>
      <c r="F4839" t="s">
        <v>23</v>
      </c>
      <c r="S4839">
        <v>141441</v>
      </c>
    </row>
    <row r="4840" spans="4:19" x14ac:dyDescent="0.25">
      <c r="D4840" t="s">
        <v>123</v>
      </c>
      <c r="E4840">
        <v>2014</v>
      </c>
      <c r="F4840" t="s">
        <v>23</v>
      </c>
      <c r="S4840">
        <v>115405</v>
      </c>
    </row>
    <row r="4841" spans="4:19" x14ac:dyDescent="0.25">
      <c r="D4841" t="s">
        <v>123</v>
      </c>
      <c r="E4841">
        <v>2015</v>
      </c>
      <c r="F4841" t="s">
        <v>23</v>
      </c>
      <c r="S4841">
        <v>98245</v>
      </c>
    </row>
    <row r="4842" spans="4:19" x14ac:dyDescent="0.25">
      <c r="D4842" t="s">
        <v>123</v>
      </c>
      <c r="E4842">
        <v>2013</v>
      </c>
      <c r="F4842" t="s">
        <v>24</v>
      </c>
      <c r="G4842">
        <v>25352</v>
      </c>
      <c r="H4842">
        <v>28041</v>
      </c>
      <c r="I4842">
        <v>19072</v>
      </c>
      <c r="J4842">
        <v>18164</v>
      </c>
      <c r="K4842">
        <v>19202</v>
      </c>
      <c r="L4842">
        <v>15061</v>
      </c>
      <c r="M4842">
        <v>16549</v>
      </c>
      <c r="N4842">
        <v>16263</v>
      </c>
      <c r="O4842">
        <v>19558</v>
      </c>
      <c r="P4842">
        <v>18005</v>
      </c>
      <c r="Q4842">
        <v>16613</v>
      </c>
      <c r="R4842">
        <v>16064</v>
      </c>
    </row>
    <row r="4843" spans="4:19" x14ac:dyDescent="0.25">
      <c r="D4843" t="s">
        <v>123</v>
      </c>
      <c r="E4843">
        <v>2014</v>
      </c>
      <c r="F4843" t="s">
        <v>24</v>
      </c>
      <c r="G4843">
        <v>20141</v>
      </c>
      <c r="H4843">
        <v>17706</v>
      </c>
      <c r="I4843">
        <v>16181</v>
      </c>
      <c r="J4843">
        <v>13691</v>
      </c>
      <c r="K4843">
        <v>15368</v>
      </c>
      <c r="L4843">
        <v>14993</v>
      </c>
      <c r="M4843">
        <v>17325</v>
      </c>
      <c r="N4843">
        <v>17629</v>
      </c>
      <c r="O4843">
        <v>22525</v>
      </c>
      <c r="P4843">
        <v>20144</v>
      </c>
      <c r="Q4843">
        <v>15549</v>
      </c>
      <c r="R4843">
        <v>16679</v>
      </c>
    </row>
    <row r="4844" spans="4:19" x14ac:dyDescent="0.25">
      <c r="D4844" t="s">
        <v>123</v>
      </c>
      <c r="E4844">
        <v>2015</v>
      </c>
      <c r="F4844" t="s">
        <v>24</v>
      </c>
      <c r="G4844">
        <v>17830</v>
      </c>
      <c r="H4844">
        <v>16427</v>
      </c>
      <c r="I4844">
        <v>14413</v>
      </c>
      <c r="J4844">
        <v>11940</v>
      </c>
      <c r="K4844">
        <v>10664</v>
      </c>
      <c r="L4844">
        <v>13344</v>
      </c>
      <c r="M4844">
        <v>13627</v>
      </c>
    </row>
    <row r="4845" spans="4:19" x14ac:dyDescent="0.25">
      <c r="D4845" t="s">
        <v>123</v>
      </c>
      <c r="E4845">
        <v>2013</v>
      </c>
      <c r="F4845" t="s">
        <v>25</v>
      </c>
      <c r="S4845">
        <v>305403</v>
      </c>
    </row>
    <row r="4846" spans="4:19" x14ac:dyDescent="0.25">
      <c r="D4846" t="s">
        <v>123</v>
      </c>
      <c r="E4846">
        <v>2014</v>
      </c>
      <c r="F4846" t="s">
        <v>25</v>
      </c>
      <c r="S4846">
        <v>315286</v>
      </c>
    </row>
    <row r="4847" spans="4:19" x14ac:dyDescent="0.25">
      <c r="D4847" t="s">
        <v>123</v>
      </c>
      <c r="E4847">
        <v>2015</v>
      </c>
      <c r="F4847" t="s">
        <v>25</v>
      </c>
      <c r="S4847">
        <v>347020</v>
      </c>
    </row>
    <row r="4848" spans="4:19" x14ac:dyDescent="0.25">
      <c r="D4848" t="s">
        <v>123</v>
      </c>
      <c r="E4848">
        <v>2013</v>
      </c>
      <c r="F4848" t="s">
        <v>26</v>
      </c>
      <c r="G4848">
        <v>49452</v>
      </c>
      <c r="H4848">
        <v>42979</v>
      </c>
      <c r="I4848">
        <v>41912</v>
      </c>
      <c r="J4848">
        <v>38254</v>
      </c>
      <c r="K4848">
        <v>39903</v>
      </c>
      <c r="L4848">
        <v>45887</v>
      </c>
      <c r="M4848">
        <v>47016</v>
      </c>
      <c r="N4848">
        <v>43737</v>
      </c>
      <c r="O4848">
        <v>63400</v>
      </c>
      <c r="P4848">
        <v>61831</v>
      </c>
      <c r="Q4848">
        <v>58625</v>
      </c>
      <c r="R4848">
        <v>56820</v>
      </c>
    </row>
    <row r="4849" spans="4:19" x14ac:dyDescent="0.25">
      <c r="D4849" t="s">
        <v>123</v>
      </c>
      <c r="E4849">
        <v>2014</v>
      </c>
      <c r="F4849" t="s">
        <v>26</v>
      </c>
      <c r="G4849">
        <v>54860</v>
      </c>
      <c r="H4849">
        <v>47177</v>
      </c>
      <c r="I4849">
        <v>42834</v>
      </c>
      <c r="J4849">
        <v>40553</v>
      </c>
      <c r="K4849">
        <v>40790</v>
      </c>
      <c r="L4849">
        <v>42776</v>
      </c>
      <c r="M4849">
        <v>46296</v>
      </c>
      <c r="N4849">
        <v>46661</v>
      </c>
      <c r="O4849">
        <v>59076</v>
      </c>
      <c r="P4849">
        <v>61804</v>
      </c>
      <c r="Q4849">
        <v>54015</v>
      </c>
      <c r="R4849">
        <v>67406</v>
      </c>
    </row>
    <row r="4850" spans="4:19" x14ac:dyDescent="0.25">
      <c r="D4850" t="s">
        <v>123</v>
      </c>
      <c r="E4850">
        <v>2015</v>
      </c>
      <c r="F4850" t="s">
        <v>26</v>
      </c>
      <c r="G4850">
        <v>60406</v>
      </c>
      <c r="H4850">
        <v>49438</v>
      </c>
      <c r="I4850">
        <v>49154</v>
      </c>
      <c r="J4850">
        <v>43485</v>
      </c>
      <c r="K4850">
        <v>41208</v>
      </c>
      <c r="L4850">
        <v>51885</v>
      </c>
      <c r="M4850">
        <v>51444</v>
      </c>
    </row>
    <row r="4851" spans="4:19" x14ac:dyDescent="0.25">
      <c r="D4851" t="s">
        <v>123</v>
      </c>
      <c r="E4851">
        <v>2013</v>
      </c>
      <c r="F4851" t="s">
        <v>27</v>
      </c>
      <c r="S4851">
        <v>515274</v>
      </c>
    </row>
    <row r="4852" spans="4:19" x14ac:dyDescent="0.25">
      <c r="D4852" t="s">
        <v>123</v>
      </c>
      <c r="E4852">
        <v>2014</v>
      </c>
      <c r="F4852" t="s">
        <v>27</v>
      </c>
      <c r="S4852">
        <v>524905</v>
      </c>
    </row>
    <row r="4853" spans="4:19" x14ac:dyDescent="0.25">
      <c r="D4853" t="s">
        <v>123</v>
      </c>
      <c r="E4853">
        <v>2015</v>
      </c>
      <c r="F4853" t="s">
        <v>27</v>
      </c>
      <c r="S4853">
        <v>575070</v>
      </c>
    </row>
    <row r="4854" spans="4:19" x14ac:dyDescent="0.25">
      <c r="D4854" t="s">
        <v>123</v>
      </c>
      <c r="E4854">
        <v>2013</v>
      </c>
      <c r="F4854" t="s">
        <v>28</v>
      </c>
      <c r="G4854">
        <v>81820</v>
      </c>
      <c r="H4854">
        <v>73315</v>
      </c>
      <c r="I4854">
        <v>70101</v>
      </c>
      <c r="J4854">
        <v>65421</v>
      </c>
      <c r="K4854">
        <v>67757</v>
      </c>
      <c r="L4854">
        <v>76167</v>
      </c>
      <c r="M4854">
        <v>80693</v>
      </c>
      <c r="N4854">
        <v>77473</v>
      </c>
      <c r="O4854">
        <v>111545</v>
      </c>
      <c r="P4854">
        <v>105656</v>
      </c>
      <c r="Q4854">
        <v>93517</v>
      </c>
      <c r="R4854">
        <v>91483</v>
      </c>
    </row>
    <row r="4855" spans="4:19" x14ac:dyDescent="0.25">
      <c r="D4855" t="s">
        <v>123</v>
      </c>
      <c r="E4855">
        <v>2014</v>
      </c>
      <c r="F4855" t="s">
        <v>28</v>
      </c>
      <c r="G4855">
        <v>91790</v>
      </c>
      <c r="H4855">
        <v>79993</v>
      </c>
      <c r="I4855">
        <v>71873</v>
      </c>
      <c r="J4855">
        <v>68475</v>
      </c>
      <c r="K4855">
        <v>65539</v>
      </c>
      <c r="L4855">
        <v>69615</v>
      </c>
      <c r="M4855">
        <v>77620</v>
      </c>
      <c r="N4855">
        <v>78766</v>
      </c>
      <c r="O4855">
        <v>104379</v>
      </c>
      <c r="P4855">
        <v>103849</v>
      </c>
      <c r="Q4855">
        <v>88497</v>
      </c>
      <c r="R4855">
        <v>106276</v>
      </c>
    </row>
    <row r="4856" spans="4:19" x14ac:dyDescent="0.25">
      <c r="D4856" t="s">
        <v>123</v>
      </c>
      <c r="E4856">
        <v>2015</v>
      </c>
      <c r="F4856" t="s">
        <v>28</v>
      </c>
      <c r="G4856">
        <v>97404</v>
      </c>
      <c r="H4856">
        <v>83031</v>
      </c>
      <c r="I4856">
        <v>83372</v>
      </c>
      <c r="J4856">
        <v>74368</v>
      </c>
      <c r="K4856">
        <v>66903</v>
      </c>
      <c r="L4856">
        <v>84303</v>
      </c>
      <c r="M4856">
        <v>85689</v>
      </c>
    </row>
    <row r="4857" spans="4:19" x14ac:dyDescent="0.25">
      <c r="D4857" t="s">
        <v>123</v>
      </c>
      <c r="E4857">
        <v>2013</v>
      </c>
      <c r="F4857" t="s">
        <v>29</v>
      </c>
      <c r="S4857">
        <v>65920</v>
      </c>
    </row>
    <row r="4858" spans="4:19" x14ac:dyDescent="0.25">
      <c r="D4858" t="s">
        <v>123</v>
      </c>
      <c r="E4858">
        <v>2014</v>
      </c>
      <c r="F4858" t="s">
        <v>29</v>
      </c>
      <c r="S4858">
        <v>66469</v>
      </c>
    </row>
    <row r="4859" spans="4:19" x14ac:dyDescent="0.25">
      <c r="D4859" t="s">
        <v>123</v>
      </c>
      <c r="E4859">
        <v>2015</v>
      </c>
      <c r="F4859" t="s">
        <v>29</v>
      </c>
      <c r="S4859">
        <v>66678</v>
      </c>
    </row>
    <row r="4860" spans="4:19" x14ac:dyDescent="0.25">
      <c r="D4860" t="s">
        <v>123</v>
      </c>
      <c r="E4860">
        <v>2013</v>
      </c>
      <c r="F4860" t="s">
        <v>30</v>
      </c>
      <c r="G4860">
        <v>12547</v>
      </c>
      <c r="H4860">
        <v>11419</v>
      </c>
      <c r="I4860">
        <v>9796</v>
      </c>
      <c r="J4860">
        <v>8974</v>
      </c>
      <c r="K4860">
        <v>7468</v>
      </c>
      <c r="L4860">
        <v>7199</v>
      </c>
      <c r="M4860">
        <v>8517</v>
      </c>
      <c r="N4860">
        <v>9118</v>
      </c>
      <c r="O4860">
        <v>11551</v>
      </c>
      <c r="P4860">
        <v>10594</v>
      </c>
      <c r="Q4860">
        <v>11595</v>
      </c>
      <c r="R4860">
        <v>8634</v>
      </c>
    </row>
    <row r="4861" spans="4:19" x14ac:dyDescent="0.25">
      <c r="D4861" t="s">
        <v>123</v>
      </c>
      <c r="E4861">
        <v>2014</v>
      </c>
      <c r="F4861" t="s">
        <v>30</v>
      </c>
      <c r="G4861">
        <v>10695</v>
      </c>
      <c r="H4861">
        <v>9162</v>
      </c>
      <c r="I4861">
        <v>8719</v>
      </c>
      <c r="J4861">
        <v>8393</v>
      </c>
      <c r="K4861">
        <v>10167</v>
      </c>
      <c r="L4861">
        <v>8114</v>
      </c>
      <c r="M4861">
        <v>11219</v>
      </c>
      <c r="N4861">
        <v>8119</v>
      </c>
      <c r="O4861">
        <v>11529</v>
      </c>
      <c r="P4861">
        <v>10613</v>
      </c>
      <c r="Q4861">
        <v>9456</v>
      </c>
      <c r="R4861">
        <v>10191</v>
      </c>
    </row>
    <row r="4862" spans="4:19" x14ac:dyDescent="0.25">
      <c r="D4862" t="s">
        <v>123</v>
      </c>
      <c r="E4862">
        <v>2015</v>
      </c>
      <c r="F4862" t="s">
        <v>30</v>
      </c>
      <c r="G4862">
        <v>11825</v>
      </c>
      <c r="H4862">
        <v>10168</v>
      </c>
      <c r="I4862">
        <v>10757</v>
      </c>
      <c r="J4862">
        <v>9023</v>
      </c>
      <c r="K4862">
        <v>7394</v>
      </c>
      <c r="L4862">
        <v>8884</v>
      </c>
      <c r="M4862">
        <v>8627</v>
      </c>
    </row>
    <row r="4863" spans="4:19" x14ac:dyDescent="0.25">
      <c r="D4863" t="s">
        <v>123</v>
      </c>
      <c r="E4863">
        <v>2013</v>
      </c>
      <c r="F4863" t="s">
        <v>31</v>
      </c>
      <c r="S4863">
        <v>0.74193479966912002</v>
      </c>
    </row>
    <row r="4864" spans="4:19" x14ac:dyDescent="0.25">
      <c r="D4864" t="s">
        <v>123</v>
      </c>
      <c r="E4864">
        <v>2014</v>
      </c>
      <c r="F4864" t="s">
        <v>31</v>
      </c>
      <c r="S4864">
        <v>0.93006368874832113</v>
      </c>
    </row>
    <row r="4865" spans="4:19" x14ac:dyDescent="0.25">
      <c r="D4865" t="s">
        <v>123</v>
      </c>
      <c r="E4865">
        <v>2015</v>
      </c>
      <c r="F4865" t="s">
        <v>31</v>
      </c>
      <c r="S4865">
        <v>0.9080563896381495</v>
      </c>
    </row>
    <row r="4866" spans="4:19" x14ac:dyDescent="0.25">
      <c r="D4866" t="s">
        <v>123</v>
      </c>
      <c r="E4866">
        <v>2013</v>
      </c>
      <c r="F4866" t="s">
        <v>32</v>
      </c>
      <c r="G4866">
        <v>0.63068002524455669</v>
      </c>
      <c r="H4866">
        <v>0.62173246317891662</v>
      </c>
      <c r="I4866">
        <v>0.79068791946308725</v>
      </c>
      <c r="J4866">
        <v>0.75935917198854874</v>
      </c>
      <c r="K4866">
        <v>0.7282574731798771</v>
      </c>
      <c r="L4866">
        <v>0.899010689861231</v>
      </c>
      <c r="M4866">
        <v>0.91365037162366303</v>
      </c>
      <c r="N4866">
        <v>0.93094754965258564</v>
      </c>
      <c r="O4866">
        <v>0.90157480314960625</v>
      </c>
      <c r="P4866">
        <v>0.97256317689530691</v>
      </c>
      <c r="Q4866">
        <v>0.92915186901823876</v>
      </c>
      <c r="R4866">
        <v>0.95598854581673309</v>
      </c>
    </row>
    <row r="4867" spans="4:19" x14ac:dyDescent="0.25">
      <c r="D4867" t="s">
        <v>123</v>
      </c>
      <c r="E4867">
        <v>2014</v>
      </c>
      <c r="F4867" t="s">
        <v>32</v>
      </c>
      <c r="G4867">
        <v>0.89206097016036945</v>
      </c>
      <c r="H4867">
        <v>0.92753868745058177</v>
      </c>
      <c r="I4867">
        <v>0.95086830232989306</v>
      </c>
      <c r="J4867">
        <v>0.97158717405594919</v>
      </c>
      <c r="K4867">
        <v>0.91111400312337321</v>
      </c>
      <c r="L4867">
        <v>0.92763289535116389</v>
      </c>
      <c r="M4867">
        <v>0.94349206349206349</v>
      </c>
      <c r="N4867">
        <v>0.89477565375233992</v>
      </c>
      <c r="O4867">
        <v>0.90255271920088787</v>
      </c>
      <c r="P4867">
        <v>0.86869539316918187</v>
      </c>
      <c r="Q4867">
        <v>0.93967457714322467</v>
      </c>
      <c r="R4867">
        <v>0.94442112836500991</v>
      </c>
    </row>
    <row r="4868" spans="4:19" x14ac:dyDescent="0.25">
      <c r="D4868" t="s">
        <v>123</v>
      </c>
      <c r="E4868">
        <v>2015</v>
      </c>
      <c r="F4868" t="s">
        <v>32</v>
      </c>
      <c r="G4868">
        <v>0.89770050476724617</v>
      </c>
      <c r="H4868">
        <v>0.90174712363791321</v>
      </c>
      <c r="I4868">
        <v>0.91514604870602922</v>
      </c>
      <c r="J4868">
        <v>0.92010050251256281</v>
      </c>
      <c r="K4868">
        <v>0.90997749437359343</v>
      </c>
      <c r="L4868">
        <v>0.90182853717026379</v>
      </c>
      <c r="M4868">
        <v>0.91575548543333085</v>
      </c>
    </row>
    <row r="4869" spans="4:19" x14ac:dyDescent="0.25">
      <c r="D4869" t="s">
        <v>123</v>
      </c>
      <c r="E4869">
        <v>2013</v>
      </c>
      <c r="F4869" t="s">
        <v>33</v>
      </c>
      <c r="S4869">
        <v>0.6968254482259858</v>
      </c>
    </row>
    <row r="4870" spans="4:19" x14ac:dyDescent="0.25">
      <c r="D4870" t="s">
        <v>123</v>
      </c>
      <c r="E4870">
        <v>2014</v>
      </c>
      <c r="F4870" t="s">
        <v>33</v>
      </c>
      <c r="S4870">
        <v>0.89598455271948241</v>
      </c>
    </row>
    <row r="4871" spans="4:19" x14ac:dyDescent="0.25">
      <c r="D4871" t="s">
        <v>123</v>
      </c>
      <c r="E4871">
        <v>2015</v>
      </c>
      <c r="F4871" t="s">
        <v>33</v>
      </c>
      <c r="S4871">
        <v>0.93010468436079097</v>
      </c>
    </row>
    <row r="4872" spans="4:19" x14ac:dyDescent="0.25">
      <c r="D4872" t="s">
        <v>123</v>
      </c>
      <c r="E4872">
        <v>2013</v>
      </c>
      <c r="F4872" t="s">
        <v>34</v>
      </c>
      <c r="G4872">
        <v>0.54333638653537897</v>
      </c>
      <c r="H4872">
        <v>0.50711370905481412</v>
      </c>
      <c r="I4872">
        <v>0.79839034205231385</v>
      </c>
      <c r="J4872">
        <v>0.73411824496018974</v>
      </c>
      <c r="K4872">
        <v>0.69612873134328357</v>
      </c>
      <c r="L4872">
        <v>0.954027836355968</v>
      </c>
      <c r="M4872">
        <v>0.88692410628942842</v>
      </c>
      <c r="N4872">
        <v>0.88808052621088296</v>
      </c>
      <c r="O4872">
        <v>0.8499727223131478</v>
      </c>
      <c r="P4872">
        <v>0.95649110445657914</v>
      </c>
      <c r="Q4872">
        <v>0.88968038241634639</v>
      </c>
      <c r="R4872">
        <v>0.93001385864185315</v>
      </c>
    </row>
    <row r="4873" spans="4:19" x14ac:dyDescent="0.25">
      <c r="D4873" t="s">
        <v>123</v>
      </c>
      <c r="E4873">
        <v>2014</v>
      </c>
      <c r="F4873" t="s">
        <v>34</v>
      </c>
      <c r="G4873">
        <v>0.83320546263618234</v>
      </c>
      <c r="H4873">
        <v>0.88498431196772742</v>
      </c>
      <c r="I4873">
        <v>0.91922373501320864</v>
      </c>
      <c r="J4873">
        <v>0.95662838666518002</v>
      </c>
      <c r="K4873">
        <v>0.85816633786730345</v>
      </c>
      <c r="L4873">
        <v>0.88700270776921475</v>
      </c>
      <c r="M4873">
        <v>0.96696490020646941</v>
      </c>
      <c r="N4873">
        <v>0.9273138832997988</v>
      </c>
      <c r="O4873">
        <v>0.88500000000000001</v>
      </c>
      <c r="P4873">
        <v>0.90322938630562644</v>
      </c>
      <c r="Q4873">
        <v>0.97659457979742681</v>
      </c>
      <c r="R4873">
        <v>0.98522633258480086</v>
      </c>
    </row>
    <row r="4874" spans="4:19" x14ac:dyDescent="0.25">
      <c r="D4874" t="s">
        <v>123</v>
      </c>
      <c r="E4874">
        <v>2015</v>
      </c>
      <c r="F4874" t="s">
        <v>34</v>
      </c>
      <c r="G4874">
        <v>0.89749592833876224</v>
      </c>
      <c r="H4874">
        <v>0.90499178307313066</v>
      </c>
      <c r="I4874">
        <v>0.95679662802950471</v>
      </c>
      <c r="J4874">
        <v>0.96369872802629697</v>
      </c>
      <c r="K4874">
        <v>0.93885912385754811</v>
      </c>
      <c r="L4874">
        <v>0.92256809338521406</v>
      </c>
      <c r="M4874">
        <v>0.94385872430152873</v>
      </c>
    </row>
    <row r="4875" spans="4:19" x14ac:dyDescent="0.25">
      <c r="D4875" t="s">
        <v>124</v>
      </c>
      <c r="E4875">
        <v>2013</v>
      </c>
      <c r="F4875" t="s">
        <v>17</v>
      </c>
      <c r="S4875">
        <v>0.90871053632559906</v>
      </c>
    </row>
    <row r="4876" spans="4:19" x14ac:dyDescent="0.25">
      <c r="D4876" t="s">
        <v>124</v>
      </c>
      <c r="E4876">
        <v>2014</v>
      </c>
      <c r="F4876" t="s">
        <v>17</v>
      </c>
      <c r="S4876">
        <v>0.88922381311228338</v>
      </c>
    </row>
    <row r="4877" spans="4:19" x14ac:dyDescent="0.25">
      <c r="D4877" t="s">
        <v>124</v>
      </c>
      <c r="E4877">
        <v>2015</v>
      </c>
      <c r="F4877" t="s">
        <v>17</v>
      </c>
      <c r="S4877">
        <v>0.92343478589230421</v>
      </c>
    </row>
    <row r="4878" spans="4:19" x14ac:dyDescent="0.25">
      <c r="D4878" t="s">
        <v>124</v>
      </c>
      <c r="E4878">
        <v>2013</v>
      </c>
      <c r="F4878" t="s">
        <v>18</v>
      </c>
      <c r="G4878">
        <v>0.81508616241873899</v>
      </c>
      <c r="H4878">
        <v>0.78499520613614571</v>
      </c>
      <c r="I4878">
        <v>0.94123337363966142</v>
      </c>
      <c r="J4878">
        <v>0.97457850368809273</v>
      </c>
      <c r="K4878">
        <v>0.96614894464356826</v>
      </c>
      <c r="L4878">
        <v>0.95264139216904908</v>
      </c>
      <c r="M4878">
        <v>0.95468133444936032</v>
      </c>
      <c r="N4878">
        <v>0.94130259983918518</v>
      </c>
      <c r="O4878">
        <v>0.9079209896249002</v>
      </c>
      <c r="P4878">
        <v>0.89875012111229535</v>
      </c>
      <c r="Q4878">
        <v>0.89174230684082356</v>
      </c>
      <c r="R4878">
        <v>0.90648127382821264</v>
      </c>
    </row>
    <row r="4879" spans="4:19" x14ac:dyDescent="0.25">
      <c r="D4879" t="s">
        <v>124</v>
      </c>
      <c r="E4879">
        <v>2014</v>
      </c>
      <c r="F4879" t="s">
        <v>18</v>
      </c>
      <c r="G4879">
        <v>0.89960259359966532</v>
      </c>
      <c r="H4879">
        <v>0.89778794813119756</v>
      </c>
      <c r="I4879">
        <v>0.84574103676638501</v>
      </c>
      <c r="J4879">
        <v>0.89710874400093643</v>
      </c>
      <c r="K4879">
        <v>0.85408921933085502</v>
      </c>
      <c r="L4879">
        <v>0.92111046847888955</v>
      </c>
      <c r="M4879">
        <v>0.90334277620396597</v>
      </c>
      <c r="N4879">
        <v>0.89795221843003414</v>
      </c>
      <c r="O4879">
        <v>0.87818105965790572</v>
      </c>
      <c r="P4879">
        <v>0.86404464986482954</v>
      </c>
      <c r="Q4879">
        <v>0.88095466308827763</v>
      </c>
      <c r="R4879">
        <v>0.89888740542946155</v>
      </c>
    </row>
    <row r="4880" spans="4:19" x14ac:dyDescent="0.25">
      <c r="D4880" t="s">
        <v>124</v>
      </c>
      <c r="E4880">
        <v>2015</v>
      </c>
      <c r="F4880" t="s">
        <v>18</v>
      </c>
      <c r="G4880">
        <v>0.89826953329837445</v>
      </c>
      <c r="H4880">
        <v>0.89202097771118183</v>
      </c>
      <c r="I4880">
        <v>0.91808707509496446</v>
      </c>
      <c r="J4880">
        <v>0.92095822242795977</v>
      </c>
      <c r="K4880">
        <v>0.93278252345609858</v>
      </c>
      <c r="L4880">
        <v>0.93654085441725421</v>
      </c>
      <c r="M4880">
        <v>0.9837940896091516</v>
      </c>
    </row>
    <row r="4881" spans="4:19" x14ac:dyDescent="0.25">
      <c r="D4881" t="s">
        <v>124</v>
      </c>
      <c r="E4881">
        <v>2013</v>
      </c>
      <c r="F4881" t="s">
        <v>19</v>
      </c>
      <c r="S4881">
        <v>0.92684174877029424</v>
      </c>
    </row>
    <row r="4882" spans="4:19" x14ac:dyDescent="0.25">
      <c r="D4882" t="s">
        <v>124</v>
      </c>
      <c r="E4882">
        <v>2014</v>
      </c>
      <c r="F4882" t="s">
        <v>19</v>
      </c>
      <c r="S4882">
        <v>0.99296957218610882</v>
      </c>
    </row>
    <row r="4883" spans="4:19" x14ac:dyDescent="0.25">
      <c r="D4883" t="s">
        <v>124</v>
      </c>
      <c r="E4883">
        <v>2015</v>
      </c>
      <c r="F4883" t="s">
        <v>19</v>
      </c>
      <c r="S4883">
        <v>0.99704145256125987</v>
      </c>
    </row>
    <row r="4884" spans="4:19" x14ac:dyDescent="0.25">
      <c r="D4884" t="s">
        <v>124</v>
      </c>
      <c r="E4884">
        <v>2013</v>
      </c>
      <c r="F4884" t="s">
        <v>20</v>
      </c>
      <c r="G4884">
        <v>0.75679522497704321</v>
      </c>
      <c r="H4884">
        <v>0.93241666058793493</v>
      </c>
      <c r="I4884">
        <v>0.95798796181829238</v>
      </c>
      <c r="J4884">
        <v>0.99606132218384535</v>
      </c>
      <c r="K4884">
        <v>0.94499057196731617</v>
      </c>
      <c r="L4884">
        <v>0.99389976199829011</v>
      </c>
      <c r="M4884">
        <v>0.99082114564290069</v>
      </c>
      <c r="N4884">
        <v>0.99815145196999333</v>
      </c>
      <c r="O4884">
        <v>0.99799511414371156</v>
      </c>
      <c r="P4884">
        <v>0.99668665855806737</v>
      </c>
      <c r="Q4884">
        <v>0.97414325689573722</v>
      </c>
      <c r="R4884">
        <v>0.99318468389382786</v>
      </c>
    </row>
    <row r="4885" spans="4:19" x14ac:dyDescent="0.25">
      <c r="D4885" t="s">
        <v>124</v>
      </c>
      <c r="E4885">
        <v>2014</v>
      </c>
      <c r="F4885" t="s">
        <v>20</v>
      </c>
      <c r="G4885">
        <v>0.99695564934615655</v>
      </c>
      <c r="H4885">
        <v>0.99702395880356454</v>
      </c>
      <c r="I4885">
        <v>0.9932151413512218</v>
      </c>
      <c r="J4885">
        <v>0.99000462943478806</v>
      </c>
      <c r="K4885">
        <v>0.99302699102910641</v>
      </c>
      <c r="L4885">
        <v>0.99624347383165668</v>
      </c>
      <c r="M4885">
        <v>0.98401395378608458</v>
      </c>
      <c r="N4885">
        <v>0.99124119163047197</v>
      </c>
      <c r="O4885">
        <v>0.99711180803734223</v>
      </c>
      <c r="P4885">
        <v>0.99464768045407581</v>
      </c>
      <c r="Q4885">
        <v>0.99437463140225923</v>
      </c>
      <c r="R4885">
        <v>0.99557194560210571</v>
      </c>
    </row>
    <row r="4886" spans="4:19" x14ac:dyDescent="0.25">
      <c r="D4886" t="s">
        <v>124</v>
      </c>
      <c r="E4886">
        <v>2015</v>
      </c>
      <c r="F4886" t="s">
        <v>20</v>
      </c>
      <c r="G4886">
        <v>0.99728397935824309</v>
      </c>
      <c r="H4886">
        <v>0.9985929244199403</v>
      </c>
      <c r="I4886">
        <v>0.99469883660954783</v>
      </c>
      <c r="J4886">
        <v>0.99747086694839293</v>
      </c>
      <c r="K4886">
        <v>0.99851595349987632</v>
      </c>
      <c r="L4886">
        <v>0.99729359843766818</v>
      </c>
      <c r="M4886">
        <v>0.99580596660599829</v>
      </c>
    </row>
    <row r="4887" spans="4:19" x14ac:dyDescent="0.25">
      <c r="D4887" t="s">
        <v>124</v>
      </c>
      <c r="E4887">
        <v>2013</v>
      </c>
      <c r="F4887" t="s">
        <v>21</v>
      </c>
      <c r="S4887">
        <v>0.98170584755603274</v>
      </c>
    </row>
    <row r="4888" spans="4:19" x14ac:dyDescent="0.25">
      <c r="D4888" t="s">
        <v>124</v>
      </c>
      <c r="E4888">
        <v>2014</v>
      </c>
      <c r="F4888" t="s">
        <v>21</v>
      </c>
      <c r="S4888">
        <v>0.9969234989810315</v>
      </c>
    </row>
    <row r="4889" spans="4:19" x14ac:dyDescent="0.25">
      <c r="D4889" t="s">
        <v>124</v>
      </c>
      <c r="E4889">
        <v>2015</v>
      </c>
      <c r="F4889" t="s">
        <v>21</v>
      </c>
      <c r="S4889">
        <v>0.99875151601626599</v>
      </c>
    </row>
    <row r="4890" spans="4:19" x14ac:dyDescent="0.25">
      <c r="D4890" t="s">
        <v>124</v>
      </c>
      <c r="E4890">
        <v>2013</v>
      </c>
      <c r="F4890" t="s">
        <v>22</v>
      </c>
      <c r="G4890">
        <v>0.942138671875</v>
      </c>
      <c r="H4890">
        <v>0.99732620320855614</v>
      </c>
      <c r="I4890">
        <v>0.99503523382447145</v>
      </c>
      <c r="J4890">
        <v>0.99824899317107341</v>
      </c>
      <c r="K4890">
        <v>0.95658707630656203</v>
      </c>
      <c r="L4890">
        <v>0.99669343410486533</v>
      </c>
      <c r="M4890">
        <v>0.99679308421639712</v>
      </c>
      <c r="N4890">
        <v>0.99686847599164929</v>
      </c>
      <c r="O4890">
        <v>0.9956535737282679</v>
      </c>
      <c r="P4890">
        <v>0.9971279373368146</v>
      </c>
      <c r="Q4890">
        <v>0.99433904528763772</v>
      </c>
      <c r="R4890">
        <v>0.99404835709857409</v>
      </c>
    </row>
    <row r="4891" spans="4:19" x14ac:dyDescent="0.25">
      <c r="D4891" t="s">
        <v>124</v>
      </c>
      <c r="E4891">
        <v>2014</v>
      </c>
      <c r="F4891" t="s">
        <v>22</v>
      </c>
      <c r="G4891">
        <v>0.99794104898136105</v>
      </c>
      <c r="H4891">
        <v>1</v>
      </c>
      <c r="I4891">
        <v>0.997855611150822</v>
      </c>
      <c r="J4891">
        <v>0.99800955414012738</v>
      </c>
      <c r="K4891">
        <v>0.99711723254324147</v>
      </c>
      <c r="L4891">
        <v>0.99909896380837959</v>
      </c>
      <c r="M4891">
        <v>0.98944856173847506</v>
      </c>
      <c r="N4891">
        <v>0.99678238780694328</v>
      </c>
      <c r="O4891">
        <v>0.99703484062268344</v>
      </c>
      <c r="P4891">
        <v>0.99523751373794112</v>
      </c>
      <c r="Q4891">
        <v>0.99715951562266403</v>
      </c>
      <c r="R4891">
        <v>1</v>
      </c>
    </row>
    <row r="4892" spans="4:19" x14ac:dyDescent="0.25">
      <c r="D4892" t="s">
        <v>124</v>
      </c>
      <c r="E4892">
        <v>2015</v>
      </c>
      <c r="F4892" t="s">
        <v>22</v>
      </c>
      <c r="G4892">
        <v>0.99935128121959127</v>
      </c>
      <c r="H4892">
        <v>0.99931337544630594</v>
      </c>
      <c r="I4892">
        <v>0.99791819740386967</v>
      </c>
      <c r="J4892">
        <v>0.99987684729064041</v>
      </c>
      <c r="K4892">
        <v>0.99894910674072968</v>
      </c>
      <c r="L4892">
        <v>0.99863169897377424</v>
      </c>
      <c r="M4892">
        <v>0.99718670076726346</v>
      </c>
    </row>
    <row r="4893" spans="4:19" x14ac:dyDescent="0.25">
      <c r="D4893" t="s">
        <v>124</v>
      </c>
      <c r="E4893">
        <v>2013</v>
      </c>
      <c r="F4893" t="s">
        <v>23</v>
      </c>
      <c r="S4893">
        <v>107187</v>
      </c>
    </row>
    <row r="4894" spans="4:19" x14ac:dyDescent="0.25">
      <c r="D4894" t="s">
        <v>124</v>
      </c>
      <c r="E4894">
        <v>2014</v>
      </c>
      <c r="F4894" t="s">
        <v>23</v>
      </c>
      <c r="S4894">
        <v>94662</v>
      </c>
    </row>
    <row r="4895" spans="4:19" x14ac:dyDescent="0.25">
      <c r="D4895" t="s">
        <v>124</v>
      </c>
      <c r="E4895">
        <v>2015</v>
      </c>
      <c r="F4895" t="s">
        <v>23</v>
      </c>
      <c r="S4895">
        <v>90810</v>
      </c>
    </row>
    <row r="4896" spans="4:19" x14ac:dyDescent="0.25">
      <c r="D4896" t="s">
        <v>124</v>
      </c>
      <c r="E4896">
        <v>2013</v>
      </c>
      <c r="F4896" t="s">
        <v>24</v>
      </c>
      <c r="G4896">
        <v>20565</v>
      </c>
      <c r="H4896">
        <v>22036</v>
      </c>
      <c r="I4896">
        <v>13434</v>
      </c>
      <c r="J4896">
        <v>12478</v>
      </c>
      <c r="K4896">
        <v>14014</v>
      </c>
      <c r="L4896">
        <v>11519</v>
      </c>
      <c r="M4896">
        <v>13141</v>
      </c>
      <c r="N4896">
        <v>12710</v>
      </c>
      <c r="O4896">
        <v>14336</v>
      </c>
      <c r="P4896">
        <v>13361</v>
      </c>
      <c r="Q4896">
        <v>12509</v>
      </c>
      <c r="R4896">
        <v>13831</v>
      </c>
    </row>
    <row r="4897" spans="4:19" x14ac:dyDescent="0.25">
      <c r="D4897" t="s">
        <v>124</v>
      </c>
      <c r="E4897">
        <v>2014</v>
      </c>
      <c r="F4897" t="s">
        <v>24</v>
      </c>
      <c r="G4897">
        <v>16457</v>
      </c>
      <c r="H4897">
        <v>15386</v>
      </c>
      <c r="I4897">
        <v>11870</v>
      </c>
      <c r="J4897">
        <v>11332</v>
      </c>
      <c r="K4897">
        <v>12147</v>
      </c>
      <c r="L4897">
        <v>12301</v>
      </c>
      <c r="M4897">
        <v>15169</v>
      </c>
      <c r="N4897">
        <v>15345</v>
      </c>
      <c r="O4897">
        <v>19114</v>
      </c>
      <c r="P4897">
        <v>17664</v>
      </c>
      <c r="Q4897">
        <v>13472</v>
      </c>
      <c r="R4897">
        <v>14489</v>
      </c>
    </row>
    <row r="4898" spans="4:19" x14ac:dyDescent="0.25">
      <c r="D4898" t="s">
        <v>124</v>
      </c>
      <c r="E4898">
        <v>2015</v>
      </c>
      <c r="F4898" t="s">
        <v>24</v>
      </c>
      <c r="G4898">
        <v>15800</v>
      </c>
      <c r="H4898">
        <v>14733</v>
      </c>
      <c r="I4898">
        <v>12425</v>
      </c>
      <c r="J4898">
        <v>11325</v>
      </c>
      <c r="K4898">
        <v>9856</v>
      </c>
      <c r="L4898">
        <v>13015</v>
      </c>
      <c r="M4898">
        <v>13656</v>
      </c>
    </row>
    <row r="4899" spans="4:19" x14ac:dyDescent="0.25">
      <c r="D4899" t="s">
        <v>124</v>
      </c>
      <c r="E4899">
        <v>2013</v>
      </c>
      <c r="F4899" t="s">
        <v>25</v>
      </c>
      <c r="S4899">
        <v>290910</v>
      </c>
    </row>
    <row r="4900" spans="4:19" x14ac:dyDescent="0.25">
      <c r="D4900" t="s">
        <v>124</v>
      </c>
      <c r="E4900">
        <v>2014</v>
      </c>
      <c r="F4900" t="s">
        <v>25</v>
      </c>
      <c r="S4900">
        <v>295203</v>
      </c>
    </row>
    <row r="4901" spans="4:19" x14ac:dyDescent="0.25">
      <c r="D4901" t="s">
        <v>124</v>
      </c>
      <c r="E4901">
        <v>2015</v>
      </c>
      <c r="F4901" t="s">
        <v>25</v>
      </c>
      <c r="S4901">
        <v>327834</v>
      </c>
    </row>
    <row r="4902" spans="4:19" x14ac:dyDescent="0.25">
      <c r="D4902" t="s">
        <v>124</v>
      </c>
      <c r="E4902">
        <v>2013</v>
      </c>
      <c r="F4902" t="s">
        <v>26</v>
      </c>
      <c r="G4902">
        <v>54840</v>
      </c>
      <c r="H4902">
        <v>44411</v>
      </c>
      <c r="I4902">
        <v>40500</v>
      </c>
      <c r="J4902">
        <v>36399</v>
      </c>
      <c r="K4902">
        <v>34040</v>
      </c>
      <c r="L4902">
        <v>36772</v>
      </c>
      <c r="M4902">
        <v>43948</v>
      </c>
      <c r="N4902">
        <v>41552</v>
      </c>
      <c r="O4902">
        <v>54767</v>
      </c>
      <c r="P4902">
        <v>60263</v>
      </c>
      <c r="Q4902">
        <v>50254</v>
      </c>
      <c r="R4902">
        <v>54972</v>
      </c>
    </row>
    <row r="4903" spans="4:19" x14ac:dyDescent="0.25">
      <c r="D4903" t="s">
        <v>124</v>
      </c>
      <c r="E4903">
        <v>2014</v>
      </c>
      <c r="F4903" t="s">
        <v>26</v>
      </c>
      <c r="G4903">
        <v>55838</v>
      </c>
      <c r="H4903">
        <v>45540</v>
      </c>
      <c r="I4903">
        <v>38564</v>
      </c>
      <c r="J4903">
        <v>37246</v>
      </c>
      <c r="K4903">
        <v>35602</v>
      </c>
      <c r="L4903">
        <v>37626</v>
      </c>
      <c r="M4903">
        <v>44787</v>
      </c>
      <c r="N4903">
        <v>44367</v>
      </c>
      <c r="O4903">
        <v>54157</v>
      </c>
      <c r="P4903">
        <v>63633</v>
      </c>
      <c r="Q4903">
        <v>53299</v>
      </c>
      <c r="R4903">
        <v>62703</v>
      </c>
    </row>
    <row r="4904" spans="4:19" x14ac:dyDescent="0.25">
      <c r="D4904" t="s">
        <v>124</v>
      </c>
      <c r="E4904">
        <v>2015</v>
      </c>
      <c r="F4904" t="s">
        <v>26</v>
      </c>
      <c r="G4904">
        <v>54269</v>
      </c>
      <c r="H4904">
        <v>48885</v>
      </c>
      <c r="I4904">
        <v>47376</v>
      </c>
      <c r="J4904">
        <v>44926</v>
      </c>
      <c r="K4904">
        <v>35883</v>
      </c>
      <c r="L4904">
        <v>48266</v>
      </c>
      <c r="M4904">
        <v>48229</v>
      </c>
    </row>
    <row r="4905" spans="4:19" x14ac:dyDescent="0.25">
      <c r="D4905" t="s">
        <v>124</v>
      </c>
      <c r="E4905">
        <v>2013</v>
      </c>
      <c r="F4905" t="s">
        <v>27</v>
      </c>
      <c r="S4905">
        <v>485745</v>
      </c>
    </row>
    <row r="4906" spans="4:19" x14ac:dyDescent="0.25">
      <c r="D4906" t="s">
        <v>124</v>
      </c>
      <c r="E4906">
        <v>2014</v>
      </c>
      <c r="F4906" t="s">
        <v>27</v>
      </c>
      <c r="S4906">
        <v>505121</v>
      </c>
    </row>
    <row r="4907" spans="4:19" x14ac:dyDescent="0.25">
      <c r="D4907" t="s">
        <v>124</v>
      </c>
      <c r="E4907">
        <v>2015</v>
      </c>
      <c r="F4907" t="s">
        <v>27</v>
      </c>
      <c r="S4907">
        <v>575741</v>
      </c>
    </row>
    <row r="4908" spans="4:19" x14ac:dyDescent="0.25">
      <c r="D4908" t="s">
        <v>124</v>
      </c>
      <c r="E4908">
        <v>2013</v>
      </c>
      <c r="F4908" t="s">
        <v>28</v>
      </c>
      <c r="G4908">
        <v>85913</v>
      </c>
      <c r="H4908">
        <v>72999</v>
      </c>
      <c r="I4908">
        <v>69875</v>
      </c>
      <c r="J4908">
        <v>63545</v>
      </c>
      <c r="K4908">
        <v>57716</v>
      </c>
      <c r="L4908">
        <v>61209</v>
      </c>
      <c r="M4908">
        <v>74488</v>
      </c>
      <c r="N4908">
        <v>71091</v>
      </c>
      <c r="O4908">
        <v>94238</v>
      </c>
      <c r="P4908">
        <v>99129</v>
      </c>
      <c r="Q4908">
        <v>86697</v>
      </c>
      <c r="R4908">
        <v>88943</v>
      </c>
    </row>
    <row r="4909" spans="4:19" x14ac:dyDescent="0.25">
      <c r="D4909" t="s">
        <v>124</v>
      </c>
      <c r="E4909">
        <v>2014</v>
      </c>
      <c r="F4909" t="s">
        <v>28</v>
      </c>
      <c r="G4909">
        <v>91522</v>
      </c>
      <c r="H4909">
        <v>77574</v>
      </c>
      <c r="I4909">
        <v>66992</v>
      </c>
      <c r="J4909">
        <v>65401</v>
      </c>
      <c r="K4909">
        <v>62371</v>
      </c>
      <c r="L4909">
        <v>65433</v>
      </c>
      <c r="M4909">
        <v>75828</v>
      </c>
      <c r="N4909">
        <v>75716</v>
      </c>
      <c r="O4909">
        <v>95688</v>
      </c>
      <c r="P4909">
        <v>104322</v>
      </c>
      <c r="Q4909">
        <v>89409</v>
      </c>
      <c r="R4909">
        <v>107501</v>
      </c>
    </row>
    <row r="4910" spans="4:19" x14ac:dyDescent="0.25">
      <c r="D4910" t="s">
        <v>124</v>
      </c>
      <c r="E4910">
        <v>2015</v>
      </c>
      <c r="F4910" t="s">
        <v>28</v>
      </c>
      <c r="G4910">
        <v>94111</v>
      </c>
      <c r="H4910">
        <v>88439</v>
      </c>
      <c r="I4910">
        <v>85219</v>
      </c>
      <c r="J4910">
        <v>81731</v>
      </c>
      <c r="K4910">
        <v>61409</v>
      </c>
      <c r="L4910">
        <v>82543</v>
      </c>
      <c r="M4910">
        <v>82289</v>
      </c>
    </row>
    <row r="4911" spans="4:19" x14ac:dyDescent="0.25">
      <c r="D4911" t="s">
        <v>124</v>
      </c>
      <c r="E4911">
        <v>2013</v>
      </c>
      <c r="F4911" t="s">
        <v>29</v>
      </c>
      <c r="S4911">
        <v>57838</v>
      </c>
    </row>
    <row r="4912" spans="4:19" x14ac:dyDescent="0.25">
      <c r="D4912" t="s">
        <v>124</v>
      </c>
      <c r="E4912">
        <v>2014</v>
      </c>
      <c r="F4912" t="s">
        <v>29</v>
      </c>
      <c r="S4912">
        <v>61042</v>
      </c>
    </row>
    <row r="4913" spans="4:19" x14ac:dyDescent="0.25">
      <c r="D4913" t="s">
        <v>124</v>
      </c>
      <c r="E4913">
        <v>2015</v>
      </c>
      <c r="F4913" t="s">
        <v>29</v>
      </c>
      <c r="S4913">
        <v>66205</v>
      </c>
    </row>
    <row r="4914" spans="4:19" x14ac:dyDescent="0.25">
      <c r="D4914" t="s">
        <v>124</v>
      </c>
      <c r="E4914">
        <v>2013</v>
      </c>
      <c r="F4914" t="s">
        <v>30</v>
      </c>
      <c r="G4914">
        <v>9691</v>
      </c>
      <c r="H4914">
        <v>8344</v>
      </c>
      <c r="I4914">
        <v>8270</v>
      </c>
      <c r="J4914">
        <v>7592</v>
      </c>
      <c r="K4914">
        <v>7533</v>
      </c>
      <c r="L4914">
        <v>8045</v>
      </c>
      <c r="M4914">
        <v>8363</v>
      </c>
      <c r="N4914">
        <v>7462</v>
      </c>
      <c r="O4914">
        <v>10024</v>
      </c>
      <c r="P4914">
        <v>10321</v>
      </c>
      <c r="Q4914">
        <v>9034</v>
      </c>
      <c r="R4914">
        <v>8918</v>
      </c>
    </row>
    <row r="4915" spans="4:19" x14ac:dyDescent="0.25">
      <c r="D4915" t="s">
        <v>124</v>
      </c>
      <c r="E4915">
        <v>2014</v>
      </c>
      <c r="F4915" t="s">
        <v>30</v>
      </c>
      <c r="G4915">
        <v>9562</v>
      </c>
      <c r="H4915">
        <v>9177</v>
      </c>
      <c r="I4915">
        <v>8758</v>
      </c>
      <c r="J4915">
        <v>8543</v>
      </c>
      <c r="K4915">
        <v>7532</v>
      </c>
      <c r="L4915">
        <v>8645</v>
      </c>
      <c r="M4915">
        <v>8825</v>
      </c>
      <c r="N4915">
        <v>8790</v>
      </c>
      <c r="O4915">
        <v>11985</v>
      </c>
      <c r="P4915">
        <v>11467</v>
      </c>
      <c r="Q4915">
        <v>10433</v>
      </c>
      <c r="R4915">
        <v>11235</v>
      </c>
    </row>
    <row r="4916" spans="4:19" x14ac:dyDescent="0.25">
      <c r="D4916" t="s">
        <v>124</v>
      </c>
      <c r="E4916">
        <v>2015</v>
      </c>
      <c r="F4916" t="s">
        <v>30</v>
      </c>
      <c r="G4916">
        <v>11442</v>
      </c>
      <c r="H4916">
        <v>10678</v>
      </c>
      <c r="I4916">
        <v>10267</v>
      </c>
      <c r="J4916">
        <v>8641</v>
      </c>
      <c r="K4916">
        <v>7141</v>
      </c>
      <c r="L4916">
        <v>9644</v>
      </c>
      <c r="M4916">
        <v>8392</v>
      </c>
    </row>
    <row r="4917" spans="4:19" x14ac:dyDescent="0.25">
      <c r="D4917" t="s">
        <v>124</v>
      </c>
      <c r="E4917">
        <v>2013</v>
      </c>
      <c r="F4917" t="s">
        <v>31</v>
      </c>
      <c r="S4917">
        <v>0.7382798287105713</v>
      </c>
    </row>
    <row r="4918" spans="4:19" x14ac:dyDescent="0.25">
      <c r="D4918" t="s">
        <v>124</v>
      </c>
      <c r="E4918">
        <v>2014</v>
      </c>
      <c r="F4918" t="s">
        <v>31</v>
      </c>
      <c r="S4918">
        <v>0.92678160190995329</v>
      </c>
    </row>
    <row r="4919" spans="4:19" x14ac:dyDescent="0.25">
      <c r="D4919" t="s">
        <v>124</v>
      </c>
      <c r="E4919">
        <v>2015</v>
      </c>
      <c r="F4919" t="s">
        <v>31</v>
      </c>
      <c r="S4919">
        <v>0.90936020262085671</v>
      </c>
    </row>
    <row r="4920" spans="4:19" x14ac:dyDescent="0.25">
      <c r="D4920" t="s">
        <v>124</v>
      </c>
      <c r="E4920">
        <v>2013</v>
      </c>
      <c r="F4920" t="s">
        <v>32</v>
      </c>
      <c r="G4920">
        <v>0.62742523705324582</v>
      </c>
      <c r="H4920">
        <v>0.61771646396805224</v>
      </c>
      <c r="I4920">
        <v>0.79403007294923333</v>
      </c>
      <c r="J4920">
        <v>0.76470588235294112</v>
      </c>
      <c r="K4920">
        <v>0.73376623376623373</v>
      </c>
      <c r="L4920">
        <v>0.88922649535549958</v>
      </c>
      <c r="M4920">
        <v>0.90434517921010582</v>
      </c>
      <c r="N4920">
        <v>0.93391030684500398</v>
      </c>
      <c r="O4920">
        <v>0.9064592633928571</v>
      </c>
      <c r="P4920">
        <v>0.96055684454756385</v>
      </c>
      <c r="Q4920">
        <v>0.92749220561195944</v>
      </c>
      <c r="R4920">
        <v>0.95770370905935942</v>
      </c>
    </row>
    <row r="4921" spans="4:19" x14ac:dyDescent="0.25">
      <c r="D4921" t="s">
        <v>124</v>
      </c>
      <c r="E4921">
        <v>2014</v>
      </c>
      <c r="F4921" t="s">
        <v>32</v>
      </c>
      <c r="G4921">
        <v>0.90168317433311052</v>
      </c>
      <c r="H4921">
        <v>0.92129208371246585</v>
      </c>
      <c r="I4921">
        <v>0.9417017691659646</v>
      </c>
      <c r="J4921">
        <v>0.96328979879985877</v>
      </c>
      <c r="K4921">
        <v>0.90746686424631595</v>
      </c>
      <c r="L4921">
        <v>0.92472156735224775</v>
      </c>
      <c r="M4921">
        <v>0.93776781594040481</v>
      </c>
      <c r="N4921">
        <v>0.89051808406647115</v>
      </c>
      <c r="O4921">
        <v>0.89614941927383074</v>
      </c>
      <c r="P4921">
        <v>0.89781476449275366</v>
      </c>
      <c r="Q4921">
        <v>0.92703384798099764</v>
      </c>
      <c r="R4921">
        <v>0.93181033887776932</v>
      </c>
    </row>
    <row r="4922" spans="4:19" x14ac:dyDescent="0.25">
      <c r="D4922" t="s">
        <v>124</v>
      </c>
      <c r="E4922">
        <v>2015</v>
      </c>
      <c r="F4922" t="s">
        <v>32</v>
      </c>
      <c r="G4922">
        <v>0.89962025316455696</v>
      </c>
      <c r="H4922">
        <v>0.89540487341342567</v>
      </c>
      <c r="I4922">
        <v>0.91307847082494975</v>
      </c>
      <c r="J4922">
        <v>0.92406181015452538</v>
      </c>
      <c r="K4922">
        <v>0.92370129870129869</v>
      </c>
      <c r="L4922">
        <v>0.90633883980023056</v>
      </c>
      <c r="M4922">
        <v>0.91263913298183952</v>
      </c>
    </row>
    <row r="4923" spans="4:19" x14ac:dyDescent="0.25">
      <c r="D4923" t="s">
        <v>124</v>
      </c>
      <c r="E4923">
        <v>2013</v>
      </c>
      <c r="F4923" t="s">
        <v>33</v>
      </c>
      <c r="S4923">
        <v>0.71819088624856375</v>
      </c>
    </row>
    <row r="4924" spans="4:19" x14ac:dyDescent="0.25">
      <c r="D4924" t="s">
        <v>124</v>
      </c>
      <c r="E4924">
        <v>2014</v>
      </c>
      <c r="F4924" t="s">
        <v>33</v>
      </c>
      <c r="S4924">
        <v>0.90620611348492541</v>
      </c>
    </row>
    <row r="4925" spans="4:19" x14ac:dyDescent="0.25">
      <c r="D4925" t="s">
        <v>124</v>
      </c>
      <c r="E4925">
        <v>2015</v>
      </c>
      <c r="F4925" t="s">
        <v>33</v>
      </c>
      <c r="S4925">
        <v>0.93154739742348647</v>
      </c>
    </row>
    <row r="4926" spans="4:19" x14ac:dyDescent="0.25">
      <c r="D4926" t="s">
        <v>124</v>
      </c>
      <c r="E4926">
        <v>2013</v>
      </c>
      <c r="F4926" t="s">
        <v>34</v>
      </c>
      <c r="G4926">
        <v>0.57881726563985547</v>
      </c>
      <c r="H4926">
        <v>0.54101365015166836</v>
      </c>
      <c r="I4926">
        <v>0.8102400637513697</v>
      </c>
      <c r="J4926">
        <v>0.76637225333907799</v>
      </c>
      <c r="K4926">
        <v>0.72741121584309243</v>
      </c>
      <c r="L4926">
        <v>0.9513804055704862</v>
      </c>
      <c r="M4926">
        <v>0.88775297308575007</v>
      </c>
      <c r="N4926">
        <v>0.90519187358916475</v>
      </c>
      <c r="O4926">
        <v>0.87435585121334203</v>
      </c>
      <c r="P4926">
        <v>0.94679454820797582</v>
      </c>
      <c r="Q4926">
        <v>0.90014312451833089</v>
      </c>
      <c r="R4926">
        <v>0.94151169766046794</v>
      </c>
    </row>
    <row r="4927" spans="4:19" x14ac:dyDescent="0.25">
      <c r="D4927" t="s">
        <v>124</v>
      </c>
      <c r="E4927">
        <v>2014</v>
      </c>
      <c r="F4927" t="s">
        <v>34</v>
      </c>
      <c r="G4927">
        <v>0.86867949030111191</v>
      </c>
      <c r="H4927">
        <v>0.89280339913251305</v>
      </c>
      <c r="I4927">
        <v>0.91875073382646477</v>
      </c>
      <c r="J4927">
        <v>0.95072841407082787</v>
      </c>
      <c r="K4927">
        <v>0.87274991509113553</v>
      </c>
      <c r="L4927">
        <v>0.89705391884380214</v>
      </c>
      <c r="M4927">
        <v>0.96587711069418392</v>
      </c>
      <c r="N4927">
        <v>0.93168209036472505</v>
      </c>
      <c r="O4927">
        <v>0.88810866812478417</v>
      </c>
      <c r="P4927">
        <v>0.90768879241402944</v>
      </c>
      <c r="Q4927">
        <v>0.97093712930011866</v>
      </c>
      <c r="R4927">
        <v>0.968017578125</v>
      </c>
    </row>
    <row r="4928" spans="4:19" x14ac:dyDescent="0.25">
      <c r="D4928" t="s">
        <v>124</v>
      </c>
      <c r="E4928">
        <v>2015</v>
      </c>
      <c r="F4928" t="s">
        <v>34</v>
      </c>
      <c r="G4928">
        <v>0.90795598815065592</v>
      </c>
      <c r="H4928">
        <v>0.90375186527392881</v>
      </c>
      <c r="I4928">
        <v>0.9520495951417004</v>
      </c>
      <c r="J4928">
        <v>0.96790939122227471</v>
      </c>
      <c r="K4928">
        <v>0.94435138656244189</v>
      </c>
      <c r="L4928">
        <v>0.92489965039492428</v>
      </c>
      <c r="M4928">
        <v>0.94126245847176082</v>
      </c>
    </row>
    <row r="4929" spans="4:19" x14ac:dyDescent="0.25">
      <c r="D4929" t="s">
        <v>125</v>
      </c>
      <c r="E4929">
        <v>2013</v>
      </c>
      <c r="F4929" t="s">
        <v>17</v>
      </c>
      <c r="S4929">
        <v>0.88577548631348224</v>
      </c>
    </row>
    <row r="4930" spans="4:19" x14ac:dyDescent="0.25">
      <c r="D4930" t="s">
        <v>125</v>
      </c>
      <c r="E4930">
        <v>2014</v>
      </c>
      <c r="F4930" t="s">
        <v>17</v>
      </c>
      <c r="S4930">
        <v>0.95770283902579623</v>
      </c>
    </row>
    <row r="4931" spans="4:19" x14ac:dyDescent="0.25">
      <c r="D4931" t="s">
        <v>125</v>
      </c>
      <c r="E4931">
        <v>2015</v>
      </c>
      <c r="F4931" t="s">
        <v>17</v>
      </c>
      <c r="S4931">
        <v>0.87970434993335755</v>
      </c>
    </row>
    <row r="4932" spans="4:19" x14ac:dyDescent="0.25">
      <c r="D4932" t="s">
        <v>125</v>
      </c>
      <c r="E4932">
        <v>2013</v>
      </c>
      <c r="F4932" t="s">
        <v>18</v>
      </c>
      <c r="G4932">
        <v>0.82704585026117239</v>
      </c>
      <c r="H4932">
        <v>0.80895752895752893</v>
      </c>
      <c r="I4932">
        <v>0.8850931677018633</v>
      </c>
      <c r="J4932">
        <v>0.93767867352773016</v>
      </c>
      <c r="K4932">
        <v>0.89930934205743362</v>
      </c>
      <c r="L4932">
        <v>0.91902457185405806</v>
      </c>
      <c r="M4932">
        <v>0.95912859070753809</v>
      </c>
      <c r="N4932">
        <v>0.86683303085299457</v>
      </c>
      <c r="O4932">
        <v>0.93907195696032275</v>
      </c>
      <c r="P4932">
        <v>0.94754653130287647</v>
      </c>
      <c r="Q4932">
        <v>0.84583998580805397</v>
      </c>
      <c r="R4932">
        <v>0.97710886806056241</v>
      </c>
    </row>
    <row r="4933" spans="4:19" x14ac:dyDescent="0.25">
      <c r="D4933" t="s">
        <v>125</v>
      </c>
      <c r="E4933">
        <v>2014</v>
      </c>
      <c r="F4933" t="s">
        <v>18</v>
      </c>
      <c r="G4933">
        <v>0.95679363274587836</v>
      </c>
      <c r="H4933">
        <v>0.96914532551681576</v>
      </c>
      <c r="I4933">
        <v>0.98048863250763485</v>
      </c>
      <c r="J4933">
        <v>0.97000681663258348</v>
      </c>
      <c r="K4933">
        <v>0.9557729941291585</v>
      </c>
      <c r="L4933">
        <v>0.94956616052060738</v>
      </c>
      <c r="M4933">
        <v>0.91929271708683469</v>
      </c>
      <c r="N4933">
        <v>0.82267093162734906</v>
      </c>
      <c r="O4933">
        <v>0.88008786664943794</v>
      </c>
      <c r="P4933">
        <v>0.91273750879662208</v>
      </c>
      <c r="Q4933">
        <v>0.90295358649789026</v>
      </c>
      <c r="R4933">
        <v>0.86938564790913786</v>
      </c>
    </row>
    <row r="4934" spans="4:19" x14ac:dyDescent="0.25">
      <c r="D4934" t="s">
        <v>125</v>
      </c>
      <c r="E4934">
        <v>2015</v>
      </c>
      <c r="F4934" t="s">
        <v>18</v>
      </c>
      <c r="G4934">
        <v>0.86628776548010766</v>
      </c>
      <c r="H4934">
        <v>0.8339194373401535</v>
      </c>
      <c r="I4934">
        <v>0.88711445122905908</v>
      </c>
      <c r="J4934">
        <v>0.86636446056210337</v>
      </c>
      <c r="K4934">
        <v>0.87180527383367135</v>
      </c>
      <c r="L4934">
        <v>0.89385568391093251</v>
      </c>
      <c r="M4934">
        <v>0.94436389996375503</v>
      </c>
    </row>
    <row r="4935" spans="4:19" x14ac:dyDescent="0.25">
      <c r="D4935" t="s">
        <v>125</v>
      </c>
      <c r="E4935">
        <v>2013</v>
      </c>
      <c r="F4935" t="s">
        <v>19</v>
      </c>
      <c r="S4935">
        <v>0.84526072587956602</v>
      </c>
    </row>
    <row r="4936" spans="4:19" x14ac:dyDescent="0.25">
      <c r="D4936" t="s">
        <v>125</v>
      </c>
      <c r="E4936">
        <v>2014</v>
      </c>
      <c r="F4936" t="s">
        <v>19</v>
      </c>
      <c r="S4936">
        <v>0.99118386950197623</v>
      </c>
    </row>
    <row r="4937" spans="4:19" x14ac:dyDescent="0.25">
      <c r="D4937" t="s">
        <v>125</v>
      </c>
      <c r="E4937">
        <v>2015</v>
      </c>
      <c r="F4937" t="s">
        <v>19</v>
      </c>
      <c r="S4937">
        <v>0.95733666354819125</v>
      </c>
    </row>
    <row r="4938" spans="4:19" x14ac:dyDescent="0.25">
      <c r="D4938" t="s">
        <v>125</v>
      </c>
      <c r="E4938">
        <v>2013</v>
      </c>
      <c r="F4938" t="s">
        <v>20</v>
      </c>
      <c r="G4938">
        <v>0.72908478382930941</v>
      </c>
      <c r="H4938">
        <v>0.88256646522666982</v>
      </c>
      <c r="I4938">
        <v>0.70437494731518169</v>
      </c>
      <c r="J4938">
        <v>0.84827175481595163</v>
      </c>
      <c r="K4938">
        <v>0.78652661005103874</v>
      </c>
      <c r="L4938">
        <v>0.99388063806380633</v>
      </c>
      <c r="M4938">
        <v>0.98896648309014179</v>
      </c>
      <c r="N4938">
        <v>0.99634086271198363</v>
      </c>
      <c r="O4938">
        <v>0.99604610642005098</v>
      </c>
      <c r="P4938">
        <v>0.99299577454701715</v>
      </c>
      <c r="Q4938">
        <v>0.99280159393277201</v>
      </c>
      <c r="R4938">
        <v>0.96291280341702257</v>
      </c>
    </row>
    <row r="4939" spans="4:19" x14ac:dyDescent="0.25">
      <c r="D4939" t="s">
        <v>125</v>
      </c>
      <c r="E4939">
        <v>2014</v>
      </c>
      <c r="F4939" t="s">
        <v>20</v>
      </c>
      <c r="G4939">
        <v>0.97708585435477369</v>
      </c>
      <c r="H4939">
        <v>0.98713000960447039</v>
      </c>
      <c r="I4939">
        <v>0.9886154703315071</v>
      </c>
      <c r="J4939">
        <v>0.9950227066303361</v>
      </c>
      <c r="K4939">
        <v>0.99563051647295286</v>
      </c>
      <c r="L4939">
        <v>0.9990549878920324</v>
      </c>
      <c r="M4939">
        <v>0.99866211061090926</v>
      </c>
      <c r="N4939">
        <v>0.97098920274839129</v>
      </c>
      <c r="O4939">
        <v>0.84522003034901361</v>
      </c>
      <c r="P4939">
        <v>0.9560407809468775</v>
      </c>
      <c r="Q4939">
        <v>0.99723406531273395</v>
      </c>
      <c r="R4939">
        <v>0.97295674108138719</v>
      </c>
    </row>
    <row r="4940" spans="4:19" x14ac:dyDescent="0.25">
      <c r="D4940" t="s">
        <v>125</v>
      </c>
      <c r="E4940">
        <v>2015</v>
      </c>
      <c r="F4940" t="s">
        <v>20</v>
      </c>
      <c r="G4940">
        <v>0.90913980560144458</v>
      </c>
      <c r="H4940">
        <v>0.99285646402889094</v>
      </c>
      <c r="I4940">
        <v>0.97560763763227609</v>
      </c>
      <c r="J4940">
        <v>0.89665347247211225</v>
      </c>
      <c r="K4940">
        <v>0.93609110701725007</v>
      </c>
      <c r="L4940">
        <v>0.99291792478726326</v>
      </c>
      <c r="M4940">
        <v>0.99318142988055858</v>
      </c>
    </row>
    <row r="4941" spans="4:19" x14ac:dyDescent="0.25">
      <c r="D4941" t="s">
        <v>125</v>
      </c>
      <c r="E4941">
        <v>2013</v>
      </c>
      <c r="F4941" t="s">
        <v>21</v>
      </c>
      <c r="S4941">
        <v>0.88419175911251979</v>
      </c>
    </row>
    <row r="4942" spans="4:19" x14ac:dyDescent="0.25">
      <c r="D4942" t="s">
        <v>125</v>
      </c>
      <c r="E4942">
        <v>2014</v>
      </c>
      <c r="F4942" t="s">
        <v>21</v>
      </c>
      <c r="S4942">
        <v>0.99210966389523514</v>
      </c>
    </row>
    <row r="4943" spans="4:19" x14ac:dyDescent="0.25">
      <c r="D4943" t="s">
        <v>125</v>
      </c>
      <c r="E4943">
        <v>2015</v>
      </c>
      <c r="F4943" t="s">
        <v>21</v>
      </c>
      <c r="S4943">
        <v>0.9554468043456984</v>
      </c>
    </row>
    <row r="4944" spans="4:19" x14ac:dyDescent="0.25">
      <c r="D4944" t="s">
        <v>125</v>
      </c>
      <c r="E4944">
        <v>2013</v>
      </c>
      <c r="F4944" t="s">
        <v>22</v>
      </c>
      <c r="G4944">
        <v>0.78378898729303037</v>
      </c>
      <c r="H4944">
        <v>0.79521982885807019</v>
      </c>
      <c r="I4944">
        <v>0.86003316749585401</v>
      </c>
      <c r="J4944">
        <v>0.91966858789625361</v>
      </c>
      <c r="K4944">
        <v>0.85241561879549965</v>
      </c>
      <c r="L4944">
        <v>0.99874725963044164</v>
      </c>
      <c r="M4944">
        <v>0.99763491722210274</v>
      </c>
      <c r="N4944">
        <v>1</v>
      </c>
      <c r="O4944">
        <v>0.99238240335174255</v>
      </c>
      <c r="P4944">
        <v>0.99670456417861264</v>
      </c>
      <c r="Q4944">
        <v>0.99173871277617676</v>
      </c>
      <c r="R4944">
        <v>0.9584876543209877</v>
      </c>
    </row>
    <row r="4945" spans="4:19" x14ac:dyDescent="0.25">
      <c r="D4945" t="s">
        <v>125</v>
      </c>
      <c r="E4945">
        <v>2014</v>
      </c>
      <c r="F4945" t="s">
        <v>22</v>
      </c>
      <c r="G4945">
        <v>0.99585561497326203</v>
      </c>
      <c r="H4945">
        <v>0.99843587069864437</v>
      </c>
      <c r="I4945">
        <v>0.98473023413640992</v>
      </c>
      <c r="J4945">
        <v>0.98632193494578813</v>
      </c>
      <c r="K4945">
        <v>0.983698707138842</v>
      </c>
      <c r="L4945">
        <v>0.99964844436632094</v>
      </c>
      <c r="M4945">
        <v>0.99461001902346224</v>
      </c>
      <c r="N4945">
        <v>0.96963028169014087</v>
      </c>
      <c r="O4945">
        <v>0.90443066686828977</v>
      </c>
      <c r="P4945">
        <v>0.99652173913043474</v>
      </c>
      <c r="Q4945">
        <v>0.99945024738867505</v>
      </c>
      <c r="R4945">
        <v>0.98179526676936002</v>
      </c>
    </row>
    <row r="4946" spans="4:19" x14ac:dyDescent="0.25">
      <c r="D4946" t="s">
        <v>125</v>
      </c>
      <c r="E4946">
        <v>2015</v>
      </c>
      <c r="F4946" t="s">
        <v>22</v>
      </c>
      <c r="G4946">
        <v>0.84734487899988531</v>
      </c>
      <c r="H4946">
        <v>0.98690438624171661</v>
      </c>
      <c r="I4946">
        <v>0.97434512557385899</v>
      </c>
      <c r="J4946">
        <v>0.93973848777714608</v>
      </c>
      <c r="K4946">
        <v>0.97155756207674948</v>
      </c>
      <c r="L4946">
        <v>0.99589547133670819</v>
      </c>
      <c r="M4946">
        <v>0.99620020964360589</v>
      </c>
    </row>
    <row r="4947" spans="4:19" x14ac:dyDescent="0.25">
      <c r="D4947" t="s">
        <v>125</v>
      </c>
      <c r="E4947">
        <v>2013</v>
      </c>
      <c r="F4947" t="s">
        <v>23</v>
      </c>
      <c r="S4947">
        <v>108738</v>
      </c>
    </row>
    <row r="4948" spans="4:19" x14ac:dyDescent="0.25">
      <c r="D4948" t="s">
        <v>125</v>
      </c>
      <c r="E4948">
        <v>2014</v>
      </c>
      <c r="F4948" t="s">
        <v>23</v>
      </c>
      <c r="S4948">
        <v>94954</v>
      </c>
    </row>
    <row r="4949" spans="4:19" x14ac:dyDescent="0.25">
      <c r="D4949" t="s">
        <v>125</v>
      </c>
      <c r="E4949">
        <v>2015</v>
      </c>
      <c r="F4949" t="s">
        <v>23</v>
      </c>
      <c r="S4949">
        <v>91611</v>
      </c>
    </row>
    <row r="4950" spans="4:19" x14ac:dyDescent="0.25">
      <c r="D4950" t="s">
        <v>125</v>
      </c>
      <c r="E4950">
        <v>2013</v>
      </c>
      <c r="F4950" t="s">
        <v>24</v>
      </c>
      <c r="G4950">
        <v>23492</v>
      </c>
      <c r="H4950">
        <v>19774</v>
      </c>
      <c r="I4950">
        <v>13745</v>
      </c>
      <c r="J4950">
        <v>13067</v>
      </c>
      <c r="K4950">
        <v>13450</v>
      </c>
      <c r="L4950">
        <v>12106</v>
      </c>
      <c r="M4950">
        <v>13104</v>
      </c>
      <c r="N4950">
        <v>13266</v>
      </c>
      <c r="O4950">
        <v>14891</v>
      </c>
      <c r="P4950">
        <v>14279</v>
      </c>
      <c r="Q4950">
        <v>13414</v>
      </c>
      <c r="R4950">
        <v>13942</v>
      </c>
    </row>
    <row r="4951" spans="4:19" x14ac:dyDescent="0.25">
      <c r="D4951" t="s">
        <v>125</v>
      </c>
      <c r="E4951">
        <v>2014</v>
      </c>
      <c r="F4951" t="s">
        <v>24</v>
      </c>
      <c r="G4951">
        <v>15812</v>
      </c>
      <c r="H4951">
        <v>15267</v>
      </c>
      <c r="I4951">
        <v>13226</v>
      </c>
      <c r="J4951">
        <v>11998</v>
      </c>
      <c r="K4951">
        <v>11173</v>
      </c>
      <c r="L4951">
        <v>12677</v>
      </c>
      <c r="M4951">
        <v>14801</v>
      </c>
      <c r="N4951">
        <v>15059</v>
      </c>
      <c r="O4951">
        <v>18518</v>
      </c>
      <c r="P4951">
        <v>14604</v>
      </c>
      <c r="Q4951">
        <v>12821</v>
      </c>
      <c r="R4951">
        <v>14777</v>
      </c>
    </row>
    <row r="4952" spans="4:19" x14ac:dyDescent="0.25">
      <c r="D4952" t="s">
        <v>125</v>
      </c>
      <c r="E4952">
        <v>2015</v>
      </c>
      <c r="F4952" t="s">
        <v>24</v>
      </c>
      <c r="G4952">
        <v>14525</v>
      </c>
      <c r="H4952">
        <v>14581</v>
      </c>
      <c r="I4952">
        <v>14085</v>
      </c>
      <c r="J4952">
        <v>12806</v>
      </c>
      <c r="K4952">
        <v>10519</v>
      </c>
      <c r="L4952">
        <v>11949</v>
      </c>
      <c r="M4952">
        <v>13146</v>
      </c>
    </row>
    <row r="4953" spans="4:19" x14ac:dyDescent="0.25">
      <c r="D4953" t="s">
        <v>125</v>
      </c>
      <c r="E4953">
        <v>2013</v>
      </c>
      <c r="F4953" t="s">
        <v>25</v>
      </c>
      <c r="S4953">
        <v>308093</v>
      </c>
    </row>
    <row r="4954" spans="4:19" x14ac:dyDescent="0.25">
      <c r="D4954" t="s">
        <v>125</v>
      </c>
      <c r="E4954">
        <v>2014</v>
      </c>
      <c r="F4954" t="s">
        <v>25</v>
      </c>
      <c r="S4954">
        <v>289840</v>
      </c>
    </row>
    <row r="4955" spans="4:19" x14ac:dyDescent="0.25">
      <c r="D4955" t="s">
        <v>125</v>
      </c>
      <c r="E4955">
        <v>2015</v>
      </c>
      <c r="F4955" t="s">
        <v>25</v>
      </c>
      <c r="S4955">
        <v>316276</v>
      </c>
    </row>
    <row r="4956" spans="4:19" x14ac:dyDescent="0.25">
      <c r="D4956" t="s">
        <v>125</v>
      </c>
      <c r="E4956">
        <v>2013</v>
      </c>
      <c r="F4956" t="s">
        <v>26</v>
      </c>
      <c r="G4956">
        <v>52026</v>
      </c>
      <c r="H4956">
        <v>43181</v>
      </c>
      <c r="I4956">
        <v>42442</v>
      </c>
      <c r="J4956">
        <v>41614</v>
      </c>
      <c r="K4956">
        <v>40309</v>
      </c>
      <c r="L4956">
        <v>40306</v>
      </c>
      <c r="M4956">
        <v>48215</v>
      </c>
      <c r="N4956">
        <v>48341</v>
      </c>
      <c r="O4956">
        <v>53765</v>
      </c>
      <c r="P4956">
        <v>54878</v>
      </c>
      <c r="Q4956">
        <v>48570</v>
      </c>
      <c r="R4956">
        <v>55366</v>
      </c>
    </row>
    <row r="4957" spans="4:19" x14ac:dyDescent="0.25">
      <c r="D4957" t="s">
        <v>125</v>
      </c>
      <c r="E4957">
        <v>2014</v>
      </c>
      <c r="F4957" t="s">
        <v>26</v>
      </c>
      <c r="G4957">
        <v>50410</v>
      </c>
      <c r="H4957">
        <v>42714</v>
      </c>
      <c r="I4957">
        <v>40463</v>
      </c>
      <c r="J4957">
        <v>40536</v>
      </c>
      <c r="K4957">
        <v>36883</v>
      </c>
      <c r="L4957">
        <v>37287</v>
      </c>
      <c r="M4957">
        <v>41547</v>
      </c>
      <c r="N4957">
        <v>44051</v>
      </c>
      <c r="O4957">
        <v>49926</v>
      </c>
      <c r="P4957">
        <v>50401</v>
      </c>
      <c r="Q4957">
        <v>47242</v>
      </c>
      <c r="R4957">
        <v>56265</v>
      </c>
    </row>
    <row r="4958" spans="4:19" x14ac:dyDescent="0.25">
      <c r="D4958" t="s">
        <v>125</v>
      </c>
      <c r="E4958">
        <v>2015</v>
      </c>
      <c r="F4958" t="s">
        <v>26</v>
      </c>
      <c r="G4958">
        <v>51508</v>
      </c>
      <c r="H4958">
        <v>43591</v>
      </c>
      <c r="I4958">
        <v>46035</v>
      </c>
      <c r="J4958">
        <v>39998</v>
      </c>
      <c r="K4958">
        <v>39510</v>
      </c>
      <c r="L4958">
        <v>49381</v>
      </c>
      <c r="M4958">
        <v>46253</v>
      </c>
    </row>
    <row r="4959" spans="4:19" x14ac:dyDescent="0.25">
      <c r="D4959" t="s">
        <v>125</v>
      </c>
      <c r="E4959">
        <v>2013</v>
      </c>
      <c r="F4959" t="s">
        <v>27</v>
      </c>
      <c r="S4959">
        <v>571434</v>
      </c>
    </row>
    <row r="4960" spans="4:19" x14ac:dyDescent="0.25">
      <c r="D4960" t="s">
        <v>125</v>
      </c>
      <c r="E4960">
        <v>2014</v>
      </c>
      <c r="F4960" t="s">
        <v>27</v>
      </c>
      <c r="S4960">
        <v>531851</v>
      </c>
    </row>
    <row r="4961" spans="4:19" x14ac:dyDescent="0.25">
      <c r="D4961" t="s">
        <v>125</v>
      </c>
      <c r="E4961">
        <v>2015</v>
      </c>
      <c r="F4961" t="s">
        <v>27</v>
      </c>
      <c r="S4961">
        <v>584410</v>
      </c>
    </row>
    <row r="4962" spans="4:19" x14ac:dyDescent="0.25">
      <c r="D4962" t="s">
        <v>125</v>
      </c>
      <c r="E4962">
        <v>2013</v>
      </c>
      <c r="F4962" t="s">
        <v>28</v>
      </c>
      <c r="G4962">
        <v>95799</v>
      </c>
      <c r="H4962">
        <v>84151</v>
      </c>
      <c r="I4962">
        <v>79509</v>
      </c>
      <c r="J4962">
        <v>77862</v>
      </c>
      <c r="K4962">
        <v>74779</v>
      </c>
      <c r="L4962">
        <v>72063</v>
      </c>
      <c r="M4962">
        <v>87271</v>
      </c>
      <c r="N4962">
        <v>86614</v>
      </c>
      <c r="O4962">
        <v>96185</v>
      </c>
      <c r="P4962">
        <v>100293</v>
      </c>
      <c r="Q4962">
        <v>88216</v>
      </c>
      <c r="R4962">
        <v>95528</v>
      </c>
    </row>
    <row r="4963" spans="4:19" x14ac:dyDescent="0.25">
      <c r="D4963" t="s">
        <v>125</v>
      </c>
      <c r="E4963">
        <v>2014</v>
      </c>
      <c r="F4963" t="s">
        <v>28</v>
      </c>
      <c r="G4963">
        <v>88898</v>
      </c>
      <c r="H4963">
        <v>78436</v>
      </c>
      <c r="I4963">
        <v>76555</v>
      </c>
      <c r="J4963">
        <v>76099</v>
      </c>
      <c r="K4963">
        <v>67685</v>
      </c>
      <c r="L4963">
        <v>67451</v>
      </c>
      <c r="M4963">
        <v>76727</v>
      </c>
      <c r="N4963">
        <v>76925</v>
      </c>
      <c r="O4963">
        <v>93630</v>
      </c>
      <c r="P4963">
        <v>96530</v>
      </c>
      <c r="Q4963">
        <v>87647</v>
      </c>
      <c r="R4963">
        <v>101679</v>
      </c>
    </row>
    <row r="4964" spans="4:19" x14ac:dyDescent="0.25">
      <c r="D4964" t="s">
        <v>125</v>
      </c>
      <c r="E4964">
        <v>2015</v>
      </c>
      <c r="F4964" t="s">
        <v>28</v>
      </c>
      <c r="G4964">
        <v>93647</v>
      </c>
      <c r="H4964">
        <v>82190</v>
      </c>
      <c r="I4964">
        <v>86655</v>
      </c>
      <c r="J4964">
        <v>74075</v>
      </c>
      <c r="K4964">
        <v>71744</v>
      </c>
      <c r="L4964">
        <v>91965</v>
      </c>
      <c r="M4964">
        <v>84134</v>
      </c>
    </row>
    <row r="4965" spans="4:19" x14ac:dyDescent="0.25">
      <c r="D4965" t="s">
        <v>125</v>
      </c>
      <c r="E4965">
        <v>2013</v>
      </c>
      <c r="F4965" t="s">
        <v>29</v>
      </c>
      <c r="S4965">
        <v>40149</v>
      </c>
    </row>
    <row r="4966" spans="4:19" x14ac:dyDescent="0.25">
      <c r="D4966" t="s">
        <v>125</v>
      </c>
      <c r="E4966">
        <v>2014</v>
      </c>
      <c r="F4966" t="s">
        <v>29</v>
      </c>
      <c r="S4966">
        <v>41634</v>
      </c>
    </row>
    <row r="4967" spans="4:19" x14ac:dyDescent="0.25">
      <c r="D4967" t="s">
        <v>125</v>
      </c>
      <c r="E4967">
        <v>2015</v>
      </c>
      <c r="F4967" t="s">
        <v>29</v>
      </c>
      <c r="S4967">
        <v>41265</v>
      </c>
    </row>
    <row r="4968" spans="4:19" x14ac:dyDescent="0.25">
      <c r="D4968" t="s">
        <v>125</v>
      </c>
      <c r="E4968">
        <v>2013</v>
      </c>
      <c r="F4968" t="s">
        <v>30</v>
      </c>
      <c r="G4968">
        <v>6892</v>
      </c>
      <c r="H4968">
        <v>6475</v>
      </c>
      <c r="I4968">
        <v>5474</v>
      </c>
      <c r="J4968">
        <v>5247</v>
      </c>
      <c r="K4968">
        <v>5502</v>
      </c>
      <c r="L4968">
        <v>5372</v>
      </c>
      <c r="M4968">
        <v>5187</v>
      </c>
      <c r="N4968">
        <v>4408</v>
      </c>
      <c r="O4968">
        <v>7435</v>
      </c>
      <c r="P4968">
        <v>7092</v>
      </c>
      <c r="Q4968">
        <v>5637</v>
      </c>
      <c r="R4968">
        <v>5548</v>
      </c>
    </row>
    <row r="4969" spans="4:19" x14ac:dyDescent="0.25">
      <c r="D4969" t="s">
        <v>125</v>
      </c>
      <c r="E4969">
        <v>2014</v>
      </c>
      <c r="F4969" t="s">
        <v>30</v>
      </c>
      <c r="G4969">
        <v>7036</v>
      </c>
      <c r="H4969">
        <v>6482</v>
      </c>
      <c r="I4969">
        <v>5894</v>
      </c>
      <c r="J4969">
        <v>5868</v>
      </c>
      <c r="K4969">
        <v>5110</v>
      </c>
      <c r="L4969">
        <v>5532</v>
      </c>
      <c r="M4969">
        <v>5712</v>
      </c>
      <c r="N4969">
        <v>5002</v>
      </c>
      <c r="O4969">
        <v>7739</v>
      </c>
      <c r="P4969">
        <v>7105</v>
      </c>
      <c r="Q4969">
        <v>5451</v>
      </c>
      <c r="R4969">
        <v>5811</v>
      </c>
    </row>
    <row r="4970" spans="4:19" x14ac:dyDescent="0.25">
      <c r="D4970" t="s">
        <v>125</v>
      </c>
      <c r="E4970">
        <v>2015</v>
      </c>
      <c r="F4970" t="s">
        <v>30</v>
      </c>
      <c r="G4970">
        <v>6686</v>
      </c>
      <c r="H4970">
        <v>6256</v>
      </c>
      <c r="I4970">
        <v>6387</v>
      </c>
      <c r="J4970">
        <v>5515</v>
      </c>
      <c r="K4970">
        <v>4930</v>
      </c>
      <c r="L4970">
        <v>5973</v>
      </c>
      <c r="M4970">
        <v>5518</v>
      </c>
    </row>
    <row r="4971" spans="4:19" x14ac:dyDescent="0.25">
      <c r="D4971" t="s">
        <v>125</v>
      </c>
      <c r="E4971">
        <v>2013</v>
      </c>
      <c r="F4971" t="s">
        <v>31</v>
      </c>
      <c r="S4971">
        <v>0.80126542698964487</v>
      </c>
    </row>
    <row r="4972" spans="4:19" x14ac:dyDescent="0.25">
      <c r="D4972" t="s">
        <v>125</v>
      </c>
      <c r="E4972">
        <v>2014</v>
      </c>
      <c r="F4972" t="s">
        <v>31</v>
      </c>
      <c r="S4972">
        <v>0.92247825262758809</v>
      </c>
    </row>
    <row r="4973" spans="4:19" x14ac:dyDescent="0.25">
      <c r="D4973" t="s">
        <v>125</v>
      </c>
      <c r="E4973">
        <v>2015</v>
      </c>
      <c r="F4973" t="s">
        <v>31</v>
      </c>
      <c r="S4973">
        <v>0.89590769667398018</v>
      </c>
    </row>
    <row r="4974" spans="4:19" x14ac:dyDescent="0.25">
      <c r="D4974" t="s">
        <v>125</v>
      </c>
      <c r="E4974">
        <v>2013</v>
      </c>
      <c r="F4974" t="s">
        <v>32</v>
      </c>
      <c r="G4974">
        <v>0.60829218457347178</v>
      </c>
      <c r="H4974">
        <v>0.67897238798422166</v>
      </c>
      <c r="I4974">
        <v>0.89188795925791198</v>
      </c>
      <c r="J4974">
        <v>0.89913522614219021</v>
      </c>
      <c r="K4974">
        <v>0.88557620817843863</v>
      </c>
      <c r="L4974">
        <v>0.90137122088220722</v>
      </c>
      <c r="M4974">
        <v>0.96008852258852262</v>
      </c>
      <c r="N4974">
        <v>0.91813658977838086</v>
      </c>
      <c r="O4974">
        <v>0.94869384191793704</v>
      </c>
      <c r="P4974">
        <v>0.95391834162056166</v>
      </c>
      <c r="Q4974">
        <v>0.90703742358729689</v>
      </c>
      <c r="R4974">
        <v>0.96428059101993979</v>
      </c>
    </row>
    <row r="4975" spans="4:19" x14ac:dyDescent="0.25">
      <c r="D4975" t="s">
        <v>125</v>
      </c>
      <c r="E4975">
        <v>2014</v>
      </c>
      <c r="F4975" t="s">
        <v>32</v>
      </c>
      <c r="G4975">
        <v>0.93473311409056414</v>
      </c>
      <c r="H4975">
        <v>0.94655138534093142</v>
      </c>
      <c r="I4975">
        <v>0.93550582186602149</v>
      </c>
      <c r="J4975">
        <v>0.9427404567427905</v>
      </c>
      <c r="K4975">
        <v>0.94433008144634389</v>
      </c>
      <c r="L4975">
        <v>0.8921669164628856</v>
      </c>
      <c r="M4975">
        <v>0.86595500304033513</v>
      </c>
      <c r="N4975">
        <v>0.89335281227173124</v>
      </c>
      <c r="O4975">
        <v>0.90420131763689382</v>
      </c>
      <c r="P4975">
        <v>0.91132566420158856</v>
      </c>
      <c r="Q4975">
        <v>0.91810311208174089</v>
      </c>
      <c r="R4975">
        <v>0.90864180821547003</v>
      </c>
    </row>
    <row r="4976" spans="4:19" x14ac:dyDescent="0.25">
      <c r="D4976" t="s">
        <v>125</v>
      </c>
      <c r="E4976">
        <v>2015</v>
      </c>
      <c r="F4976" t="s">
        <v>32</v>
      </c>
      <c r="G4976">
        <v>0.90753872633390709</v>
      </c>
      <c r="H4976">
        <v>0.8999382758384199</v>
      </c>
      <c r="I4976">
        <v>0.87568335108271211</v>
      </c>
      <c r="J4976">
        <v>0.90441980321724191</v>
      </c>
      <c r="K4976">
        <v>0.89533225591786292</v>
      </c>
      <c r="L4976">
        <v>0.89756464976148631</v>
      </c>
      <c r="M4976">
        <v>0.89091738931994524</v>
      </c>
    </row>
    <row r="4977" spans="4:19" x14ac:dyDescent="0.25">
      <c r="D4977" t="s">
        <v>125</v>
      </c>
      <c r="E4977">
        <v>2013</v>
      </c>
      <c r="F4977" t="s">
        <v>33</v>
      </c>
      <c r="S4977">
        <v>0.77959434871026434</v>
      </c>
    </row>
    <row r="4978" spans="4:19" x14ac:dyDescent="0.25">
      <c r="D4978" t="s">
        <v>125</v>
      </c>
      <c r="E4978">
        <v>2014</v>
      </c>
      <c r="F4978" t="s">
        <v>33</v>
      </c>
      <c r="S4978">
        <v>0.91337200799493001</v>
      </c>
    </row>
    <row r="4979" spans="4:19" x14ac:dyDescent="0.25">
      <c r="D4979" t="s">
        <v>125</v>
      </c>
      <c r="E4979">
        <v>2015</v>
      </c>
      <c r="F4979" t="s">
        <v>33</v>
      </c>
      <c r="S4979">
        <v>0.90669995990230745</v>
      </c>
    </row>
    <row r="4980" spans="4:19" x14ac:dyDescent="0.25">
      <c r="D4980" t="s">
        <v>125</v>
      </c>
      <c r="E4980">
        <v>2013</v>
      </c>
      <c r="F4980" t="s">
        <v>34</v>
      </c>
      <c r="G4980">
        <v>0.50792306761824124</v>
      </c>
      <c r="H4980">
        <v>0.61875132574418445</v>
      </c>
      <c r="I4980">
        <v>0.93232104121475057</v>
      </c>
      <c r="J4980">
        <v>0.93308932860574179</v>
      </c>
      <c r="K4980">
        <v>0.90540831717302306</v>
      </c>
      <c r="L4980">
        <v>0.94261279127416953</v>
      </c>
      <c r="M4980">
        <v>0.95476353666895131</v>
      </c>
      <c r="N4980">
        <v>0.87757862698681099</v>
      </c>
      <c r="O4980">
        <v>0.92292948653283569</v>
      </c>
      <c r="P4980">
        <v>0.93139401522260457</v>
      </c>
      <c r="Q4980">
        <v>0.86518918918918919</v>
      </c>
      <c r="R4980">
        <v>0.94491150442477878</v>
      </c>
    </row>
    <row r="4981" spans="4:19" x14ac:dyDescent="0.25">
      <c r="D4981" t="s">
        <v>125</v>
      </c>
      <c r="E4981">
        <v>2014</v>
      </c>
      <c r="F4981" t="s">
        <v>34</v>
      </c>
      <c r="G4981">
        <v>0.90486725663716816</v>
      </c>
      <c r="H4981">
        <v>0.92343779320698072</v>
      </c>
      <c r="I4981">
        <v>0.90886752136752136</v>
      </c>
      <c r="J4981">
        <v>0.91870784522541715</v>
      </c>
      <c r="K4981">
        <v>0.92169205589827519</v>
      </c>
      <c r="L4981">
        <v>0.94033649088081439</v>
      </c>
      <c r="M4981">
        <v>0.87524285317790729</v>
      </c>
      <c r="N4981">
        <v>0.91742127314501964</v>
      </c>
      <c r="O4981">
        <v>0.88503671602263156</v>
      </c>
      <c r="P4981">
        <v>0.91950795560903864</v>
      </c>
      <c r="Q4981">
        <v>0.91846178394766231</v>
      </c>
      <c r="R4981">
        <v>0.91491239127694446</v>
      </c>
    </row>
    <row r="4982" spans="4:19" x14ac:dyDescent="0.25">
      <c r="D4982" t="s">
        <v>125</v>
      </c>
      <c r="E4982">
        <v>2015</v>
      </c>
      <c r="F4982" t="s">
        <v>34</v>
      </c>
      <c r="G4982">
        <v>0.91503186305135575</v>
      </c>
      <c r="H4982">
        <v>0.8980560055542699</v>
      </c>
      <c r="I4982">
        <v>0.89104196655962797</v>
      </c>
      <c r="J4982">
        <v>0.93446737311767991</v>
      </c>
      <c r="K4982">
        <v>0.90479233226837064</v>
      </c>
      <c r="L4982">
        <v>0.91384936692337815</v>
      </c>
      <c r="M4982">
        <v>0.89526985303198714</v>
      </c>
    </row>
    <row r="4983" spans="4:19" x14ac:dyDescent="0.25">
      <c r="D4983" t="s">
        <v>126</v>
      </c>
      <c r="E4983">
        <v>2013</v>
      </c>
      <c r="F4983" t="s">
        <v>17</v>
      </c>
      <c r="S4983">
        <v>0.91193171343239554</v>
      </c>
    </row>
    <row r="4984" spans="4:19" x14ac:dyDescent="0.25">
      <c r="D4984" t="s">
        <v>126</v>
      </c>
      <c r="E4984">
        <v>2014</v>
      </c>
      <c r="F4984" t="s">
        <v>17</v>
      </c>
      <c r="S4984">
        <v>0.86085076980316422</v>
      </c>
    </row>
    <row r="4985" spans="4:19" x14ac:dyDescent="0.25">
      <c r="D4985" t="s">
        <v>126</v>
      </c>
      <c r="E4985">
        <v>2015</v>
      </c>
      <c r="F4985" t="s">
        <v>17</v>
      </c>
      <c r="S4985">
        <v>0.92111284346082978</v>
      </c>
    </row>
    <row r="4986" spans="4:19" x14ac:dyDescent="0.25">
      <c r="D4986" t="s">
        <v>126</v>
      </c>
      <c r="E4986">
        <v>2013</v>
      </c>
      <c r="F4986" t="s">
        <v>18</v>
      </c>
      <c r="G4986">
        <v>0.85538675634929839</v>
      </c>
      <c r="H4986">
        <v>0.91671838153158747</v>
      </c>
      <c r="I4986">
        <v>0.90486754534777503</v>
      </c>
      <c r="J4986">
        <v>0.93665586169638038</v>
      </c>
      <c r="K4986">
        <v>0.90696347031963476</v>
      </c>
      <c r="L4986">
        <v>0.93357439400026787</v>
      </c>
      <c r="M4986">
        <v>0.93603491271820449</v>
      </c>
      <c r="N4986">
        <v>0.87449505502159075</v>
      </c>
      <c r="O4986">
        <v>0.87493545388825777</v>
      </c>
      <c r="P4986">
        <v>0.93415423145152876</v>
      </c>
      <c r="Q4986">
        <v>0.85646648392723645</v>
      </c>
      <c r="R4986">
        <v>0.90059441001644114</v>
      </c>
    </row>
    <row r="4987" spans="4:19" x14ac:dyDescent="0.25">
      <c r="D4987" t="s">
        <v>126</v>
      </c>
      <c r="E4987">
        <v>2014</v>
      </c>
      <c r="F4987" t="s">
        <v>18</v>
      </c>
      <c r="G4987">
        <v>0.74612815062253268</v>
      </c>
      <c r="H4987">
        <v>0.8237209302325581</v>
      </c>
      <c r="I4987">
        <v>0.9082825822168088</v>
      </c>
      <c r="J4987">
        <v>0.90559879487823247</v>
      </c>
      <c r="K4987">
        <v>0.8790547482753559</v>
      </c>
      <c r="L4987">
        <v>0.89320648532761626</v>
      </c>
      <c r="M4987">
        <v>0.90628328008519698</v>
      </c>
      <c r="N4987">
        <v>0.95794520547945206</v>
      </c>
      <c r="O4987">
        <v>0.84097492757966241</v>
      </c>
      <c r="P4987">
        <v>0.93045150840251067</v>
      </c>
      <c r="Q4987">
        <v>0.90964401294498387</v>
      </c>
      <c r="R4987">
        <v>0.92311371517398066</v>
      </c>
    </row>
    <row r="4988" spans="4:19" x14ac:dyDescent="0.25">
      <c r="D4988" t="s">
        <v>126</v>
      </c>
      <c r="E4988">
        <v>2015</v>
      </c>
      <c r="F4988" t="s">
        <v>18</v>
      </c>
      <c r="G4988">
        <v>0.88843764930721447</v>
      </c>
      <c r="H4988">
        <v>0.88550531914893615</v>
      </c>
      <c r="I4988">
        <v>0.91916920227543331</v>
      </c>
      <c r="J4988">
        <v>0.93294713975380161</v>
      </c>
      <c r="K4988">
        <v>0.91847133757961785</v>
      </c>
      <c r="L4988">
        <v>0.95663369020192435</v>
      </c>
      <c r="M4988">
        <v>0.95793405879486759</v>
      </c>
    </row>
    <row r="4989" spans="4:19" x14ac:dyDescent="0.25">
      <c r="D4989" t="s">
        <v>126</v>
      </c>
      <c r="E4989">
        <v>2013</v>
      </c>
      <c r="F4989" t="s">
        <v>19</v>
      </c>
      <c r="S4989">
        <v>0.6604715070870697</v>
      </c>
    </row>
    <row r="4990" spans="4:19" x14ac:dyDescent="0.25">
      <c r="D4990" t="s">
        <v>126</v>
      </c>
      <c r="E4990">
        <v>2014</v>
      </c>
      <c r="F4990" t="s">
        <v>19</v>
      </c>
      <c r="S4990">
        <v>0.99883997589379336</v>
      </c>
    </row>
    <row r="4991" spans="4:19" x14ac:dyDescent="0.25">
      <c r="D4991" t="s">
        <v>126</v>
      </c>
      <c r="E4991">
        <v>2015</v>
      </c>
      <c r="F4991" t="s">
        <v>19</v>
      </c>
      <c r="S4991">
        <v>0.97917271657096105</v>
      </c>
    </row>
    <row r="4992" spans="4:19" x14ac:dyDescent="0.25">
      <c r="D4992" t="s">
        <v>126</v>
      </c>
      <c r="E4992">
        <v>2013</v>
      </c>
      <c r="F4992" t="s">
        <v>20</v>
      </c>
      <c r="G4992">
        <v>0.6239244186046512</v>
      </c>
      <c r="H4992">
        <v>0.55486280533718868</v>
      </c>
      <c r="I4992">
        <v>0.58930991642195618</v>
      </c>
      <c r="J4992">
        <v>0.59719917700935821</v>
      </c>
      <c r="K4992">
        <v>0.67214060456887936</v>
      </c>
      <c r="L4992">
        <v>0.65858020371666282</v>
      </c>
      <c r="M4992">
        <v>0.90613916916394033</v>
      </c>
      <c r="N4992">
        <v>0.99051774487236743</v>
      </c>
      <c r="O4992">
        <v>0.99580116102124783</v>
      </c>
      <c r="P4992">
        <v>0.99602728898872661</v>
      </c>
      <c r="Q4992">
        <v>0.95204539953201905</v>
      </c>
      <c r="R4992">
        <v>0.96459858702633272</v>
      </c>
    </row>
    <row r="4993" spans="4:19" x14ac:dyDescent="0.25">
      <c r="D4993" t="s">
        <v>126</v>
      </c>
      <c r="E4993">
        <v>2014</v>
      </c>
      <c r="F4993" t="s">
        <v>20</v>
      </c>
      <c r="G4993">
        <v>0.9974178309780215</v>
      </c>
      <c r="H4993">
        <v>0.99977319119981856</v>
      </c>
      <c r="I4993">
        <v>0.99913956725294195</v>
      </c>
      <c r="J4993">
        <v>0.9989587981555853</v>
      </c>
      <c r="K4993">
        <v>0.99866126711067971</v>
      </c>
      <c r="L4993">
        <v>0.99867945683318804</v>
      </c>
      <c r="M4993">
        <v>0.99938046929450941</v>
      </c>
      <c r="N4993">
        <v>0.99894587921995059</v>
      </c>
      <c r="O4993">
        <v>0.99645816203908666</v>
      </c>
      <c r="P4993">
        <v>0.98009950248756217</v>
      </c>
      <c r="Q4993">
        <v>0.87104863723355108</v>
      </c>
      <c r="R4993">
        <v>0.99836775407494727</v>
      </c>
    </row>
    <row r="4994" spans="4:19" x14ac:dyDescent="0.25">
      <c r="D4994" t="s">
        <v>126</v>
      </c>
      <c r="E4994">
        <v>2015</v>
      </c>
      <c r="F4994" t="s">
        <v>20</v>
      </c>
      <c r="G4994">
        <v>0.99553047656293647</v>
      </c>
      <c r="H4994">
        <v>0.99818769023443854</v>
      </c>
      <c r="I4994">
        <v>0.88358546339766997</v>
      </c>
      <c r="J4994">
        <v>0.99315955288938762</v>
      </c>
      <c r="K4994">
        <v>0.99743721168631472</v>
      </c>
      <c r="L4994">
        <v>0.98958185827281375</v>
      </c>
      <c r="M4994">
        <v>0.99833722633516764</v>
      </c>
    </row>
    <row r="4995" spans="4:19" x14ac:dyDescent="0.25">
      <c r="D4995" t="s">
        <v>126</v>
      </c>
      <c r="E4995">
        <v>2013</v>
      </c>
      <c r="F4995" t="s">
        <v>21</v>
      </c>
      <c r="S4995">
        <v>0.93351289190170683</v>
      </c>
    </row>
    <row r="4996" spans="4:19" x14ac:dyDescent="0.25">
      <c r="D4996" t="s">
        <v>126</v>
      </c>
      <c r="E4996">
        <v>2014</v>
      </c>
      <c r="F4996" t="s">
        <v>21</v>
      </c>
      <c r="S4996">
        <v>0.9973200914321747</v>
      </c>
    </row>
    <row r="4997" spans="4:19" x14ac:dyDescent="0.25">
      <c r="D4997" t="s">
        <v>126</v>
      </c>
      <c r="E4997">
        <v>2015</v>
      </c>
      <c r="F4997" t="s">
        <v>21</v>
      </c>
      <c r="S4997">
        <v>0.99104053611100995</v>
      </c>
    </row>
    <row r="4998" spans="4:19" x14ac:dyDescent="0.25">
      <c r="D4998" t="s">
        <v>126</v>
      </c>
      <c r="E4998">
        <v>2013</v>
      </c>
      <c r="F4998" t="s">
        <v>22</v>
      </c>
      <c r="G4998">
        <v>0.74639670555936855</v>
      </c>
      <c r="H4998">
        <v>0.94403604458145596</v>
      </c>
      <c r="I4998">
        <v>0.96529899607158443</v>
      </c>
      <c r="J4998">
        <v>0.96917517006802723</v>
      </c>
      <c r="K4998">
        <v>0.97697620874904068</v>
      </c>
      <c r="L4998">
        <v>0.98168789808917201</v>
      </c>
      <c r="M4998">
        <v>0.99668654738237239</v>
      </c>
      <c r="N4998">
        <v>0.98578613601574461</v>
      </c>
      <c r="O4998">
        <v>0.99477143710785776</v>
      </c>
      <c r="P4998">
        <v>0.99396642182581318</v>
      </c>
      <c r="Q4998">
        <v>0.99000468530376384</v>
      </c>
      <c r="R4998">
        <v>0.97557947019867552</v>
      </c>
    </row>
    <row r="4999" spans="4:19" x14ac:dyDescent="0.25">
      <c r="D4999" t="s">
        <v>126</v>
      </c>
      <c r="E4999">
        <v>2014</v>
      </c>
      <c r="F4999" t="s">
        <v>22</v>
      </c>
      <c r="G4999">
        <v>0.99539423182366482</v>
      </c>
      <c r="H4999">
        <v>0.99839603382910469</v>
      </c>
      <c r="I4999">
        <v>0.99877216916780354</v>
      </c>
      <c r="J4999">
        <v>0.99495500409053728</v>
      </c>
      <c r="K4999">
        <v>0.99880952380952381</v>
      </c>
      <c r="L4999">
        <v>0.99562363238512031</v>
      </c>
      <c r="M4999">
        <v>1</v>
      </c>
      <c r="N4999">
        <v>0.99767711962833916</v>
      </c>
      <c r="O4999">
        <v>0.99736703528172721</v>
      </c>
      <c r="P4999">
        <v>0.99460778020285012</v>
      </c>
      <c r="Q4999">
        <v>0.99334159182409409</v>
      </c>
      <c r="R4999">
        <v>0.99636156907333717</v>
      </c>
    </row>
    <row r="5000" spans="4:19" x14ac:dyDescent="0.25">
      <c r="D5000" t="s">
        <v>126</v>
      </c>
      <c r="E5000">
        <v>2015</v>
      </c>
      <c r="F5000" t="s">
        <v>22</v>
      </c>
      <c r="G5000">
        <v>0.99520517395182873</v>
      </c>
      <c r="H5000">
        <v>0.99275465264952412</v>
      </c>
      <c r="I5000">
        <v>0.98735603405107664</v>
      </c>
      <c r="J5000">
        <v>0.98171589310829821</v>
      </c>
      <c r="K5000">
        <v>0.99844586427214643</v>
      </c>
      <c r="L5000">
        <v>0.98962795941375425</v>
      </c>
      <c r="M5000">
        <v>0.99371814626051913</v>
      </c>
    </row>
    <row r="5001" spans="4:19" x14ac:dyDescent="0.25">
      <c r="D5001" t="s">
        <v>126</v>
      </c>
      <c r="E5001">
        <v>2013</v>
      </c>
      <c r="F5001" t="s">
        <v>23</v>
      </c>
      <c r="S5001">
        <v>86521</v>
      </c>
    </row>
    <row r="5002" spans="4:19" x14ac:dyDescent="0.25">
      <c r="D5002" t="s">
        <v>126</v>
      </c>
      <c r="E5002">
        <v>2014</v>
      </c>
      <c r="F5002" t="s">
        <v>23</v>
      </c>
      <c r="S5002">
        <v>81235</v>
      </c>
    </row>
    <row r="5003" spans="4:19" x14ac:dyDescent="0.25">
      <c r="D5003" t="s">
        <v>126</v>
      </c>
      <c r="E5003">
        <v>2015</v>
      </c>
      <c r="F5003" t="s">
        <v>23</v>
      </c>
      <c r="S5003">
        <v>79371</v>
      </c>
    </row>
    <row r="5004" spans="4:19" x14ac:dyDescent="0.25">
      <c r="D5004" t="s">
        <v>126</v>
      </c>
      <c r="E5004">
        <v>2013</v>
      </c>
      <c r="F5004" t="s">
        <v>24</v>
      </c>
      <c r="G5004">
        <v>15556</v>
      </c>
      <c r="H5004">
        <v>14269</v>
      </c>
      <c r="I5004">
        <v>12258</v>
      </c>
      <c r="J5004">
        <v>11049</v>
      </c>
      <c r="K5004">
        <v>11290</v>
      </c>
      <c r="L5004">
        <v>10436</v>
      </c>
      <c r="M5004">
        <v>11663</v>
      </c>
      <c r="N5004">
        <v>11025</v>
      </c>
      <c r="O5004">
        <v>12440</v>
      </c>
      <c r="P5004">
        <v>11871</v>
      </c>
      <c r="Q5004">
        <v>10776</v>
      </c>
      <c r="R5004">
        <v>12378</v>
      </c>
    </row>
    <row r="5005" spans="4:19" x14ac:dyDescent="0.25">
      <c r="D5005" t="s">
        <v>126</v>
      </c>
      <c r="E5005">
        <v>2014</v>
      </c>
      <c r="F5005" t="s">
        <v>24</v>
      </c>
      <c r="G5005">
        <v>14399</v>
      </c>
      <c r="H5005">
        <v>12520</v>
      </c>
      <c r="I5005">
        <v>11109</v>
      </c>
      <c r="J5005">
        <v>10194</v>
      </c>
      <c r="K5005">
        <v>9109</v>
      </c>
      <c r="L5005">
        <v>11394</v>
      </c>
      <c r="M5005">
        <v>12510</v>
      </c>
      <c r="N5005">
        <v>11874</v>
      </c>
      <c r="O5005">
        <v>15218</v>
      </c>
      <c r="P5005">
        <v>13566</v>
      </c>
      <c r="Q5005">
        <v>11430</v>
      </c>
      <c r="R5005">
        <v>12672</v>
      </c>
    </row>
    <row r="5006" spans="4:19" x14ac:dyDescent="0.25">
      <c r="D5006" t="s">
        <v>126</v>
      </c>
      <c r="E5006">
        <v>2015</v>
      </c>
      <c r="F5006" t="s">
        <v>24</v>
      </c>
      <c r="G5006">
        <v>13292</v>
      </c>
      <c r="H5006">
        <v>12409</v>
      </c>
      <c r="I5006">
        <v>12030</v>
      </c>
      <c r="J5006">
        <v>11060</v>
      </c>
      <c r="K5006">
        <v>8717</v>
      </c>
      <c r="L5006">
        <v>10617</v>
      </c>
      <c r="M5006">
        <v>11246</v>
      </c>
    </row>
    <row r="5007" spans="4:19" x14ac:dyDescent="0.25">
      <c r="D5007" t="s">
        <v>126</v>
      </c>
      <c r="E5007">
        <v>2013</v>
      </c>
      <c r="F5007" t="s">
        <v>25</v>
      </c>
      <c r="S5007">
        <v>232405</v>
      </c>
    </row>
    <row r="5008" spans="4:19" x14ac:dyDescent="0.25">
      <c r="D5008" t="s">
        <v>126</v>
      </c>
      <c r="E5008">
        <v>2014</v>
      </c>
      <c r="F5008" t="s">
        <v>25</v>
      </c>
      <c r="S5008">
        <v>225135</v>
      </c>
    </row>
    <row r="5009" spans="4:19" x14ac:dyDescent="0.25">
      <c r="D5009" t="s">
        <v>126</v>
      </c>
      <c r="E5009">
        <v>2015</v>
      </c>
      <c r="F5009" t="s">
        <v>25</v>
      </c>
      <c r="S5009">
        <v>249146</v>
      </c>
    </row>
    <row r="5010" spans="4:19" x14ac:dyDescent="0.25">
      <c r="D5010" t="s">
        <v>126</v>
      </c>
      <c r="E5010">
        <v>2013</v>
      </c>
      <c r="F5010" t="s">
        <v>26</v>
      </c>
      <c r="G5010">
        <v>38038</v>
      </c>
      <c r="H5010">
        <v>33058</v>
      </c>
      <c r="I5010">
        <v>32871</v>
      </c>
      <c r="J5010">
        <v>31826</v>
      </c>
      <c r="K5010">
        <v>28363</v>
      </c>
      <c r="L5010">
        <v>30818</v>
      </c>
      <c r="M5010">
        <v>37431</v>
      </c>
      <c r="N5010">
        <v>31138</v>
      </c>
      <c r="O5010">
        <v>37131</v>
      </c>
      <c r="P5010">
        <v>41156</v>
      </c>
      <c r="Q5010">
        <v>34340</v>
      </c>
      <c r="R5010">
        <v>39989</v>
      </c>
    </row>
    <row r="5011" spans="4:19" x14ac:dyDescent="0.25">
      <c r="D5011" t="s">
        <v>126</v>
      </c>
      <c r="E5011">
        <v>2014</v>
      </c>
      <c r="F5011" t="s">
        <v>26</v>
      </c>
      <c r="G5011">
        <v>40739</v>
      </c>
      <c r="H5011">
        <v>35627</v>
      </c>
      <c r="I5011">
        <v>31184</v>
      </c>
      <c r="J5011">
        <v>29898</v>
      </c>
      <c r="K5011">
        <v>26355</v>
      </c>
      <c r="L5011">
        <v>28754</v>
      </c>
      <c r="M5011">
        <v>32578</v>
      </c>
      <c r="N5011">
        <v>32214</v>
      </c>
      <c r="O5011">
        <v>38753</v>
      </c>
      <c r="P5011">
        <v>38551</v>
      </c>
      <c r="Q5011">
        <v>36692</v>
      </c>
      <c r="R5011">
        <v>46062</v>
      </c>
    </row>
    <row r="5012" spans="4:19" x14ac:dyDescent="0.25">
      <c r="D5012" t="s">
        <v>126</v>
      </c>
      <c r="E5012">
        <v>2015</v>
      </c>
      <c r="F5012" t="s">
        <v>26</v>
      </c>
      <c r="G5012">
        <v>40964</v>
      </c>
      <c r="H5012">
        <v>35021</v>
      </c>
      <c r="I5012">
        <v>34205</v>
      </c>
      <c r="J5012">
        <v>34571</v>
      </c>
      <c r="K5012">
        <v>28348</v>
      </c>
      <c r="L5012">
        <v>37434</v>
      </c>
      <c r="M5012">
        <v>38603</v>
      </c>
    </row>
    <row r="5013" spans="4:19" x14ac:dyDescent="0.25">
      <c r="D5013" t="s">
        <v>126</v>
      </c>
      <c r="E5013">
        <v>2013</v>
      </c>
      <c r="F5013" t="s">
        <v>27</v>
      </c>
      <c r="S5013">
        <v>400211</v>
      </c>
    </row>
    <row r="5014" spans="4:19" x14ac:dyDescent="0.25">
      <c r="D5014" t="s">
        <v>126</v>
      </c>
      <c r="E5014">
        <v>2014</v>
      </c>
      <c r="F5014" t="s">
        <v>27</v>
      </c>
      <c r="S5014">
        <v>384475</v>
      </c>
    </row>
    <row r="5015" spans="4:19" x14ac:dyDescent="0.25">
      <c r="D5015" t="s">
        <v>126</v>
      </c>
      <c r="E5015">
        <v>2015</v>
      </c>
      <c r="F5015" t="s">
        <v>27</v>
      </c>
      <c r="S5015">
        <v>435119</v>
      </c>
    </row>
    <row r="5016" spans="4:19" x14ac:dyDescent="0.25">
      <c r="D5016" t="s">
        <v>126</v>
      </c>
      <c r="E5016">
        <v>2013</v>
      </c>
      <c r="F5016" t="s">
        <v>28</v>
      </c>
      <c r="G5016">
        <v>64653</v>
      </c>
      <c r="H5016">
        <v>57946</v>
      </c>
      <c r="I5016">
        <v>57220</v>
      </c>
      <c r="J5016">
        <v>54608</v>
      </c>
      <c r="K5016">
        <v>48705</v>
      </c>
      <c r="L5016">
        <v>54142</v>
      </c>
      <c r="M5016">
        <v>62937</v>
      </c>
      <c r="N5016">
        <v>51757</v>
      </c>
      <c r="O5016">
        <v>62545</v>
      </c>
      <c r="P5016">
        <v>69266</v>
      </c>
      <c r="Q5016">
        <v>57279</v>
      </c>
      <c r="R5016">
        <v>64769</v>
      </c>
    </row>
    <row r="5017" spans="4:19" x14ac:dyDescent="0.25">
      <c r="D5017" t="s">
        <v>126</v>
      </c>
      <c r="E5017">
        <v>2014</v>
      </c>
      <c r="F5017" t="s">
        <v>28</v>
      </c>
      <c r="G5017">
        <v>67276</v>
      </c>
      <c r="H5017">
        <v>61579</v>
      </c>
      <c r="I5017">
        <v>54057</v>
      </c>
      <c r="J5017">
        <v>51420</v>
      </c>
      <c r="K5017">
        <v>45469</v>
      </c>
      <c r="L5017">
        <v>49059</v>
      </c>
      <c r="M5017">
        <v>55615</v>
      </c>
      <c r="N5017">
        <v>51006</v>
      </c>
      <c r="O5017">
        <v>65392</v>
      </c>
      <c r="P5017">
        <v>66148</v>
      </c>
      <c r="Q5017">
        <v>61069</v>
      </c>
      <c r="R5017">
        <v>76673</v>
      </c>
    </row>
    <row r="5018" spans="4:19" x14ac:dyDescent="0.25">
      <c r="D5018" t="s">
        <v>126</v>
      </c>
      <c r="E5018">
        <v>2015</v>
      </c>
      <c r="F5018" t="s">
        <v>28</v>
      </c>
      <c r="G5018">
        <v>69508</v>
      </c>
      <c r="H5018">
        <v>62507</v>
      </c>
      <c r="I5018">
        <v>60460</v>
      </c>
      <c r="J5018">
        <v>58908</v>
      </c>
      <c r="K5018">
        <v>49427</v>
      </c>
      <c r="L5018">
        <v>66695</v>
      </c>
      <c r="M5018">
        <v>67614</v>
      </c>
    </row>
    <row r="5019" spans="4:19" x14ac:dyDescent="0.25">
      <c r="D5019" t="s">
        <v>126</v>
      </c>
      <c r="E5019">
        <v>2013</v>
      </c>
      <c r="F5019" t="s">
        <v>29</v>
      </c>
      <c r="S5019">
        <v>54242</v>
      </c>
    </row>
    <row r="5020" spans="4:19" x14ac:dyDescent="0.25">
      <c r="D5020" t="s">
        <v>126</v>
      </c>
      <c r="E5020">
        <v>2014</v>
      </c>
      <c r="F5020" t="s">
        <v>29</v>
      </c>
      <c r="S5020">
        <v>56443</v>
      </c>
    </row>
    <row r="5021" spans="4:19" x14ac:dyDescent="0.25">
      <c r="D5021" t="s">
        <v>126</v>
      </c>
      <c r="E5021">
        <v>2015</v>
      </c>
      <c r="F5021" t="s">
        <v>29</v>
      </c>
      <c r="S5021">
        <v>49387</v>
      </c>
    </row>
    <row r="5022" spans="4:19" x14ac:dyDescent="0.25">
      <c r="D5022" t="s">
        <v>126</v>
      </c>
      <c r="E5022">
        <v>2013</v>
      </c>
      <c r="F5022" t="s">
        <v>30</v>
      </c>
      <c r="G5022">
        <v>8623</v>
      </c>
      <c r="H5022">
        <v>8057</v>
      </c>
      <c r="I5022">
        <v>7663</v>
      </c>
      <c r="J5022">
        <v>7404</v>
      </c>
      <c r="K5022">
        <v>7008</v>
      </c>
      <c r="L5022">
        <v>7467</v>
      </c>
      <c r="M5022">
        <v>8020</v>
      </c>
      <c r="N5022">
        <v>7179</v>
      </c>
      <c r="O5022">
        <v>9683</v>
      </c>
      <c r="P5022">
        <v>9583</v>
      </c>
      <c r="Q5022">
        <v>8026</v>
      </c>
      <c r="R5022">
        <v>7907</v>
      </c>
    </row>
    <row r="5023" spans="4:19" x14ac:dyDescent="0.25">
      <c r="D5023" t="s">
        <v>126</v>
      </c>
      <c r="E5023">
        <v>2014</v>
      </c>
      <c r="F5023" t="s">
        <v>30</v>
      </c>
      <c r="G5023">
        <v>9879</v>
      </c>
      <c r="H5023">
        <v>8600</v>
      </c>
      <c r="I5023">
        <v>8210</v>
      </c>
      <c r="J5023">
        <v>7966</v>
      </c>
      <c r="K5023">
        <v>6813</v>
      </c>
      <c r="L5023">
        <v>7463</v>
      </c>
      <c r="M5023">
        <v>7512</v>
      </c>
      <c r="N5023">
        <v>7300</v>
      </c>
      <c r="O5023">
        <v>10011</v>
      </c>
      <c r="P5023">
        <v>9878</v>
      </c>
      <c r="Q5023">
        <v>7725</v>
      </c>
      <c r="R5023">
        <v>8363</v>
      </c>
    </row>
    <row r="5024" spans="4:19" x14ac:dyDescent="0.25">
      <c r="D5024" t="s">
        <v>126</v>
      </c>
      <c r="E5024">
        <v>2015</v>
      </c>
      <c r="F5024" t="s">
        <v>30</v>
      </c>
      <c r="G5024">
        <v>8372</v>
      </c>
      <c r="H5024">
        <v>7520</v>
      </c>
      <c r="I5024">
        <v>7559</v>
      </c>
      <c r="J5024">
        <v>6905</v>
      </c>
      <c r="K5024">
        <v>5495</v>
      </c>
      <c r="L5024">
        <v>7379</v>
      </c>
      <c r="M5024">
        <v>6157</v>
      </c>
    </row>
    <row r="5025" spans="4:19" x14ac:dyDescent="0.25">
      <c r="D5025" t="s">
        <v>126</v>
      </c>
      <c r="E5025">
        <v>2013</v>
      </c>
      <c r="F5025" t="s">
        <v>31</v>
      </c>
      <c r="S5025">
        <v>0.86741947041758649</v>
      </c>
    </row>
    <row r="5026" spans="4:19" x14ac:dyDescent="0.25">
      <c r="D5026" t="s">
        <v>126</v>
      </c>
      <c r="E5026">
        <v>2014</v>
      </c>
      <c r="F5026" t="s">
        <v>31</v>
      </c>
      <c r="S5026">
        <v>0.95269280482550622</v>
      </c>
    </row>
    <row r="5027" spans="4:19" x14ac:dyDescent="0.25">
      <c r="D5027" t="s">
        <v>126</v>
      </c>
      <c r="E5027">
        <v>2015</v>
      </c>
      <c r="F5027" t="s">
        <v>31</v>
      </c>
      <c r="S5027">
        <v>0.89307177684544736</v>
      </c>
    </row>
    <row r="5028" spans="4:19" x14ac:dyDescent="0.25">
      <c r="D5028" t="s">
        <v>126</v>
      </c>
      <c r="E5028">
        <v>2013</v>
      </c>
      <c r="F5028" t="s">
        <v>32</v>
      </c>
      <c r="G5028">
        <v>0.83967600925687835</v>
      </c>
      <c r="H5028">
        <v>0.84448805101969304</v>
      </c>
      <c r="I5028">
        <v>0.85144395496818404</v>
      </c>
      <c r="J5028">
        <v>0.87528283102543214</v>
      </c>
      <c r="K5028">
        <v>0.85810451727192205</v>
      </c>
      <c r="L5028">
        <v>0.86441165197393632</v>
      </c>
      <c r="M5028">
        <v>0.95352825173625999</v>
      </c>
      <c r="N5028">
        <v>0.95818594104308386</v>
      </c>
      <c r="O5028">
        <v>0.93963022508038585</v>
      </c>
      <c r="P5028">
        <v>0.96942127874652517</v>
      </c>
      <c r="Q5028">
        <v>0.94376391982182628</v>
      </c>
      <c r="R5028">
        <v>0.95750525125222163</v>
      </c>
    </row>
    <row r="5029" spans="4:19" x14ac:dyDescent="0.25">
      <c r="D5029" t="s">
        <v>126</v>
      </c>
      <c r="E5029">
        <v>2014</v>
      </c>
      <c r="F5029" t="s">
        <v>32</v>
      </c>
      <c r="G5029">
        <v>0.96791443850267378</v>
      </c>
      <c r="H5029">
        <v>0.9865814696485623</v>
      </c>
      <c r="I5029">
        <v>0.98568728058331079</v>
      </c>
      <c r="J5029">
        <v>0.95742593682558363</v>
      </c>
      <c r="K5029">
        <v>0.97727522230760788</v>
      </c>
      <c r="L5029">
        <v>0.89880638932771639</v>
      </c>
      <c r="M5029">
        <v>0.89928057553956831</v>
      </c>
      <c r="N5029">
        <v>0.91906686878895061</v>
      </c>
      <c r="O5029">
        <v>0.92699434879747666</v>
      </c>
      <c r="P5029">
        <v>0.91205956066637184</v>
      </c>
      <c r="Q5029">
        <v>0.92230971128608918</v>
      </c>
      <c r="R5029">
        <v>0.91777146464646464</v>
      </c>
    </row>
    <row r="5030" spans="4:19" x14ac:dyDescent="0.25">
      <c r="D5030" t="s">
        <v>126</v>
      </c>
      <c r="E5030">
        <v>2015</v>
      </c>
      <c r="F5030" t="s">
        <v>32</v>
      </c>
      <c r="G5030">
        <v>0.91784532049352996</v>
      </c>
      <c r="H5030">
        <v>0.89902490128132806</v>
      </c>
      <c r="I5030">
        <v>0.87971737323358268</v>
      </c>
      <c r="J5030">
        <v>0.84367088607594942</v>
      </c>
      <c r="K5030">
        <v>0.89044396007800852</v>
      </c>
      <c r="L5030">
        <v>0.92606197607610441</v>
      </c>
      <c r="M5030">
        <v>0.89098346078605728</v>
      </c>
    </row>
    <row r="5031" spans="4:19" x14ac:dyDescent="0.25">
      <c r="D5031" t="s">
        <v>126</v>
      </c>
      <c r="E5031">
        <v>2013</v>
      </c>
      <c r="F5031" t="s">
        <v>33</v>
      </c>
      <c r="S5031">
        <v>0.8836829148202856</v>
      </c>
    </row>
    <row r="5032" spans="4:19" x14ac:dyDescent="0.25">
      <c r="D5032" t="s">
        <v>126</v>
      </c>
      <c r="E5032">
        <v>2014</v>
      </c>
      <c r="F5032" t="s">
        <v>33</v>
      </c>
      <c r="S5032">
        <v>0.960481354924974</v>
      </c>
    </row>
    <row r="5033" spans="4:19" x14ac:dyDescent="0.25">
      <c r="D5033" t="s">
        <v>126</v>
      </c>
      <c r="E5033">
        <v>2015</v>
      </c>
      <c r="F5033" t="s">
        <v>33</v>
      </c>
      <c r="S5033">
        <v>0.90304065174456882</v>
      </c>
    </row>
    <row r="5034" spans="4:19" x14ac:dyDescent="0.25">
      <c r="D5034" t="s">
        <v>126</v>
      </c>
      <c r="E5034">
        <v>2013</v>
      </c>
      <c r="F5034" t="s">
        <v>34</v>
      </c>
      <c r="G5034">
        <v>0.84836643872788453</v>
      </c>
      <c r="H5034">
        <v>0.81930933852140075</v>
      </c>
      <c r="I5034">
        <v>0.87020728898523236</v>
      </c>
      <c r="J5034">
        <v>0.91595596216467667</v>
      </c>
      <c r="K5034">
        <v>0.90693257359924029</v>
      </c>
      <c r="L5034">
        <v>0.91551335693595104</v>
      </c>
      <c r="M5034">
        <v>0.94122706422018354</v>
      </c>
      <c r="N5034">
        <v>0.92673235855054037</v>
      </c>
      <c r="O5034">
        <v>0.89855464001080643</v>
      </c>
      <c r="P5034">
        <v>0.95061896340633922</v>
      </c>
      <c r="Q5034">
        <v>0.90554862842892769</v>
      </c>
      <c r="R5034">
        <v>0.92697487158128555</v>
      </c>
    </row>
    <row r="5035" spans="4:19" x14ac:dyDescent="0.25">
      <c r="D5035" t="s">
        <v>126</v>
      </c>
      <c r="E5035">
        <v>2014</v>
      </c>
      <c r="F5035" t="s">
        <v>34</v>
      </c>
      <c r="G5035">
        <v>0.94856952020483132</v>
      </c>
      <c r="H5035">
        <v>0.97872879209926567</v>
      </c>
      <c r="I5035">
        <v>0.97697320782041996</v>
      </c>
      <c r="J5035">
        <v>0.93237768775319418</v>
      </c>
      <c r="K5035">
        <v>0.96404377279833242</v>
      </c>
      <c r="L5035">
        <v>0.95661413139720208</v>
      </c>
      <c r="M5035">
        <v>0.96605554547104733</v>
      </c>
      <c r="N5035">
        <v>0.97524394651246837</v>
      </c>
      <c r="O5035">
        <v>0.95147492625368735</v>
      </c>
      <c r="P5035">
        <v>0.93048128342245995</v>
      </c>
      <c r="Q5035">
        <v>0.94228504122497059</v>
      </c>
      <c r="R5035">
        <v>0.93763724198506804</v>
      </c>
    </row>
    <row r="5036" spans="4:19" x14ac:dyDescent="0.25">
      <c r="D5036" t="s">
        <v>126</v>
      </c>
      <c r="E5036">
        <v>2015</v>
      </c>
      <c r="F5036" t="s">
        <v>34</v>
      </c>
      <c r="G5036">
        <v>0.93306885078065016</v>
      </c>
      <c r="H5036">
        <v>0.91251284686536482</v>
      </c>
      <c r="I5036">
        <v>0.89611074489123266</v>
      </c>
      <c r="J5036">
        <v>0.82628758559094972</v>
      </c>
      <c r="K5036">
        <v>0.89429560780025519</v>
      </c>
      <c r="L5036">
        <v>0.96093267449042619</v>
      </c>
      <c r="M5036">
        <v>0.89309015421115068</v>
      </c>
    </row>
    <row r="5037" spans="4:19" x14ac:dyDescent="0.25">
      <c r="D5037" t="s">
        <v>127</v>
      </c>
      <c r="E5037">
        <v>2013</v>
      </c>
      <c r="F5037" t="s">
        <v>17</v>
      </c>
      <c r="S5037">
        <v>0.88667062231684757</v>
      </c>
    </row>
    <row r="5038" spans="4:19" x14ac:dyDescent="0.25">
      <c r="D5038" t="s">
        <v>127</v>
      </c>
      <c r="E5038">
        <v>2014</v>
      </c>
      <c r="F5038" t="s">
        <v>17</v>
      </c>
      <c r="S5038">
        <v>0.97516842439420126</v>
      </c>
    </row>
    <row r="5039" spans="4:19" x14ac:dyDescent="0.25">
      <c r="D5039" t="s">
        <v>127</v>
      </c>
      <c r="E5039">
        <v>2015</v>
      </c>
      <c r="F5039" t="s">
        <v>17</v>
      </c>
      <c r="S5039">
        <v>0.96056972465423174</v>
      </c>
    </row>
    <row r="5040" spans="4:19" x14ac:dyDescent="0.25">
      <c r="D5040" t="s">
        <v>127</v>
      </c>
      <c r="E5040">
        <v>2013</v>
      </c>
      <c r="F5040" t="s">
        <v>18</v>
      </c>
      <c r="G5040">
        <v>0.85461653015636629</v>
      </c>
      <c r="H5040">
        <v>0.86514739703115195</v>
      </c>
      <c r="I5040">
        <v>0.876669449081803</v>
      </c>
      <c r="J5040">
        <v>0.88029686377783101</v>
      </c>
      <c r="K5040">
        <v>0.86217948717948723</v>
      </c>
      <c r="L5040">
        <v>0.97098646034816249</v>
      </c>
      <c r="M5040">
        <v>0.97940947940947942</v>
      </c>
      <c r="N5040">
        <v>0.98713158987131588</v>
      </c>
      <c r="O5040">
        <v>0.98162729658792647</v>
      </c>
      <c r="P5040">
        <v>0.98289828982898286</v>
      </c>
      <c r="Q5040">
        <v>0.96498316498316494</v>
      </c>
      <c r="R5040">
        <v>0.97340754483611625</v>
      </c>
    </row>
    <row r="5041" spans="4:19" x14ac:dyDescent="0.25">
      <c r="D5041" t="s">
        <v>127</v>
      </c>
      <c r="E5041">
        <v>2014</v>
      </c>
      <c r="F5041" t="s">
        <v>18</v>
      </c>
      <c r="G5041">
        <v>0.98117118673346004</v>
      </c>
      <c r="H5041">
        <v>0.98368255145559058</v>
      </c>
      <c r="I5041">
        <v>0.98021454112038142</v>
      </c>
      <c r="J5041">
        <v>0.95136378573775882</v>
      </c>
      <c r="K5041">
        <v>0.96557719054242008</v>
      </c>
      <c r="L5041">
        <v>0.97967052225727302</v>
      </c>
      <c r="M5041">
        <v>0.97168015230842453</v>
      </c>
      <c r="N5041">
        <v>0.96783181357649439</v>
      </c>
      <c r="O5041">
        <v>0.96832101372756074</v>
      </c>
      <c r="P5041">
        <v>0.9550254204145483</v>
      </c>
      <c r="Q5041">
        <v>0.9420716740304369</v>
      </c>
      <c r="R5041">
        <v>0.91275475154568353</v>
      </c>
    </row>
    <row r="5042" spans="4:19" x14ac:dyDescent="0.25">
      <c r="D5042" t="s">
        <v>127</v>
      </c>
      <c r="E5042">
        <v>2015</v>
      </c>
      <c r="F5042" t="s">
        <v>18</v>
      </c>
      <c r="G5042">
        <v>0.90117899249732047</v>
      </c>
      <c r="H5042">
        <v>0.93739770867430439</v>
      </c>
      <c r="I5042">
        <v>0.97330888345558275</v>
      </c>
      <c r="J5042">
        <v>0.96995219667653088</v>
      </c>
      <c r="K5042">
        <v>0.98028942115768458</v>
      </c>
      <c r="L5042">
        <v>0.98029665707327873</v>
      </c>
      <c r="M5042">
        <v>0.98914354644149582</v>
      </c>
    </row>
    <row r="5043" spans="4:19" x14ac:dyDescent="0.25">
      <c r="D5043" t="s">
        <v>127</v>
      </c>
      <c r="E5043">
        <v>2013</v>
      </c>
      <c r="F5043" t="s">
        <v>19</v>
      </c>
      <c r="S5043">
        <v>0.81934642457428797</v>
      </c>
    </row>
    <row r="5044" spans="4:19" x14ac:dyDescent="0.25">
      <c r="D5044" t="s">
        <v>127</v>
      </c>
      <c r="E5044">
        <v>2014</v>
      </c>
      <c r="F5044" t="s">
        <v>19</v>
      </c>
      <c r="S5044">
        <v>0.92882930480341652</v>
      </c>
    </row>
    <row r="5045" spans="4:19" x14ac:dyDescent="0.25">
      <c r="D5045" t="s">
        <v>127</v>
      </c>
      <c r="E5045">
        <v>2015</v>
      </c>
      <c r="F5045" t="s">
        <v>19</v>
      </c>
      <c r="S5045">
        <v>0.92955293565460129</v>
      </c>
    </row>
    <row r="5046" spans="4:19" x14ac:dyDescent="0.25">
      <c r="D5046" t="s">
        <v>127</v>
      </c>
      <c r="E5046">
        <v>2013</v>
      </c>
      <c r="F5046" t="s">
        <v>20</v>
      </c>
      <c r="G5046">
        <v>0.81116852984602406</v>
      </c>
      <c r="H5046">
        <v>0.86095813347545447</v>
      </c>
      <c r="I5046">
        <v>0.83894976224932805</v>
      </c>
      <c r="J5046">
        <v>0.67353244078269825</v>
      </c>
      <c r="K5046">
        <v>0.75570443088352346</v>
      </c>
      <c r="L5046">
        <v>0.82903963414634141</v>
      </c>
      <c r="M5046">
        <v>0.96104069379586388</v>
      </c>
      <c r="N5046">
        <v>0.98951413312491854</v>
      </c>
      <c r="O5046">
        <v>0.9924273645167937</v>
      </c>
      <c r="P5046">
        <v>0.9445998135570649</v>
      </c>
      <c r="Q5046">
        <v>0.88087893056232069</v>
      </c>
      <c r="R5046">
        <v>0.91033075601374569</v>
      </c>
    </row>
    <row r="5047" spans="4:19" x14ac:dyDescent="0.25">
      <c r="D5047" t="s">
        <v>127</v>
      </c>
      <c r="E5047">
        <v>2014</v>
      </c>
      <c r="F5047" t="s">
        <v>20</v>
      </c>
      <c r="G5047">
        <v>0.98957759606829643</v>
      </c>
      <c r="H5047">
        <v>0.88357769662615138</v>
      </c>
      <c r="I5047">
        <v>0.88123300090661827</v>
      </c>
      <c r="J5047">
        <v>0.87643305752168277</v>
      </c>
      <c r="K5047">
        <v>0.93406654756587759</v>
      </c>
      <c r="L5047">
        <v>0.92155300011385632</v>
      </c>
      <c r="M5047">
        <v>0.99134342478713344</v>
      </c>
      <c r="N5047">
        <v>0.98050810337275518</v>
      </c>
      <c r="O5047">
        <v>0.90267142359902541</v>
      </c>
      <c r="P5047">
        <v>0.97965440356744704</v>
      </c>
      <c r="Q5047">
        <v>0.98422681932091793</v>
      </c>
      <c r="R5047">
        <v>0.95356079688573392</v>
      </c>
    </row>
    <row r="5048" spans="4:19" x14ac:dyDescent="0.25">
      <c r="D5048" t="s">
        <v>127</v>
      </c>
      <c r="E5048">
        <v>2015</v>
      </c>
      <c r="F5048" t="s">
        <v>20</v>
      </c>
      <c r="G5048">
        <v>0.90540079202512636</v>
      </c>
      <c r="H5048">
        <v>0.9359323058325778</v>
      </c>
      <c r="I5048">
        <v>0.93059148128987756</v>
      </c>
      <c r="J5048">
        <v>0.91217461142344214</v>
      </c>
      <c r="K5048">
        <v>0.90172855313700384</v>
      </c>
      <c r="L5048">
        <v>0.9414327401257655</v>
      </c>
      <c r="M5048">
        <v>0.98111665910122559</v>
      </c>
    </row>
    <row r="5049" spans="4:19" x14ac:dyDescent="0.25">
      <c r="D5049" t="s">
        <v>127</v>
      </c>
      <c r="E5049">
        <v>2013</v>
      </c>
      <c r="F5049" t="s">
        <v>21</v>
      </c>
      <c r="S5049">
        <v>0.96594474630749216</v>
      </c>
    </row>
    <row r="5050" spans="4:19" x14ac:dyDescent="0.25">
      <c r="D5050" t="s">
        <v>127</v>
      </c>
      <c r="E5050">
        <v>2014</v>
      </c>
      <c r="F5050" t="s">
        <v>21</v>
      </c>
      <c r="S5050">
        <v>0.99521253445524449</v>
      </c>
    </row>
    <row r="5051" spans="4:19" x14ac:dyDescent="0.25">
      <c r="D5051" t="s">
        <v>127</v>
      </c>
      <c r="E5051">
        <v>2015</v>
      </c>
      <c r="F5051" t="s">
        <v>21</v>
      </c>
      <c r="S5051">
        <v>0.95126722601399816</v>
      </c>
    </row>
    <row r="5052" spans="4:19" x14ac:dyDescent="0.25">
      <c r="D5052" t="s">
        <v>127</v>
      </c>
      <c r="E5052">
        <v>2013</v>
      </c>
      <c r="F5052" t="s">
        <v>22</v>
      </c>
      <c r="G5052">
        <v>0.90968389362769697</v>
      </c>
      <c r="H5052">
        <v>0.98921251348435812</v>
      </c>
      <c r="I5052">
        <v>0.98920086393088558</v>
      </c>
      <c r="J5052">
        <v>0.91037506088650755</v>
      </c>
      <c r="K5052">
        <v>0.996</v>
      </c>
      <c r="L5052">
        <v>0.98229407236335642</v>
      </c>
      <c r="M5052">
        <v>0.99503968253968256</v>
      </c>
      <c r="N5052">
        <v>0.99508357915437562</v>
      </c>
      <c r="O5052">
        <v>0.99438652766639934</v>
      </c>
      <c r="P5052">
        <v>0.99253478113335591</v>
      </c>
      <c r="Q5052">
        <v>0.99802605606000794</v>
      </c>
      <c r="R5052">
        <v>0.98138202649480843</v>
      </c>
    </row>
    <row r="5053" spans="4:19" x14ac:dyDescent="0.25">
      <c r="D5053" t="s">
        <v>127</v>
      </c>
      <c r="E5053">
        <v>2014</v>
      </c>
      <c r="F5053" t="s">
        <v>22</v>
      </c>
      <c r="G5053">
        <v>0.98662041625371655</v>
      </c>
      <c r="H5053">
        <v>0.99722001588562348</v>
      </c>
      <c r="I5053">
        <v>0.99861735222951953</v>
      </c>
      <c r="J5053">
        <v>0.99406919275123562</v>
      </c>
      <c r="K5053">
        <v>0.99918166939443531</v>
      </c>
      <c r="L5053">
        <v>0.99611444719180497</v>
      </c>
      <c r="M5053">
        <v>0.99897330595482547</v>
      </c>
      <c r="N5053">
        <v>0.98968185726569213</v>
      </c>
      <c r="O5053">
        <v>0.99222614840989398</v>
      </c>
      <c r="P5053">
        <v>0.99721189591078063</v>
      </c>
      <c r="Q5053">
        <v>0.97553631915694394</v>
      </c>
      <c r="R5053">
        <v>0.97790055248618779</v>
      </c>
    </row>
    <row r="5054" spans="4:19" x14ac:dyDescent="0.25">
      <c r="D5054" t="s">
        <v>127</v>
      </c>
      <c r="E5054">
        <v>2015</v>
      </c>
      <c r="F5054" t="s">
        <v>22</v>
      </c>
      <c r="G5054">
        <v>0.97100024576062915</v>
      </c>
      <c r="H5054">
        <v>0.98206278026905824</v>
      </c>
      <c r="I5054">
        <v>0.9597457627118644</v>
      </c>
      <c r="J5054">
        <v>0.94094869312681506</v>
      </c>
      <c r="K5054">
        <v>0.90426275331935713</v>
      </c>
      <c r="L5054">
        <v>0.90620612187587757</v>
      </c>
      <c r="M5054">
        <v>0.9915861639139919</v>
      </c>
    </row>
    <row r="5055" spans="4:19" x14ac:dyDescent="0.25">
      <c r="D5055" t="s">
        <v>127</v>
      </c>
      <c r="E5055">
        <v>2013</v>
      </c>
      <c r="F5055" t="s">
        <v>23</v>
      </c>
      <c r="S5055">
        <v>37075</v>
      </c>
    </row>
    <row r="5056" spans="4:19" x14ac:dyDescent="0.25">
      <c r="D5056" t="s">
        <v>127</v>
      </c>
      <c r="E5056">
        <v>2014</v>
      </c>
      <c r="F5056" t="s">
        <v>23</v>
      </c>
      <c r="S5056">
        <v>33486</v>
      </c>
    </row>
    <row r="5057" spans="4:19" x14ac:dyDescent="0.25">
      <c r="D5057" t="s">
        <v>127</v>
      </c>
      <c r="E5057">
        <v>2015</v>
      </c>
      <c r="F5057" t="s">
        <v>23</v>
      </c>
      <c r="S5057">
        <v>38185</v>
      </c>
    </row>
    <row r="5058" spans="4:19" x14ac:dyDescent="0.25">
      <c r="D5058" t="s">
        <v>127</v>
      </c>
      <c r="E5058">
        <v>2013</v>
      </c>
      <c r="F5058" t="s">
        <v>24</v>
      </c>
      <c r="G5058">
        <v>6619</v>
      </c>
      <c r="H5058">
        <v>5810</v>
      </c>
      <c r="I5058">
        <v>5734</v>
      </c>
      <c r="J5058">
        <v>4780</v>
      </c>
      <c r="K5058">
        <v>4738</v>
      </c>
      <c r="L5058">
        <v>4534</v>
      </c>
      <c r="M5058">
        <v>4860</v>
      </c>
      <c r="N5058">
        <v>4628</v>
      </c>
      <c r="O5058">
        <v>5184</v>
      </c>
      <c r="P5058">
        <v>4785</v>
      </c>
      <c r="Q5058">
        <v>4460</v>
      </c>
      <c r="R5058">
        <v>4598</v>
      </c>
    </row>
    <row r="5059" spans="4:19" x14ac:dyDescent="0.25">
      <c r="D5059" t="s">
        <v>127</v>
      </c>
      <c r="E5059">
        <v>2014</v>
      </c>
      <c r="F5059" t="s">
        <v>24</v>
      </c>
      <c r="G5059">
        <v>5641</v>
      </c>
      <c r="H5059">
        <v>5379</v>
      </c>
      <c r="I5059">
        <v>5069</v>
      </c>
      <c r="J5059">
        <v>3992</v>
      </c>
      <c r="K5059">
        <v>4092</v>
      </c>
      <c r="L5059">
        <v>4346</v>
      </c>
      <c r="M5059">
        <v>4967</v>
      </c>
      <c r="N5059">
        <v>5062</v>
      </c>
      <c r="O5059">
        <v>5887</v>
      </c>
      <c r="P5059">
        <v>5736</v>
      </c>
      <c r="Q5059">
        <v>4715</v>
      </c>
      <c r="R5059">
        <v>4937</v>
      </c>
    </row>
    <row r="5060" spans="4:19" x14ac:dyDescent="0.25">
      <c r="D5060" t="s">
        <v>127</v>
      </c>
      <c r="E5060">
        <v>2015</v>
      </c>
      <c r="F5060" t="s">
        <v>24</v>
      </c>
      <c r="G5060">
        <v>6261</v>
      </c>
      <c r="H5060">
        <v>5544</v>
      </c>
      <c r="I5060">
        <v>5180</v>
      </c>
      <c r="J5060">
        <v>4942</v>
      </c>
      <c r="K5060">
        <v>5169</v>
      </c>
      <c r="L5060">
        <v>5619</v>
      </c>
      <c r="M5060">
        <v>5470</v>
      </c>
    </row>
    <row r="5061" spans="4:19" x14ac:dyDescent="0.25">
      <c r="D5061" t="s">
        <v>127</v>
      </c>
      <c r="E5061">
        <v>2013</v>
      </c>
      <c r="F5061" t="s">
        <v>25</v>
      </c>
      <c r="S5061">
        <v>123779</v>
      </c>
    </row>
    <row r="5062" spans="4:19" x14ac:dyDescent="0.25">
      <c r="D5062" t="s">
        <v>127</v>
      </c>
      <c r="E5062">
        <v>2014</v>
      </c>
      <c r="F5062" t="s">
        <v>25</v>
      </c>
      <c r="S5062">
        <v>124584</v>
      </c>
    </row>
    <row r="5063" spans="4:19" x14ac:dyDescent="0.25">
      <c r="D5063" t="s">
        <v>127</v>
      </c>
      <c r="E5063">
        <v>2015</v>
      </c>
      <c r="F5063" t="s">
        <v>25</v>
      </c>
      <c r="S5063">
        <v>139560</v>
      </c>
    </row>
    <row r="5064" spans="4:19" x14ac:dyDescent="0.25">
      <c r="D5064" t="s">
        <v>127</v>
      </c>
      <c r="E5064">
        <v>2013</v>
      </c>
      <c r="F5064" t="s">
        <v>26</v>
      </c>
      <c r="G5064">
        <v>23288</v>
      </c>
      <c r="H5064">
        <v>17263</v>
      </c>
      <c r="I5064">
        <v>16851</v>
      </c>
      <c r="J5064">
        <v>15638</v>
      </c>
      <c r="K5064">
        <v>15884</v>
      </c>
      <c r="L5064">
        <v>16349</v>
      </c>
      <c r="M5064">
        <v>18506</v>
      </c>
      <c r="N5064">
        <v>17319</v>
      </c>
      <c r="O5064">
        <v>20669</v>
      </c>
      <c r="P5064">
        <v>21306</v>
      </c>
      <c r="Q5064">
        <v>18380</v>
      </c>
      <c r="R5064">
        <v>20184</v>
      </c>
    </row>
    <row r="5065" spans="4:19" x14ac:dyDescent="0.25">
      <c r="D5065" t="s">
        <v>127</v>
      </c>
      <c r="E5065">
        <v>2014</v>
      </c>
      <c r="F5065" t="s">
        <v>26</v>
      </c>
      <c r="G5065">
        <v>22743</v>
      </c>
      <c r="H5065">
        <v>17228</v>
      </c>
      <c r="I5065">
        <v>16977</v>
      </c>
      <c r="J5065">
        <v>17151</v>
      </c>
      <c r="K5065">
        <v>15804</v>
      </c>
      <c r="L5065">
        <v>16204</v>
      </c>
      <c r="M5065">
        <v>18477</v>
      </c>
      <c r="N5065">
        <v>17845</v>
      </c>
      <c r="O5065">
        <v>19824</v>
      </c>
      <c r="P5065">
        <v>21562</v>
      </c>
      <c r="Q5065">
        <v>20690</v>
      </c>
      <c r="R5065">
        <v>22450</v>
      </c>
    </row>
    <row r="5066" spans="4:19" x14ac:dyDescent="0.25">
      <c r="D5066" t="s">
        <v>127</v>
      </c>
      <c r="E5066">
        <v>2015</v>
      </c>
      <c r="F5066" t="s">
        <v>26</v>
      </c>
      <c r="G5066">
        <v>25541</v>
      </c>
      <c r="H5066">
        <v>19781</v>
      </c>
      <c r="I5066">
        <v>19932</v>
      </c>
      <c r="J5066">
        <v>18340</v>
      </c>
      <c r="K5066">
        <v>15774</v>
      </c>
      <c r="L5066">
        <v>20728</v>
      </c>
      <c r="M5066">
        <v>19464</v>
      </c>
    </row>
    <row r="5067" spans="4:19" x14ac:dyDescent="0.25">
      <c r="D5067" t="s">
        <v>127</v>
      </c>
      <c r="E5067">
        <v>2013</v>
      </c>
      <c r="F5067" t="s">
        <v>27</v>
      </c>
      <c r="S5067">
        <v>198404</v>
      </c>
    </row>
    <row r="5068" spans="4:19" x14ac:dyDescent="0.25">
      <c r="D5068" t="s">
        <v>127</v>
      </c>
      <c r="E5068">
        <v>2014</v>
      </c>
      <c r="F5068" t="s">
        <v>27</v>
      </c>
      <c r="S5068">
        <v>198993</v>
      </c>
    </row>
    <row r="5069" spans="4:19" x14ac:dyDescent="0.25">
      <c r="D5069" t="s">
        <v>127</v>
      </c>
      <c r="E5069">
        <v>2015</v>
      </c>
      <c r="F5069" t="s">
        <v>27</v>
      </c>
      <c r="S5069">
        <v>219329</v>
      </c>
    </row>
    <row r="5070" spans="4:19" x14ac:dyDescent="0.25">
      <c r="D5070" t="s">
        <v>127</v>
      </c>
      <c r="E5070">
        <v>2013</v>
      </c>
      <c r="F5070" t="s">
        <v>28</v>
      </c>
      <c r="G5070">
        <v>37883</v>
      </c>
      <c r="H5070">
        <v>29455</v>
      </c>
      <c r="I5070">
        <v>26412</v>
      </c>
      <c r="J5070">
        <v>24764</v>
      </c>
      <c r="K5070">
        <v>24671</v>
      </c>
      <c r="L5070">
        <v>24938</v>
      </c>
      <c r="M5070">
        <v>30281</v>
      </c>
      <c r="N5070">
        <v>28131</v>
      </c>
      <c r="O5070">
        <v>34674</v>
      </c>
      <c r="P5070">
        <v>34776</v>
      </c>
      <c r="Q5070">
        <v>30174</v>
      </c>
      <c r="R5070">
        <v>31451</v>
      </c>
    </row>
    <row r="5071" spans="4:19" x14ac:dyDescent="0.25">
      <c r="D5071" t="s">
        <v>127</v>
      </c>
      <c r="E5071">
        <v>2014</v>
      </c>
      <c r="F5071" t="s">
        <v>28</v>
      </c>
      <c r="G5071">
        <v>35390</v>
      </c>
      <c r="H5071">
        <v>27592</v>
      </c>
      <c r="I5071">
        <v>28112</v>
      </c>
      <c r="J5071">
        <v>27366</v>
      </c>
      <c r="K5071">
        <v>25598</v>
      </c>
      <c r="L5071">
        <v>25491</v>
      </c>
      <c r="M5071">
        <v>29444</v>
      </c>
      <c r="N5071">
        <v>27143</v>
      </c>
      <c r="O5071">
        <v>32806</v>
      </c>
      <c r="P5071">
        <v>35016</v>
      </c>
      <c r="Q5071">
        <v>32052</v>
      </c>
      <c r="R5071">
        <v>35722</v>
      </c>
    </row>
    <row r="5072" spans="4:19" x14ac:dyDescent="0.25">
      <c r="D5072" t="s">
        <v>127</v>
      </c>
      <c r="E5072">
        <v>2015</v>
      </c>
      <c r="F5072" t="s">
        <v>28</v>
      </c>
      <c r="G5072">
        <v>38354</v>
      </c>
      <c r="H5072">
        <v>31921</v>
      </c>
      <c r="I5072">
        <v>31929</v>
      </c>
      <c r="J5072">
        <v>28835</v>
      </c>
      <c r="K5072">
        <v>25235</v>
      </c>
      <c r="L5072">
        <v>32399</v>
      </c>
      <c r="M5072">
        <v>30656</v>
      </c>
    </row>
    <row r="5073" spans="4:19" x14ac:dyDescent="0.25">
      <c r="D5073" t="s">
        <v>127</v>
      </c>
      <c r="E5073">
        <v>2013</v>
      </c>
      <c r="F5073" t="s">
        <v>29</v>
      </c>
      <c r="S5073">
        <v>28651</v>
      </c>
    </row>
    <row r="5074" spans="4:19" x14ac:dyDescent="0.25">
      <c r="D5074" t="s">
        <v>127</v>
      </c>
      <c r="E5074">
        <v>2014</v>
      </c>
      <c r="F5074" t="s">
        <v>29</v>
      </c>
      <c r="S5074">
        <v>28351</v>
      </c>
    </row>
    <row r="5075" spans="4:19" x14ac:dyDescent="0.25">
      <c r="D5075" t="s">
        <v>127</v>
      </c>
      <c r="E5075">
        <v>2015</v>
      </c>
      <c r="F5075" t="s">
        <v>29</v>
      </c>
      <c r="S5075">
        <v>31524</v>
      </c>
    </row>
    <row r="5076" spans="4:19" x14ac:dyDescent="0.25">
      <c r="D5076" t="s">
        <v>127</v>
      </c>
      <c r="E5076">
        <v>2013</v>
      </c>
      <c r="F5076" t="s">
        <v>30</v>
      </c>
      <c r="G5076">
        <v>5372</v>
      </c>
      <c r="H5076">
        <v>4783</v>
      </c>
      <c r="I5076">
        <v>4792</v>
      </c>
      <c r="J5076">
        <v>4177</v>
      </c>
      <c r="K5076">
        <v>4368</v>
      </c>
      <c r="L5076">
        <v>2585</v>
      </c>
      <c r="M5076">
        <v>2574</v>
      </c>
      <c r="N5076">
        <v>2409</v>
      </c>
      <c r="O5076">
        <v>3048</v>
      </c>
      <c r="P5076">
        <v>3333</v>
      </c>
      <c r="Q5076">
        <v>2970</v>
      </c>
      <c r="R5076">
        <v>3234</v>
      </c>
    </row>
    <row r="5077" spans="4:19" x14ac:dyDescent="0.25">
      <c r="D5077" t="s">
        <v>127</v>
      </c>
      <c r="E5077">
        <v>2014</v>
      </c>
      <c r="F5077" t="s">
        <v>30</v>
      </c>
      <c r="G5077">
        <v>5789</v>
      </c>
      <c r="H5077">
        <v>5393</v>
      </c>
      <c r="I5077">
        <v>4195</v>
      </c>
      <c r="J5077">
        <v>3043</v>
      </c>
      <c r="K5077">
        <v>2876</v>
      </c>
      <c r="L5077">
        <v>2853</v>
      </c>
      <c r="M5077">
        <v>4202</v>
      </c>
      <c r="N5077">
        <v>3948</v>
      </c>
      <c r="O5077">
        <v>4735</v>
      </c>
      <c r="P5077">
        <v>5114</v>
      </c>
      <c r="Q5077">
        <v>4074</v>
      </c>
      <c r="R5077">
        <v>4367</v>
      </c>
    </row>
    <row r="5078" spans="4:19" x14ac:dyDescent="0.25">
      <c r="D5078" t="s">
        <v>127</v>
      </c>
      <c r="E5078">
        <v>2015</v>
      </c>
      <c r="F5078" t="s">
        <v>30</v>
      </c>
      <c r="G5078">
        <v>4665</v>
      </c>
      <c r="H5078">
        <v>4888</v>
      </c>
      <c r="I5078">
        <v>4908</v>
      </c>
      <c r="J5078">
        <v>4393</v>
      </c>
      <c r="K5078">
        <v>4008</v>
      </c>
      <c r="L5078">
        <v>4517</v>
      </c>
      <c r="M5078">
        <v>4145</v>
      </c>
    </row>
    <row r="5079" spans="4:19" x14ac:dyDescent="0.25">
      <c r="D5079" t="s">
        <v>127</v>
      </c>
      <c r="E5079">
        <v>2013</v>
      </c>
      <c r="F5079" t="s">
        <v>31</v>
      </c>
      <c r="S5079">
        <v>0.8552933243425489</v>
      </c>
    </row>
    <row r="5080" spans="4:19" x14ac:dyDescent="0.25">
      <c r="D5080" t="s">
        <v>127</v>
      </c>
      <c r="E5080">
        <v>2014</v>
      </c>
      <c r="F5080" t="s">
        <v>31</v>
      </c>
      <c r="S5080">
        <v>0.91121662784447233</v>
      </c>
    </row>
    <row r="5081" spans="4:19" x14ac:dyDescent="0.25">
      <c r="D5081" t="s">
        <v>127</v>
      </c>
      <c r="E5081">
        <v>2015</v>
      </c>
      <c r="F5081" t="s">
        <v>31</v>
      </c>
      <c r="S5081">
        <v>0.86979180306403037</v>
      </c>
    </row>
    <row r="5082" spans="4:19" x14ac:dyDescent="0.25">
      <c r="D5082" t="s">
        <v>127</v>
      </c>
      <c r="E5082">
        <v>2013</v>
      </c>
      <c r="F5082" t="s">
        <v>32</v>
      </c>
      <c r="G5082">
        <v>0.829883668227829</v>
      </c>
      <c r="H5082">
        <v>0.86299483648881237</v>
      </c>
      <c r="I5082">
        <v>0.82193930938262993</v>
      </c>
      <c r="J5082">
        <v>0.87740585774058577</v>
      </c>
      <c r="K5082">
        <v>0.86829886027859859</v>
      </c>
      <c r="L5082">
        <v>0.83965593295103658</v>
      </c>
      <c r="M5082">
        <v>0.90020576131687247</v>
      </c>
      <c r="N5082">
        <v>0.95267934312878133</v>
      </c>
      <c r="O5082">
        <v>0.90567129629629628</v>
      </c>
      <c r="P5082">
        <v>0.98307210031347958</v>
      </c>
      <c r="Q5082">
        <v>0.97130044843049324</v>
      </c>
      <c r="R5082">
        <v>0.98303610265332753</v>
      </c>
    </row>
    <row r="5083" spans="4:19" x14ac:dyDescent="0.25">
      <c r="D5083" t="s">
        <v>127</v>
      </c>
      <c r="E5083">
        <v>2014</v>
      </c>
      <c r="F5083" t="s">
        <v>32</v>
      </c>
      <c r="G5083">
        <v>0.95975890799503638</v>
      </c>
      <c r="H5083">
        <v>0.96988287785833793</v>
      </c>
      <c r="I5083">
        <v>0.91714342079305577</v>
      </c>
      <c r="J5083">
        <v>0.91457915831663328</v>
      </c>
      <c r="K5083">
        <v>0.82331378299120239</v>
      </c>
      <c r="L5083">
        <v>0.8557294063506673</v>
      </c>
      <c r="M5083">
        <v>0.90477149184618477</v>
      </c>
      <c r="N5083">
        <v>0.92275780323982615</v>
      </c>
      <c r="O5083">
        <v>0.92084253439782571</v>
      </c>
      <c r="P5083">
        <v>0.91352859135285913</v>
      </c>
      <c r="Q5083">
        <v>0.903287380699894</v>
      </c>
      <c r="R5083">
        <v>0.93052461008709741</v>
      </c>
    </row>
    <row r="5084" spans="4:19" x14ac:dyDescent="0.25">
      <c r="D5084" t="s">
        <v>127</v>
      </c>
      <c r="E5084">
        <v>2015</v>
      </c>
      <c r="F5084" t="s">
        <v>32</v>
      </c>
      <c r="G5084">
        <v>0.88212745567800666</v>
      </c>
      <c r="H5084">
        <v>0.86706349206349209</v>
      </c>
      <c r="I5084">
        <v>0.86621621621621625</v>
      </c>
      <c r="J5084">
        <v>0.89862403885066777</v>
      </c>
      <c r="K5084">
        <v>0.82491777906751784</v>
      </c>
      <c r="L5084">
        <v>0.87809218722192561</v>
      </c>
      <c r="M5084">
        <v>0.86965265082266907</v>
      </c>
    </row>
    <row r="5085" spans="4:19" x14ac:dyDescent="0.25">
      <c r="D5085" t="s">
        <v>127</v>
      </c>
      <c r="E5085">
        <v>2013</v>
      </c>
      <c r="F5085" t="s">
        <v>33</v>
      </c>
      <c r="S5085">
        <v>0.875</v>
      </c>
    </row>
    <row r="5086" spans="4:19" x14ac:dyDescent="0.25">
      <c r="D5086" t="s">
        <v>127</v>
      </c>
      <c r="E5086">
        <v>2014</v>
      </c>
      <c r="F5086" t="s">
        <v>33</v>
      </c>
      <c r="S5086">
        <v>0.92670807453416149</v>
      </c>
    </row>
    <row r="5087" spans="4:19" x14ac:dyDescent="0.25">
      <c r="D5087" t="s">
        <v>127</v>
      </c>
      <c r="E5087">
        <v>2015</v>
      </c>
      <c r="F5087" t="s">
        <v>33</v>
      </c>
      <c r="S5087">
        <v>0.88858121744027785</v>
      </c>
    </row>
    <row r="5088" spans="4:19" x14ac:dyDescent="0.25">
      <c r="D5088" t="s">
        <v>127</v>
      </c>
      <c r="E5088">
        <v>2013</v>
      </c>
      <c r="F5088" t="s">
        <v>34</v>
      </c>
      <c r="G5088">
        <v>0.8296602387511478</v>
      </c>
      <c r="H5088">
        <v>0.89144558743909041</v>
      </c>
      <c r="I5088">
        <v>0.84345221889463651</v>
      </c>
      <c r="J5088">
        <v>0.92627476453393964</v>
      </c>
      <c r="K5088">
        <v>0.91641987495886801</v>
      </c>
      <c r="L5088">
        <v>0.87168290225058787</v>
      </c>
      <c r="M5088">
        <v>0.86802363755745238</v>
      </c>
      <c r="N5088">
        <v>0.92030567685589515</v>
      </c>
      <c r="O5088">
        <v>0.85697572389587595</v>
      </c>
      <c r="P5088">
        <v>0.97352075841778363</v>
      </c>
      <c r="Q5088">
        <v>0.95443218227127091</v>
      </c>
      <c r="R5088">
        <v>0.97351443123938874</v>
      </c>
    </row>
    <row r="5089" spans="4:19" x14ac:dyDescent="0.25">
      <c r="D5089" t="s">
        <v>127</v>
      </c>
      <c r="E5089">
        <v>2014</v>
      </c>
      <c r="F5089" t="s">
        <v>34</v>
      </c>
      <c r="G5089">
        <v>0.93873144399460184</v>
      </c>
      <c r="H5089">
        <v>0.9534750143595635</v>
      </c>
      <c r="I5089">
        <v>0.87249544626593811</v>
      </c>
      <c r="J5089">
        <v>0.87285607755406414</v>
      </c>
      <c r="K5089">
        <v>0.89634748272458042</v>
      </c>
      <c r="L5089">
        <v>0.98494731560461612</v>
      </c>
      <c r="M5089">
        <v>0.98783910196445279</v>
      </c>
      <c r="N5089">
        <v>0.99062081286288517</v>
      </c>
      <c r="O5089">
        <v>0.9606950765411667</v>
      </c>
      <c r="P5089">
        <v>0.93830334190231357</v>
      </c>
      <c r="Q5089">
        <v>0.90178183398522382</v>
      </c>
      <c r="R5089">
        <v>0.95424836601307195</v>
      </c>
    </row>
    <row r="5090" spans="4:19" x14ac:dyDescent="0.25">
      <c r="D5090" t="s">
        <v>127</v>
      </c>
      <c r="E5090">
        <v>2015</v>
      </c>
      <c r="F5090" t="s">
        <v>34</v>
      </c>
      <c r="G5090">
        <v>0.86706586826347309</v>
      </c>
      <c r="H5090">
        <v>0.85585042219541618</v>
      </c>
      <c r="I5090">
        <v>0.86857514638906963</v>
      </c>
      <c r="J5090">
        <v>0.92070926731348279</v>
      </c>
      <c r="K5090">
        <v>0.80912574016022287</v>
      </c>
      <c r="L5090">
        <v>0.96120540353307937</v>
      </c>
      <c r="M5090">
        <v>0.94664310954063602</v>
      </c>
    </row>
    <row r="5091" spans="4:19" x14ac:dyDescent="0.25">
      <c r="D5091" t="s">
        <v>128</v>
      </c>
      <c r="E5091">
        <v>2013</v>
      </c>
      <c r="F5091" t="s">
        <v>17</v>
      </c>
      <c r="S5091">
        <v>0.92390162535890952</v>
      </c>
    </row>
    <row r="5092" spans="4:19" x14ac:dyDescent="0.25">
      <c r="D5092" t="s">
        <v>128</v>
      </c>
      <c r="E5092">
        <v>2014</v>
      </c>
      <c r="F5092" t="s">
        <v>17</v>
      </c>
      <c r="S5092">
        <v>0.92361504871169886</v>
      </c>
    </row>
    <row r="5093" spans="4:19" x14ac:dyDescent="0.25">
      <c r="D5093" t="s">
        <v>128</v>
      </c>
      <c r="E5093">
        <v>2015</v>
      </c>
      <c r="F5093" t="s">
        <v>17</v>
      </c>
      <c r="S5093">
        <v>0.96851311082399161</v>
      </c>
    </row>
    <row r="5094" spans="4:19" x14ac:dyDescent="0.25">
      <c r="D5094" t="s">
        <v>128</v>
      </c>
      <c r="E5094">
        <v>2013</v>
      </c>
      <c r="F5094" t="s">
        <v>18</v>
      </c>
      <c r="G5094">
        <v>0.79321802457897128</v>
      </c>
      <c r="H5094">
        <v>0.87109213035906796</v>
      </c>
      <c r="I5094">
        <v>0.91520728672707641</v>
      </c>
      <c r="J5094">
        <v>0.96691837468536501</v>
      </c>
      <c r="K5094">
        <v>0.96810607418025441</v>
      </c>
      <c r="L5094">
        <v>0.97001584068793845</v>
      </c>
      <c r="M5094">
        <v>0.98420560747663555</v>
      </c>
      <c r="N5094">
        <v>0.97609477469854034</v>
      </c>
      <c r="O5094">
        <v>0.97881172706045139</v>
      </c>
      <c r="P5094">
        <v>0.9734827637964677</v>
      </c>
      <c r="Q5094">
        <v>0.95671363096248518</v>
      </c>
      <c r="R5094">
        <v>0.97082257266882799</v>
      </c>
    </row>
    <row r="5095" spans="4:19" x14ac:dyDescent="0.25">
      <c r="D5095" t="s">
        <v>128</v>
      </c>
      <c r="E5095">
        <v>2014</v>
      </c>
      <c r="F5095" t="s">
        <v>18</v>
      </c>
      <c r="G5095">
        <v>0.95569676899668843</v>
      </c>
      <c r="H5095">
        <v>0.75433807759797233</v>
      </c>
      <c r="I5095">
        <v>0.92591079888907046</v>
      </c>
      <c r="J5095">
        <v>0.96152021819044231</v>
      </c>
      <c r="K5095">
        <v>0.9224443727829732</v>
      </c>
      <c r="L5095">
        <v>0.9429806598407281</v>
      </c>
      <c r="M5095">
        <v>0.97248218159281063</v>
      </c>
      <c r="N5095">
        <v>0.97797563261480791</v>
      </c>
      <c r="O5095">
        <v>0.90899462277985987</v>
      </c>
      <c r="P5095">
        <v>0.94500323510381745</v>
      </c>
      <c r="Q5095">
        <v>0.91300648729128997</v>
      </c>
      <c r="R5095">
        <v>0.94498112097288289</v>
      </c>
    </row>
    <row r="5096" spans="4:19" x14ac:dyDescent="0.25">
      <c r="D5096" t="s">
        <v>128</v>
      </c>
      <c r="E5096">
        <v>2015</v>
      </c>
      <c r="F5096" t="s">
        <v>18</v>
      </c>
      <c r="G5096">
        <v>0.95499595899442768</v>
      </c>
      <c r="H5096">
        <v>0.9729879946642952</v>
      </c>
      <c r="I5096">
        <v>0.96001418216199186</v>
      </c>
      <c r="J5096">
        <v>0.98344221671547649</v>
      </c>
      <c r="K5096">
        <v>0.98599325222369905</v>
      </c>
      <c r="L5096">
        <v>0.96895312689248658</v>
      </c>
      <c r="M5096">
        <v>0.96892424860601112</v>
      </c>
    </row>
    <row r="5097" spans="4:19" x14ac:dyDescent="0.25">
      <c r="D5097" t="s">
        <v>128</v>
      </c>
      <c r="E5097">
        <v>2013</v>
      </c>
      <c r="F5097" t="s">
        <v>19</v>
      </c>
      <c r="S5097">
        <v>0.51887255076151151</v>
      </c>
    </row>
    <row r="5098" spans="4:19" x14ac:dyDescent="0.25">
      <c r="D5098" t="s">
        <v>128</v>
      </c>
      <c r="E5098">
        <v>2014</v>
      </c>
      <c r="F5098" t="s">
        <v>19</v>
      </c>
      <c r="S5098">
        <v>0.62838461190439188</v>
      </c>
    </row>
    <row r="5099" spans="4:19" x14ac:dyDescent="0.25">
      <c r="D5099" t="s">
        <v>128</v>
      </c>
      <c r="E5099">
        <v>2015</v>
      </c>
      <c r="F5099" t="s">
        <v>19</v>
      </c>
      <c r="S5099">
        <v>0.73650558194570681</v>
      </c>
    </row>
    <row r="5100" spans="4:19" x14ac:dyDescent="0.25">
      <c r="D5100" t="s">
        <v>128</v>
      </c>
      <c r="E5100">
        <v>2013</v>
      </c>
      <c r="F5100" t="s">
        <v>20</v>
      </c>
      <c r="G5100">
        <v>0.61188956562967289</v>
      </c>
      <c r="H5100">
        <v>0.58504017007180242</v>
      </c>
      <c r="I5100">
        <v>0.46779138401902914</v>
      </c>
      <c r="J5100">
        <v>0.4955599471853776</v>
      </c>
      <c r="K5100">
        <v>0.43822165480727709</v>
      </c>
      <c r="L5100">
        <v>0.47418048973143762</v>
      </c>
      <c r="M5100">
        <v>0.53411379562649453</v>
      </c>
      <c r="N5100">
        <v>0.58336506448746861</v>
      </c>
      <c r="O5100">
        <v>0.59588929955827996</v>
      </c>
      <c r="P5100">
        <v>0.58614505400377426</v>
      </c>
      <c r="Q5100">
        <v>0.50581178265880944</v>
      </c>
      <c r="R5100">
        <v>0.58631023474994026</v>
      </c>
    </row>
    <row r="5101" spans="4:19" x14ac:dyDescent="0.25">
      <c r="D5101" t="s">
        <v>128</v>
      </c>
      <c r="E5101">
        <v>2014</v>
      </c>
      <c r="F5101" t="s">
        <v>20</v>
      </c>
      <c r="G5101">
        <v>0.66641403640558561</v>
      </c>
      <c r="H5101">
        <v>0.60316296529829683</v>
      </c>
      <c r="I5101">
        <v>0.54371217215870882</v>
      </c>
      <c r="J5101">
        <v>0.66070014036160485</v>
      </c>
      <c r="K5101">
        <v>0.57130388264774612</v>
      </c>
      <c r="L5101">
        <v>0.64945589256772396</v>
      </c>
      <c r="M5101">
        <v>0.6940481161468538</v>
      </c>
      <c r="N5101">
        <v>0.70985425580020178</v>
      </c>
      <c r="O5101">
        <v>0.71333430588414382</v>
      </c>
      <c r="P5101">
        <v>0.71565828635166395</v>
      </c>
      <c r="Q5101">
        <v>0.68721741557354177</v>
      </c>
      <c r="R5101">
        <v>0.74386983801112128</v>
      </c>
    </row>
    <row r="5102" spans="4:19" x14ac:dyDescent="0.25">
      <c r="D5102" t="s">
        <v>128</v>
      </c>
      <c r="E5102">
        <v>2015</v>
      </c>
      <c r="F5102" t="s">
        <v>20</v>
      </c>
      <c r="G5102">
        <v>0.8052873071070249</v>
      </c>
      <c r="H5102">
        <v>0.81708095821152593</v>
      </c>
      <c r="I5102">
        <v>0.76417594400628919</v>
      </c>
      <c r="J5102">
        <v>0.72308056591487602</v>
      </c>
      <c r="K5102">
        <v>0.65519834944555999</v>
      </c>
      <c r="L5102">
        <v>0.65355129532594936</v>
      </c>
      <c r="M5102">
        <v>0.73470495752790943</v>
      </c>
    </row>
    <row r="5103" spans="4:19" x14ac:dyDescent="0.25">
      <c r="D5103" t="s">
        <v>128</v>
      </c>
      <c r="E5103">
        <v>2013</v>
      </c>
      <c r="F5103" t="s">
        <v>21</v>
      </c>
      <c r="S5103">
        <v>0.90907313458946049</v>
      </c>
    </row>
    <row r="5104" spans="4:19" x14ac:dyDescent="0.25">
      <c r="D5104" t="s">
        <v>128</v>
      </c>
      <c r="E5104">
        <v>2014</v>
      </c>
      <c r="F5104" t="s">
        <v>21</v>
      </c>
      <c r="S5104">
        <v>0.92175388594634222</v>
      </c>
    </row>
    <row r="5105" spans="4:19" x14ac:dyDescent="0.25">
      <c r="D5105" t="s">
        <v>128</v>
      </c>
      <c r="E5105">
        <v>2015</v>
      </c>
      <c r="F5105" t="s">
        <v>21</v>
      </c>
      <c r="S5105">
        <v>0.88853323420893215</v>
      </c>
    </row>
    <row r="5106" spans="4:19" x14ac:dyDescent="0.25">
      <c r="D5106" t="s">
        <v>128</v>
      </c>
      <c r="E5106">
        <v>2013</v>
      </c>
      <c r="F5106" t="s">
        <v>22</v>
      </c>
      <c r="G5106">
        <v>0.73970127680077091</v>
      </c>
      <c r="H5106">
        <v>0.91138101664417459</v>
      </c>
      <c r="I5106">
        <v>0.96069670579326016</v>
      </c>
      <c r="J5106">
        <v>0.9530640770985066</v>
      </c>
      <c r="K5106">
        <v>0.94407061085379707</v>
      </c>
      <c r="L5106">
        <v>0.95747294081522993</v>
      </c>
      <c r="M5106">
        <v>0.9385607816120749</v>
      </c>
      <c r="N5106">
        <v>0.94626920599871189</v>
      </c>
      <c r="O5106">
        <v>0.88530589697555584</v>
      </c>
      <c r="P5106">
        <v>0.94785884218873906</v>
      </c>
      <c r="Q5106">
        <v>0.93859451334084931</v>
      </c>
      <c r="R5106">
        <v>0.88403568132882193</v>
      </c>
    </row>
    <row r="5107" spans="4:19" x14ac:dyDescent="0.25">
      <c r="D5107" t="s">
        <v>128</v>
      </c>
      <c r="E5107">
        <v>2014</v>
      </c>
      <c r="F5107" t="s">
        <v>22</v>
      </c>
      <c r="G5107">
        <v>0.94310396187071788</v>
      </c>
      <c r="H5107">
        <v>0.91544849358314462</v>
      </c>
      <c r="I5107">
        <v>0.83938505712747502</v>
      </c>
      <c r="J5107">
        <v>0.90539381401685248</v>
      </c>
      <c r="K5107">
        <v>0.9509928948806704</v>
      </c>
      <c r="L5107">
        <v>0.95350761085373925</v>
      </c>
      <c r="M5107">
        <v>0.94171779141104295</v>
      </c>
      <c r="N5107">
        <v>0.94476089548284536</v>
      </c>
      <c r="O5107">
        <v>0.92844157990414811</v>
      </c>
      <c r="P5107">
        <v>0.87581176940753325</v>
      </c>
      <c r="Q5107">
        <v>0.88094501824478944</v>
      </c>
      <c r="R5107">
        <v>0.91797711718301034</v>
      </c>
    </row>
    <row r="5108" spans="4:19" x14ac:dyDescent="0.25">
      <c r="D5108" t="s">
        <v>128</v>
      </c>
      <c r="E5108">
        <v>2015</v>
      </c>
      <c r="F5108" t="s">
        <v>22</v>
      </c>
      <c r="G5108">
        <v>0.89599236641221369</v>
      </c>
      <c r="H5108">
        <v>0.93646379853095485</v>
      </c>
      <c r="I5108">
        <v>0.90306074102151046</v>
      </c>
      <c r="J5108">
        <v>0.88932711269299214</v>
      </c>
      <c r="K5108">
        <v>0.83358445472021614</v>
      </c>
      <c r="L5108">
        <v>0.8794250256684969</v>
      </c>
      <c r="M5108">
        <v>0.88103615317933814</v>
      </c>
    </row>
    <row r="5109" spans="4:19" x14ac:dyDescent="0.25">
      <c r="D5109" t="s">
        <v>128</v>
      </c>
      <c r="E5109">
        <v>2013</v>
      </c>
      <c r="F5109" t="s">
        <v>23</v>
      </c>
      <c r="S5109">
        <v>432419</v>
      </c>
    </row>
    <row r="5110" spans="4:19" x14ac:dyDescent="0.25">
      <c r="D5110" t="s">
        <v>128</v>
      </c>
      <c r="E5110">
        <v>2014</v>
      </c>
      <c r="F5110" t="s">
        <v>23</v>
      </c>
      <c r="S5110">
        <v>402012</v>
      </c>
    </row>
    <row r="5111" spans="4:19" x14ac:dyDescent="0.25">
      <c r="D5111" t="s">
        <v>128</v>
      </c>
      <c r="E5111">
        <v>2015</v>
      </c>
      <c r="F5111" t="s">
        <v>23</v>
      </c>
      <c r="S5111">
        <v>348335</v>
      </c>
    </row>
    <row r="5112" spans="4:19" x14ac:dyDescent="0.25">
      <c r="D5112" t="s">
        <v>128</v>
      </c>
      <c r="E5112">
        <v>2013</v>
      </c>
      <c r="F5112" t="s">
        <v>24</v>
      </c>
      <c r="G5112">
        <v>76956</v>
      </c>
      <c r="H5112">
        <v>78904</v>
      </c>
      <c r="I5112">
        <v>59184</v>
      </c>
      <c r="J5112">
        <v>56156</v>
      </c>
      <c r="K5112">
        <v>64998</v>
      </c>
      <c r="L5112">
        <v>47726</v>
      </c>
      <c r="M5112">
        <v>48495</v>
      </c>
      <c r="N5112">
        <v>48380</v>
      </c>
      <c r="O5112">
        <v>59145</v>
      </c>
      <c r="P5112">
        <v>56032</v>
      </c>
      <c r="Q5112">
        <v>52954</v>
      </c>
      <c r="R5112">
        <v>47206</v>
      </c>
    </row>
    <row r="5113" spans="4:19" x14ac:dyDescent="0.25">
      <c r="D5113" t="s">
        <v>128</v>
      </c>
      <c r="E5113">
        <v>2014</v>
      </c>
      <c r="F5113" t="s">
        <v>24</v>
      </c>
      <c r="G5113">
        <v>61973</v>
      </c>
      <c r="H5113">
        <v>54573</v>
      </c>
      <c r="I5113">
        <v>64549</v>
      </c>
      <c r="J5113">
        <v>55040</v>
      </c>
      <c r="K5113">
        <v>58476</v>
      </c>
      <c r="L5113">
        <v>51742</v>
      </c>
      <c r="M5113">
        <v>55659</v>
      </c>
      <c r="N5113">
        <v>51160</v>
      </c>
      <c r="O5113">
        <v>62770</v>
      </c>
      <c r="P5113">
        <v>54301</v>
      </c>
      <c r="Q5113">
        <v>47913</v>
      </c>
      <c r="R5113">
        <v>47732</v>
      </c>
    </row>
    <row r="5114" spans="4:19" x14ac:dyDescent="0.25">
      <c r="D5114" t="s">
        <v>128</v>
      </c>
      <c r="E5114">
        <v>2015</v>
      </c>
      <c r="F5114" t="s">
        <v>24</v>
      </c>
      <c r="G5114">
        <v>49718</v>
      </c>
      <c r="H5114">
        <v>52545</v>
      </c>
      <c r="I5114">
        <v>50559</v>
      </c>
      <c r="J5114">
        <v>46327</v>
      </c>
      <c r="K5114">
        <v>46105</v>
      </c>
      <c r="L5114">
        <v>50213</v>
      </c>
      <c r="M5114">
        <v>52868</v>
      </c>
    </row>
    <row r="5115" spans="4:19" x14ac:dyDescent="0.25">
      <c r="D5115" t="s">
        <v>128</v>
      </c>
      <c r="E5115">
        <v>2013</v>
      </c>
      <c r="F5115" t="s">
        <v>25</v>
      </c>
      <c r="S5115">
        <v>717586</v>
      </c>
    </row>
    <row r="5116" spans="4:19" x14ac:dyDescent="0.25">
      <c r="D5116" t="s">
        <v>128</v>
      </c>
      <c r="E5116">
        <v>2014</v>
      </c>
      <c r="F5116" t="s">
        <v>25</v>
      </c>
      <c r="S5116">
        <v>774712</v>
      </c>
    </row>
    <row r="5117" spans="4:19" x14ac:dyDescent="0.25">
      <c r="D5117" t="s">
        <v>128</v>
      </c>
      <c r="E5117">
        <v>2015</v>
      </c>
      <c r="F5117" t="s">
        <v>25</v>
      </c>
      <c r="S5117">
        <v>870096</v>
      </c>
    </row>
    <row r="5118" spans="4:19" x14ac:dyDescent="0.25">
      <c r="D5118" t="s">
        <v>128</v>
      </c>
      <c r="E5118">
        <v>2013</v>
      </c>
      <c r="F5118" t="s">
        <v>26</v>
      </c>
      <c r="G5118">
        <v>133313</v>
      </c>
      <c r="H5118">
        <v>107341</v>
      </c>
      <c r="I5118">
        <v>94903</v>
      </c>
      <c r="J5118">
        <v>93187</v>
      </c>
      <c r="K5118">
        <v>85075</v>
      </c>
      <c r="L5118">
        <v>99306</v>
      </c>
      <c r="M5118">
        <v>104461</v>
      </c>
      <c r="N5118">
        <v>95134</v>
      </c>
      <c r="O5118">
        <v>113723</v>
      </c>
      <c r="P5118">
        <v>142534</v>
      </c>
      <c r="Q5118">
        <v>124249</v>
      </c>
      <c r="R5118">
        <v>132571</v>
      </c>
    </row>
    <row r="5119" spans="4:19" x14ac:dyDescent="0.25">
      <c r="D5119" t="s">
        <v>128</v>
      </c>
      <c r="E5119">
        <v>2014</v>
      </c>
      <c r="F5119" t="s">
        <v>26</v>
      </c>
      <c r="G5119">
        <v>130387</v>
      </c>
      <c r="H5119">
        <v>99105</v>
      </c>
      <c r="I5119">
        <v>124849</v>
      </c>
      <c r="J5119">
        <v>105648</v>
      </c>
      <c r="K5119">
        <v>98456</v>
      </c>
      <c r="L5119">
        <v>107239</v>
      </c>
      <c r="M5119">
        <v>109028</v>
      </c>
      <c r="N5119">
        <v>116722</v>
      </c>
      <c r="O5119">
        <v>123937</v>
      </c>
      <c r="P5119">
        <v>144704</v>
      </c>
      <c r="Q5119">
        <v>130189</v>
      </c>
      <c r="R5119">
        <v>138020</v>
      </c>
    </row>
    <row r="5120" spans="4:19" x14ac:dyDescent="0.25">
      <c r="D5120" t="s">
        <v>128</v>
      </c>
      <c r="E5120">
        <v>2015</v>
      </c>
      <c r="F5120" t="s">
        <v>26</v>
      </c>
      <c r="G5120">
        <v>134808</v>
      </c>
      <c r="H5120">
        <v>116921</v>
      </c>
      <c r="I5120">
        <v>123270</v>
      </c>
      <c r="J5120">
        <v>119958</v>
      </c>
      <c r="K5120">
        <v>104654</v>
      </c>
      <c r="L5120">
        <v>129228</v>
      </c>
      <c r="M5120">
        <v>141257</v>
      </c>
    </row>
    <row r="5121" spans="4:19" x14ac:dyDescent="0.25">
      <c r="D5121" t="s">
        <v>128</v>
      </c>
      <c r="E5121">
        <v>2013</v>
      </c>
      <c r="F5121" t="s">
        <v>27</v>
      </c>
      <c r="S5121">
        <v>1202382</v>
      </c>
    </row>
    <row r="5122" spans="4:19" x14ac:dyDescent="0.25">
      <c r="D5122" t="s">
        <v>128</v>
      </c>
      <c r="E5122">
        <v>2014</v>
      </c>
      <c r="F5122" t="s">
        <v>27</v>
      </c>
      <c r="S5122">
        <v>1305327</v>
      </c>
    </row>
    <row r="5123" spans="4:19" x14ac:dyDescent="0.25">
      <c r="D5123" t="s">
        <v>128</v>
      </c>
      <c r="E5123">
        <v>2015</v>
      </c>
      <c r="F5123" t="s">
        <v>27</v>
      </c>
      <c r="S5123">
        <v>1516640</v>
      </c>
    </row>
    <row r="5124" spans="4:19" x14ac:dyDescent="0.25">
      <c r="D5124" t="s">
        <v>128</v>
      </c>
      <c r="E5124">
        <v>2013</v>
      </c>
      <c r="F5124" t="s">
        <v>28</v>
      </c>
      <c r="G5124">
        <v>213598</v>
      </c>
      <c r="H5124">
        <v>181646</v>
      </c>
      <c r="I5124">
        <v>159924</v>
      </c>
      <c r="J5124">
        <v>159185</v>
      </c>
      <c r="K5124">
        <v>146576</v>
      </c>
      <c r="L5124">
        <v>163432</v>
      </c>
      <c r="M5124">
        <v>178021</v>
      </c>
      <c r="N5124">
        <v>157064</v>
      </c>
      <c r="O5124">
        <v>187311</v>
      </c>
      <c r="P5124">
        <v>234399</v>
      </c>
      <c r="Q5124">
        <v>201423</v>
      </c>
      <c r="R5124">
        <v>206557</v>
      </c>
    </row>
    <row r="5125" spans="4:19" x14ac:dyDescent="0.25">
      <c r="D5125" t="s">
        <v>128</v>
      </c>
      <c r="E5125">
        <v>2014</v>
      </c>
      <c r="F5125" t="s">
        <v>28</v>
      </c>
      <c r="G5125">
        <v>208846</v>
      </c>
      <c r="H5125">
        <v>164951</v>
      </c>
      <c r="I5125">
        <v>216600</v>
      </c>
      <c r="J5125">
        <v>180080</v>
      </c>
      <c r="K5125">
        <v>162571</v>
      </c>
      <c r="L5125">
        <v>185328</v>
      </c>
      <c r="M5125">
        <v>186951</v>
      </c>
      <c r="N5125">
        <v>198811</v>
      </c>
      <c r="O5125">
        <v>215788</v>
      </c>
      <c r="P5125">
        <v>251113</v>
      </c>
      <c r="Q5125">
        <v>218327</v>
      </c>
      <c r="R5125">
        <v>238598</v>
      </c>
    </row>
    <row r="5126" spans="4:19" x14ac:dyDescent="0.25">
      <c r="D5126" t="s">
        <v>128</v>
      </c>
      <c r="E5126">
        <v>2015</v>
      </c>
      <c r="F5126" t="s">
        <v>28</v>
      </c>
      <c r="G5126">
        <v>237118</v>
      </c>
      <c r="H5126">
        <v>204780</v>
      </c>
      <c r="I5126">
        <v>223178</v>
      </c>
      <c r="J5126">
        <v>208165</v>
      </c>
      <c r="K5126">
        <v>183498</v>
      </c>
      <c r="L5126">
        <v>225520</v>
      </c>
      <c r="M5126">
        <v>234381</v>
      </c>
    </row>
    <row r="5127" spans="4:19" x14ac:dyDescent="0.25">
      <c r="D5127" t="s">
        <v>128</v>
      </c>
      <c r="E5127">
        <v>2013</v>
      </c>
      <c r="F5127" t="s">
        <v>29</v>
      </c>
      <c r="S5127">
        <v>157073</v>
      </c>
    </row>
    <row r="5128" spans="4:19" x14ac:dyDescent="0.25">
      <c r="D5128" t="s">
        <v>128</v>
      </c>
      <c r="E5128">
        <v>2014</v>
      </c>
      <c r="F5128" t="s">
        <v>29</v>
      </c>
      <c r="S5128">
        <v>135799</v>
      </c>
    </row>
    <row r="5129" spans="4:19" x14ac:dyDescent="0.25">
      <c r="D5129" t="s">
        <v>128</v>
      </c>
      <c r="E5129">
        <v>2015</v>
      </c>
      <c r="F5129" t="s">
        <v>29</v>
      </c>
      <c r="S5129">
        <v>133897</v>
      </c>
    </row>
    <row r="5130" spans="4:19" x14ac:dyDescent="0.25">
      <c r="D5130" t="s">
        <v>128</v>
      </c>
      <c r="E5130">
        <v>2013</v>
      </c>
      <c r="F5130" t="s">
        <v>30</v>
      </c>
      <c r="G5130">
        <v>21970</v>
      </c>
      <c r="H5130">
        <v>24118</v>
      </c>
      <c r="I5130">
        <v>21299</v>
      </c>
      <c r="J5130">
        <v>25029</v>
      </c>
      <c r="K5130">
        <v>16743</v>
      </c>
      <c r="L5130">
        <v>26514</v>
      </c>
      <c r="M5130">
        <v>21400</v>
      </c>
      <c r="N5130">
        <v>18908</v>
      </c>
      <c r="O5130">
        <v>23126</v>
      </c>
      <c r="P5130">
        <v>19987</v>
      </c>
      <c r="Q5130">
        <v>17673</v>
      </c>
      <c r="R5130">
        <v>18199</v>
      </c>
    </row>
    <row r="5131" spans="4:19" x14ac:dyDescent="0.25">
      <c r="D5131" t="s">
        <v>128</v>
      </c>
      <c r="E5131">
        <v>2014</v>
      </c>
      <c r="F5131" t="s">
        <v>30</v>
      </c>
      <c r="G5131">
        <v>22346</v>
      </c>
      <c r="H5131">
        <v>15387</v>
      </c>
      <c r="I5131">
        <v>24484</v>
      </c>
      <c r="J5131">
        <v>16866</v>
      </c>
      <c r="K5131">
        <v>18606</v>
      </c>
      <c r="L5131">
        <v>21975</v>
      </c>
      <c r="M5131">
        <v>16135</v>
      </c>
      <c r="N5131">
        <v>19206</v>
      </c>
      <c r="O5131">
        <v>24548</v>
      </c>
      <c r="P5131">
        <v>17001</v>
      </c>
      <c r="Q5131">
        <v>18806</v>
      </c>
      <c r="R5131">
        <v>20393</v>
      </c>
    </row>
    <row r="5132" spans="4:19" x14ac:dyDescent="0.25">
      <c r="D5132" t="s">
        <v>128</v>
      </c>
      <c r="E5132">
        <v>2015</v>
      </c>
      <c r="F5132" t="s">
        <v>30</v>
      </c>
      <c r="G5132">
        <v>23509</v>
      </c>
      <c r="H5132">
        <v>17992</v>
      </c>
      <c r="I5132">
        <v>25384</v>
      </c>
      <c r="J5132">
        <v>17756</v>
      </c>
      <c r="K5132">
        <v>9781</v>
      </c>
      <c r="L5132">
        <v>24769</v>
      </c>
      <c r="M5132">
        <v>14706</v>
      </c>
    </row>
    <row r="5133" spans="4:19" x14ac:dyDescent="0.25">
      <c r="D5133" t="s">
        <v>128</v>
      </c>
      <c r="E5133">
        <v>2013</v>
      </c>
      <c r="F5133" t="s">
        <v>31</v>
      </c>
      <c r="S5133">
        <v>0.78623279735626783</v>
      </c>
    </row>
    <row r="5134" spans="4:19" x14ac:dyDescent="0.25">
      <c r="D5134" t="s">
        <v>128</v>
      </c>
      <c r="E5134">
        <v>2014</v>
      </c>
      <c r="F5134" t="s">
        <v>31</v>
      </c>
      <c r="S5134">
        <v>0.89268728296667765</v>
      </c>
    </row>
    <row r="5135" spans="4:19" x14ac:dyDescent="0.25">
      <c r="D5135" t="s">
        <v>128</v>
      </c>
      <c r="E5135">
        <v>2015</v>
      </c>
      <c r="F5135" t="s">
        <v>31</v>
      </c>
      <c r="S5135">
        <v>0.90829804642083056</v>
      </c>
    </row>
    <row r="5136" spans="4:19" x14ac:dyDescent="0.25">
      <c r="D5136" t="s">
        <v>128</v>
      </c>
      <c r="E5136">
        <v>2013</v>
      </c>
      <c r="F5136" t="s">
        <v>32</v>
      </c>
      <c r="G5136">
        <v>0.71803368158428194</v>
      </c>
      <c r="H5136">
        <v>0.73349893541518807</v>
      </c>
      <c r="I5136">
        <v>0.80148350905650179</v>
      </c>
      <c r="J5136">
        <v>0.81400028492057841</v>
      </c>
      <c r="K5136">
        <v>0.7063601956983292</v>
      </c>
      <c r="L5136">
        <v>0.88760843146293422</v>
      </c>
      <c r="M5136">
        <v>0.93677698731828019</v>
      </c>
      <c r="N5136">
        <v>0.92999173212071107</v>
      </c>
      <c r="O5136">
        <v>0.87072449065855106</v>
      </c>
      <c r="P5136">
        <v>0.94799400342661333</v>
      </c>
      <c r="Q5136">
        <v>0.94296936964157574</v>
      </c>
      <c r="R5136">
        <v>0.96699572088293861</v>
      </c>
    </row>
    <row r="5137" spans="4:19" x14ac:dyDescent="0.25">
      <c r="D5137" t="s">
        <v>128</v>
      </c>
      <c r="E5137">
        <v>2014</v>
      </c>
      <c r="F5137" t="s">
        <v>32</v>
      </c>
      <c r="G5137">
        <v>0.88785438820131346</v>
      </c>
      <c r="H5137">
        <v>0.94700676158539943</v>
      </c>
      <c r="I5137">
        <v>0.83660474987993616</v>
      </c>
      <c r="J5137">
        <v>0.88199491279069764</v>
      </c>
      <c r="K5137">
        <v>0.8567104453108968</v>
      </c>
      <c r="L5137">
        <v>0.92800819450349814</v>
      </c>
      <c r="M5137">
        <v>0.92538493325428051</v>
      </c>
      <c r="N5137">
        <v>0.88199765441751365</v>
      </c>
      <c r="O5137">
        <v>0.92999840688226865</v>
      </c>
      <c r="P5137">
        <v>0.94300289129113646</v>
      </c>
      <c r="Q5137">
        <v>0.94300085571765491</v>
      </c>
      <c r="R5137">
        <v>0.94699572613760163</v>
      </c>
    </row>
    <row r="5138" spans="4:19" x14ac:dyDescent="0.25">
      <c r="D5138" t="s">
        <v>128</v>
      </c>
      <c r="E5138">
        <v>2015</v>
      </c>
      <c r="F5138" t="s">
        <v>32</v>
      </c>
      <c r="G5138">
        <v>0.94599541413572552</v>
      </c>
      <c r="H5138">
        <v>0.91900275953944244</v>
      </c>
      <c r="I5138">
        <v>0.9039933542989379</v>
      </c>
      <c r="J5138">
        <v>0.91499557493470329</v>
      </c>
      <c r="K5138">
        <v>0.87899360156165274</v>
      </c>
      <c r="L5138">
        <v>0.92199231274769478</v>
      </c>
      <c r="M5138">
        <v>0.87300446394794584</v>
      </c>
    </row>
    <row r="5139" spans="4:19" x14ac:dyDescent="0.25">
      <c r="D5139" t="s">
        <v>128</v>
      </c>
      <c r="E5139">
        <v>2013</v>
      </c>
      <c r="F5139" t="s">
        <v>33</v>
      </c>
      <c r="S5139">
        <v>0.76690851693172923</v>
      </c>
    </row>
    <row r="5140" spans="4:19" x14ac:dyDescent="0.25">
      <c r="D5140" t="s">
        <v>128</v>
      </c>
      <c r="E5140">
        <v>2014</v>
      </c>
      <c r="F5140" t="s">
        <v>33</v>
      </c>
      <c r="S5140">
        <v>0.84871909167672333</v>
      </c>
    </row>
    <row r="5141" spans="4:19" x14ac:dyDescent="0.25">
      <c r="D5141" t="s">
        <v>128</v>
      </c>
      <c r="E5141">
        <v>2015</v>
      </c>
      <c r="F5141" t="s">
        <v>33</v>
      </c>
      <c r="S5141">
        <v>0.91336097705948116</v>
      </c>
    </row>
    <row r="5142" spans="4:19" x14ac:dyDescent="0.25">
      <c r="D5142" t="s">
        <v>128</v>
      </c>
      <c r="E5142">
        <v>2013</v>
      </c>
      <c r="F5142" t="s">
        <v>34</v>
      </c>
      <c r="G5142">
        <v>0.70130166704727104</v>
      </c>
      <c r="H5142">
        <v>0.6692967858945833</v>
      </c>
      <c r="I5142">
        <v>0.79829683698296838</v>
      </c>
      <c r="J5142">
        <v>0.81200406917599188</v>
      </c>
      <c r="K5142">
        <v>0.65922298400261181</v>
      </c>
      <c r="L5142">
        <v>0.94398727400654658</v>
      </c>
      <c r="M5142">
        <v>0.92426791277258569</v>
      </c>
      <c r="N5142">
        <v>0.89299616765744294</v>
      </c>
      <c r="O5142">
        <v>0.84784485949026667</v>
      </c>
      <c r="P5142">
        <v>0.92300917050929998</v>
      </c>
      <c r="Q5142">
        <v>0.91451626228966432</v>
      </c>
      <c r="R5142">
        <v>0.95100522152393463</v>
      </c>
    </row>
    <row r="5143" spans="4:19" x14ac:dyDescent="0.25">
      <c r="D5143" t="s">
        <v>128</v>
      </c>
      <c r="E5143">
        <v>2014</v>
      </c>
      <c r="F5143" t="s">
        <v>34</v>
      </c>
      <c r="G5143">
        <v>0.83546296296296296</v>
      </c>
      <c r="H5143">
        <v>0.92100417050316852</v>
      </c>
      <c r="I5143">
        <v>0.76946095165844819</v>
      </c>
      <c r="J5143">
        <v>0.82999054651370752</v>
      </c>
      <c r="K5143">
        <v>0.78632541672813094</v>
      </c>
      <c r="L5143">
        <v>0.89400769653655854</v>
      </c>
      <c r="M5143">
        <v>0.95093893794304196</v>
      </c>
      <c r="N5143">
        <v>0.8829897671659499</v>
      </c>
      <c r="O5143">
        <v>0.94600615949151434</v>
      </c>
      <c r="P5143">
        <v>0.98099282879621252</v>
      </c>
      <c r="Q5143">
        <v>0.98100030364811519</v>
      </c>
      <c r="R5143">
        <v>0.97699108631060216</v>
      </c>
    </row>
    <row r="5144" spans="4:19" x14ac:dyDescent="0.25">
      <c r="D5144" t="s">
        <v>128</v>
      </c>
      <c r="E5144">
        <v>2015</v>
      </c>
      <c r="F5144" t="s">
        <v>34</v>
      </c>
      <c r="G5144">
        <v>0.96998607242339829</v>
      </c>
      <c r="H5144">
        <v>0.92900633219678519</v>
      </c>
      <c r="I5144">
        <v>0.91498838726098441</v>
      </c>
      <c r="J5144">
        <v>0.92598464920183055</v>
      </c>
      <c r="K5144">
        <v>0.86798919817199838</v>
      </c>
      <c r="L5144">
        <v>0.93900465959099144</v>
      </c>
      <c r="M5144">
        <v>0.84900620130386384</v>
      </c>
    </row>
    <row r="5145" spans="4:19" x14ac:dyDescent="0.25">
      <c r="D5145" t="s">
        <v>129</v>
      </c>
      <c r="E5145">
        <v>2013</v>
      </c>
      <c r="F5145" t="s">
        <v>17</v>
      </c>
      <c r="S5145">
        <v>0.94412795125666416</v>
      </c>
    </row>
    <row r="5146" spans="4:19" x14ac:dyDescent="0.25">
      <c r="D5146" t="s">
        <v>129</v>
      </c>
      <c r="E5146">
        <v>2014</v>
      </c>
      <c r="F5146" t="s">
        <v>17</v>
      </c>
      <c r="S5146">
        <v>0.8635916154242268</v>
      </c>
    </row>
    <row r="5147" spans="4:19" x14ac:dyDescent="0.25">
      <c r="D5147" t="s">
        <v>129</v>
      </c>
      <c r="E5147">
        <v>2015</v>
      </c>
      <c r="F5147" t="s">
        <v>17</v>
      </c>
      <c r="S5147">
        <v>0.93009853339187165</v>
      </c>
    </row>
    <row r="5148" spans="4:19" x14ac:dyDescent="0.25">
      <c r="D5148" t="s">
        <v>129</v>
      </c>
      <c r="E5148">
        <v>2013</v>
      </c>
      <c r="F5148" t="s">
        <v>18</v>
      </c>
      <c r="G5148">
        <v>0.92889793882978722</v>
      </c>
      <c r="H5148">
        <v>0.91789262718007758</v>
      </c>
      <c r="I5148">
        <v>0.94250904704463212</v>
      </c>
      <c r="J5148">
        <v>0.95040594737356943</v>
      </c>
      <c r="K5148">
        <v>0.95050152090298901</v>
      </c>
      <c r="L5148">
        <v>0.96481095245735071</v>
      </c>
      <c r="M5148">
        <v>0.96239847343184259</v>
      </c>
      <c r="N5148">
        <v>0.95928593798935169</v>
      </c>
      <c r="O5148">
        <v>0.95489245001125644</v>
      </c>
      <c r="P5148">
        <v>0.95180169841634155</v>
      </c>
      <c r="Q5148">
        <v>0.9107068846419526</v>
      </c>
      <c r="R5148">
        <v>0.89790197409188821</v>
      </c>
    </row>
    <row r="5149" spans="4:19" x14ac:dyDescent="0.25">
      <c r="D5149" t="s">
        <v>129</v>
      </c>
      <c r="E5149">
        <v>2014</v>
      </c>
      <c r="F5149" t="s">
        <v>18</v>
      </c>
      <c r="G5149">
        <v>0.85409758408337277</v>
      </c>
      <c r="H5149">
        <v>0.86588487700221861</v>
      </c>
      <c r="I5149">
        <v>0.85876815424500996</v>
      </c>
      <c r="J5149">
        <v>0.86271218056332777</v>
      </c>
      <c r="K5149">
        <v>0.8157067441722522</v>
      </c>
      <c r="L5149">
        <v>0.85439340130599151</v>
      </c>
      <c r="M5149">
        <v>0.96871673081647691</v>
      </c>
      <c r="N5149">
        <v>0.96021910919540232</v>
      </c>
      <c r="O5149">
        <v>0.94644074398675626</v>
      </c>
      <c r="P5149">
        <v>0.9132278936017254</v>
      </c>
      <c r="Q5149">
        <v>0.90647193793932335</v>
      </c>
      <c r="R5149">
        <v>0.93405161790077817</v>
      </c>
    </row>
    <row r="5150" spans="4:19" x14ac:dyDescent="0.25">
      <c r="D5150" t="s">
        <v>129</v>
      </c>
      <c r="E5150">
        <v>2015</v>
      </c>
      <c r="F5150" t="s">
        <v>18</v>
      </c>
      <c r="G5150">
        <v>0.92301509644953872</v>
      </c>
      <c r="H5150">
        <v>0.92881161635460452</v>
      </c>
      <c r="I5150">
        <v>0.92253083680894488</v>
      </c>
      <c r="J5150">
        <v>0.95011457782478403</v>
      </c>
      <c r="K5150">
        <v>0.91421936893866962</v>
      </c>
      <c r="L5150">
        <v>0.92930291408010757</v>
      </c>
      <c r="M5150">
        <v>0.94875055636802952</v>
      </c>
    </row>
    <row r="5151" spans="4:19" x14ac:dyDescent="0.25">
      <c r="D5151" t="s">
        <v>129</v>
      </c>
      <c r="E5151">
        <v>2013</v>
      </c>
      <c r="F5151" t="s">
        <v>19</v>
      </c>
      <c r="S5151">
        <v>0.83162978818622046</v>
      </c>
    </row>
    <row r="5152" spans="4:19" x14ac:dyDescent="0.25">
      <c r="D5152" t="s">
        <v>129</v>
      </c>
      <c r="E5152">
        <v>2014</v>
      </c>
      <c r="F5152" t="s">
        <v>19</v>
      </c>
      <c r="S5152">
        <v>0.93027918177674329</v>
      </c>
    </row>
    <row r="5153" spans="4:19" x14ac:dyDescent="0.25">
      <c r="D5153" t="s">
        <v>129</v>
      </c>
      <c r="E5153">
        <v>2015</v>
      </c>
      <c r="F5153" t="s">
        <v>19</v>
      </c>
      <c r="S5153">
        <v>0.88271650899763276</v>
      </c>
    </row>
    <row r="5154" spans="4:19" x14ac:dyDescent="0.25">
      <c r="D5154" t="s">
        <v>129</v>
      </c>
      <c r="E5154">
        <v>2013</v>
      </c>
      <c r="F5154" t="s">
        <v>20</v>
      </c>
      <c r="G5154">
        <v>0.84536710669391224</v>
      </c>
      <c r="H5154">
        <v>0.73422743174727911</v>
      </c>
      <c r="I5154">
        <v>0.86199666838991329</v>
      </c>
      <c r="J5154">
        <v>0.79919882494325012</v>
      </c>
      <c r="K5154">
        <v>0.71236892141046326</v>
      </c>
      <c r="L5154">
        <v>0.89701475678872078</v>
      </c>
      <c r="M5154">
        <v>0.97472059292129398</v>
      </c>
      <c r="N5154">
        <v>0.99171227169335407</v>
      </c>
      <c r="O5154">
        <v>0.99059281821760847</v>
      </c>
      <c r="P5154">
        <v>0.93714836678069369</v>
      </c>
      <c r="Q5154">
        <v>0.75528424039968067</v>
      </c>
      <c r="R5154">
        <v>0.77300418345510979</v>
      </c>
    </row>
    <row r="5155" spans="4:19" x14ac:dyDescent="0.25">
      <c r="D5155" t="s">
        <v>129</v>
      </c>
      <c r="E5155">
        <v>2014</v>
      </c>
      <c r="F5155" t="s">
        <v>20</v>
      </c>
      <c r="G5155">
        <v>0.97518519030058604</v>
      </c>
      <c r="H5155">
        <v>0.94651589906322675</v>
      </c>
      <c r="I5155">
        <v>0.93302779506447131</v>
      </c>
      <c r="J5155">
        <v>0.87026204073381508</v>
      </c>
      <c r="K5155">
        <v>0.88789072185159346</v>
      </c>
      <c r="L5155">
        <v>0.93111576235710836</v>
      </c>
      <c r="M5155">
        <v>0.94983633798575828</v>
      </c>
      <c r="N5155">
        <v>0.95515312599174862</v>
      </c>
      <c r="O5155">
        <v>0.93764148430911265</v>
      </c>
      <c r="P5155">
        <v>0.94425344051258508</v>
      </c>
      <c r="Q5155">
        <v>0.88579818954535716</v>
      </c>
      <c r="R5155">
        <v>0.8935310322644241</v>
      </c>
    </row>
    <row r="5156" spans="4:19" x14ac:dyDescent="0.25">
      <c r="D5156" t="s">
        <v>129</v>
      </c>
      <c r="E5156">
        <v>2015</v>
      </c>
      <c r="F5156" t="s">
        <v>20</v>
      </c>
      <c r="G5156">
        <v>0.89638326523741751</v>
      </c>
      <c r="H5156">
        <v>0.97881660893013078</v>
      </c>
      <c r="I5156">
        <v>0.8840468453536301</v>
      </c>
      <c r="J5156">
        <v>0.84558538230571323</v>
      </c>
      <c r="K5156">
        <v>0.80125564841844288</v>
      </c>
      <c r="L5156">
        <v>0.81463357699573336</v>
      </c>
      <c r="M5156">
        <v>0.93929724195244235</v>
      </c>
    </row>
    <row r="5157" spans="4:19" x14ac:dyDescent="0.25">
      <c r="D5157" t="s">
        <v>129</v>
      </c>
      <c r="E5157">
        <v>2013</v>
      </c>
      <c r="F5157" t="s">
        <v>21</v>
      </c>
      <c r="S5157">
        <v>0.86576079081673729</v>
      </c>
    </row>
    <row r="5158" spans="4:19" x14ac:dyDescent="0.25">
      <c r="D5158" t="s">
        <v>129</v>
      </c>
      <c r="E5158">
        <v>2014</v>
      </c>
      <c r="F5158" t="s">
        <v>21</v>
      </c>
      <c r="S5158">
        <v>0.96069418873012991</v>
      </c>
    </row>
    <row r="5159" spans="4:19" x14ac:dyDescent="0.25">
      <c r="D5159" t="s">
        <v>129</v>
      </c>
      <c r="E5159">
        <v>2015</v>
      </c>
      <c r="F5159" t="s">
        <v>21</v>
      </c>
      <c r="S5159">
        <v>0.93702523273831273</v>
      </c>
    </row>
    <row r="5160" spans="4:19" x14ac:dyDescent="0.25">
      <c r="D5160" t="s">
        <v>129</v>
      </c>
      <c r="E5160">
        <v>2013</v>
      </c>
      <c r="F5160" t="s">
        <v>22</v>
      </c>
      <c r="G5160">
        <v>0.80676258295790337</v>
      </c>
      <c r="H5160">
        <v>0.75155862068965518</v>
      </c>
      <c r="I5160">
        <v>0.90376347252488365</v>
      </c>
      <c r="J5160">
        <v>0.88639358350042963</v>
      </c>
      <c r="K5160">
        <v>0.8233054074638233</v>
      </c>
      <c r="L5160">
        <v>0.91670208244793883</v>
      </c>
      <c r="M5160">
        <v>0.96802585778219796</v>
      </c>
      <c r="N5160">
        <v>0.98735201117729243</v>
      </c>
      <c r="O5160">
        <v>0.97657929912245012</v>
      </c>
      <c r="P5160">
        <v>0.96107740839602041</v>
      </c>
      <c r="Q5160">
        <v>0.92053357655911527</v>
      </c>
      <c r="R5160">
        <v>0.9496952458350264</v>
      </c>
    </row>
    <row r="5161" spans="4:19" x14ac:dyDescent="0.25">
      <c r="D5161" t="s">
        <v>129</v>
      </c>
      <c r="E5161">
        <v>2014</v>
      </c>
      <c r="F5161" t="s">
        <v>22</v>
      </c>
      <c r="G5161">
        <v>0.9958939329981964</v>
      </c>
      <c r="H5161">
        <v>0.98004569687738008</v>
      </c>
      <c r="I5161">
        <v>0.96113429533913219</v>
      </c>
      <c r="J5161">
        <v>0.94569192821297954</v>
      </c>
      <c r="K5161">
        <v>0.93400731558626293</v>
      </c>
      <c r="L5161">
        <v>0.95484997169277219</v>
      </c>
      <c r="M5161">
        <v>0.94809002684286603</v>
      </c>
      <c r="N5161">
        <v>0.96585579388405973</v>
      </c>
      <c r="O5161">
        <v>0.94841969776421797</v>
      </c>
      <c r="P5161">
        <v>0.95959775214433596</v>
      </c>
      <c r="Q5161">
        <v>0.93635964637281333</v>
      </c>
      <c r="R5161">
        <v>0.95154652860746047</v>
      </c>
    </row>
    <row r="5162" spans="4:19" x14ac:dyDescent="0.25">
      <c r="D5162" t="s">
        <v>129</v>
      </c>
      <c r="E5162">
        <v>2015</v>
      </c>
      <c r="F5162" t="s">
        <v>22</v>
      </c>
      <c r="G5162">
        <v>0.92859636194391648</v>
      </c>
      <c r="H5162">
        <v>0.98385148736300609</v>
      </c>
      <c r="I5162">
        <v>0.95844226792055254</v>
      </c>
      <c r="J5162">
        <v>0.93048153563175018</v>
      </c>
      <c r="K5162">
        <v>0.84909879387450871</v>
      </c>
      <c r="L5162">
        <v>0.94567110967062351</v>
      </c>
      <c r="M5162">
        <v>0.93064509506015691</v>
      </c>
    </row>
    <row r="5163" spans="4:19" x14ac:dyDescent="0.25">
      <c r="D5163" t="s">
        <v>129</v>
      </c>
      <c r="E5163">
        <v>2013</v>
      </c>
      <c r="F5163" t="s">
        <v>23</v>
      </c>
      <c r="S5163">
        <v>396013</v>
      </c>
    </row>
    <row r="5164" spans="4:19" x14ac:dyDescent="0.25">
      <c r="D5164" t="s">
        <v>129</v>
      </c>
      <c r="E5164">
        <v>2014</v>
      </c>
      <c r="F5164" t="s">
        <v>23</v>
      </c>
      <c r="S5164">
        <v>446207</v>
      </c>
    </row>
    <row r="5165" spans="4:19" x14ac:dyDescent="0.25">
      <c r="D5165" t="s">
        <v>129</v>
      </c>
      <c r="E5165">
        <v>2015</v>
      </c>
      <c r="F5165" t="s">
        <v>23</v>
      </c>
      <c r="S5165">
        <v>530443</v>
      </c>
    </row>
    <row r="5166" spans="4:19" x14ac:dyDescent="0.25">
      <c r="D5166" t="s">
        <v>129</v>
      </c>
      <c r="E5166">
        <v>2013</v>
      </c>
      <c r="F5166" t="s">
        <v>24</v>
      </c>
      <c r="G5166">
        <v>65215</v>
      </c>
      <c r="H5166">
        <v>70955</v>
      </c>
      <c r="I5166">
        <v>56922</v>
      </c>
      <c r="J5166">
        <v>54824</v>
      </c>
      <c r="K5166">
        <v>52591</v>
      </c>
      <c r="L5166">
        <v>45472</v>
      </c>
      <c r="M5166">
        <v>50034</v>
      </c>
      <c r="N5166">
        <v>49589</v>
      </c>
      <c r="O5166">
        <v>49902</v>
      </c>
      <c r="P5166">
        <v>56312</v>
      </c>
      <c r="Q5166">
        <v>62848</v>
      </c>
      <c r="R5166">
        <v>55997</v>
      </c>
    </row>
    <row r="5167" spans="4:19" x14ac:dyDescent="0.25">
      <c r="D5167" t="s">
        <v>129</v>
      </c>
      <c r="E5167">
        <v>2014</v>
      </c>
      <c r="F5167" t="s">
        <v>24</v>
      </c>
      <c r="G5167">
        <v>65586</v>
      </c>
      <c r="H5167">
        <v>71380</v>
      </c>
      <c r="I5167">
        <v>60178</v>
      </c>
      <c r="J5167">
        <v>56417</v>
      </c>
      <c r="K5167">
        <v>57475</v>
      </c>
      <c r="L5167">
        <v>57273</v>
      </c>
      <c r="M5167">
        <v>77898</v>
      </c>
      <c r="N5167">
        <v>69383</v>
      </c>
      <c r="O5167">
        <v>89223</v>
      </c>
      <c r="P5167">
        <v>86313</v>
      </c>
      <c r="Q5167">
        <v>73994</v>
      </c>
      <c r="R5167">
        <v>73536</v>
      </c>
    </row>
    <row r="5168" spans="4:19" x14ac:dyDescent="0.25">
      <c r="D5168" t="s">
        <v>129</v>
      </c>
      <c r="E5168">
        <v>2015</v>
      </c>
      <c r="F5168" t="s">
        <v>24</v>
      </c>
      <c r="G5168">
        <v>79011</v>
      </c>
      <c r="H5168">
        <v>78686</v>
      </c>
      <c r="I5168">
        <v>78157</v>
      </c>
      <c r="J5168">
        <v>72974</v>
      </c>
      <c r="K5168">
        <v>68926</v>
      </c>
      <c r="L5168">
        <v>71389</v>
      </c>
      <c r="M5168">
        <v>81300</v>
      </c>
    </row>
    <row r="5169" spans="4:19" x14ac:dyDescent="0.25">
      <c r="D5169" t="s">
        <v>129</v>
      </c>
      <c r="E5169">
        <v>2013</v>
      </c>
      <c r="F5169" t="s">
        <v>25</v>
      </c>
      <c r="S5169">
        <v>872460</v>
      </c>
    </row>
    <row r="5170" spans="4:19" x14ac:dyDescent="0.25">
      <c r="D5170" t="s">
        <v>129</v>
      </c>
      <c r="E5170">
        <v>2014</v>
      </c>
      <c r="F5170" t="s">
        <v>25</v>
      </c>
      <c r="S5170">
        <v>877339</v>
      </c>
    </row>
    <row r="5171" spans="4:19" x14ac:dyDescent="0.25">
      <c r="D5171" t="s">
        <v>129</v>
      </c>
      <c r="E5171">
        <v>2015</v>
      </c>
      <c r="F5171" t="s">
        <v>25</v>
      </c>
      <c r="S5171">
        <v>1054045</v>
      </c>
    </row>
    <row r="5172" spans="4:19" x14ac:dyDescent="0.25">
      <c r="D5172" t="s">
        <v>129</v>
      </c>
      <c r="E5172">
        <v>2013</v>
      </c>
      <c r="F5172" t="s">
        <v>26</v>
      </c>
      <c r="G5172">
        <v>170418</v>
      </c>
      <c r="H5172">
        <v>132654</v>
      </c>
      <c r="I5172">
        <v>124203</v>
      </c>
      <c r="J5172">
        <v>111972</v>
      </c>
      <c r="K5172">
        <v>101503</v>
      </c>
      <c r="L5172">
        <v>108017</v>
      </c>
      <c r="M5172">
        <v>123693</v>
      </c>
      <c r="N5172">
        <v>111571</v>
      </c>
      <c r="O5172">
        <v>131808</v>
      </c>
      <c r="P5172">
        <v>161151</v>
      </c>
      <c r="Q5172">
        <v>158656</v>
      </c>
      <c r="R5172">
        <v>145699</v>
      </c>
    </row>
    <row r="5173" spans="4:19" x14ac:dyDescent="0.25">
      <c r="D5173" t="s">
        <v>129</v>
      </c>
      <c r="E5173">
        <v>2014</v>
      </c>
      <c r="F5173" t="s">
        <v>26</v>
      </c>
      <c r="G5173">
        <v>156124</v>
      </c>
      <c r="H5173">
        <v>129890</v>
      </c>
      <c r="I5173">
        <v>121753</v>
      </c>
      <c r="J5173">
        <v>119227</v>
      </c>
      <c r="K5173">
        <v>114117</v>
      </c>
      <c r="L5173">
        <v>111542</v>
      </c>
      <c r="M5173">
        <v>124686</v>
      </c>
      <c r="N5173">
        <v>108948</v>
      </c>
      <c r="O5173">
        <v>144966</v>
      </c>
      <c r="P5173">
        <v>156905</v>
      </c>
      <c r="Q5173">
        <v>150814</v>
      </c>
      <c r="R5173">
        <v>173842</v>
      </c>
    </row>
    <row r="5174" spans="4:19" x14ac:dyDescent="0.25">
      <c r="D5174" t="s">
        <v>129</v>
      </c>
      <c r="E5174">
        <v>2015</v>
      </c>
      <c r="F5174" t="s">
        <v>26</v>
      </c>
      <c r="G5174">
        <v>168455</v>
      </c>
      <c r="H5174">
        <v>141345</v>
      </c>
      <c r="I5174">
        <v>152534</v>
      </c>
      <c r="J5174">
        <v>149393</v>
      </c>
      <c r="K5174">
        <v>129034</v>
      </c>
      <c r="L5174">
        <v>149548</v>
      </c>
      <c r="M5174">
        <v>163736</v>
      </c>
    </row>
    <row r="5175" spans="4:19" x14ac:dyDescent="0.25">
      <c r="D5175" t="s">
        <v>129</v>
      </c>
      <c r="E5175">
        <v>2013</v>
      </c>
      <c r="F5175" t="s">
        <v>27</v>
      </c>
      <c r="S5175">
        <v>1622563</v>
      </c>
    </row>
    <row r="5176" spans="4:19" x14ac:dyDescent="0.25">
      <c r="D5176" t="s">
        <v>129</v>
      </c>
      <c r="E5176">
        <v>2014</v>
      </c>
      <c r="F5176" t="s">
        <v>27</v>
      </c>
      <c r="S5176">
        <v>1588968</v>
      </c>
    </row>
    <row r="5177" spans="4:19" x14ac:dyDescent="0.25">
      <c r="D5177" t="s">
        <v>129</v>
      </c>
      <c r="E5177">
        <v>2015</v>
      </c>
      <c r="F5177" t="s">
        <v>27</v>
      </c>
      <c r="S5177">
        <v>1887936</v>
      </c>
    </row>
    <row r="5178" spans="4:19" x14ac:dyDescent="0.25">
      <c r="D5178" t="s">
        <v>129</v>
      </c>
      <c r="E5178">
        <v>2013</v>
      </c>
      <c r="F5178" t="s">
        <v>28</v>
      </c>
      <c r="G5178">
        <v>305179</v>
      </c>
      <c r="H5178">
        <v>253774</v>
      </c>
      <c r="I5178">
        <v>240942</v>
      </c>
      <c r="J5178">
        <v>209491</v>
      </c>
      <c r="K5178">
        <v>189969</v>
      </c>
      <c r="L5178">
        <v>198835</v>
      </c>
      <c r="M5178">
        <v>224373</v>
      </c>
      <c r="N5178">
        <v>198820</v>
      </c>
      <c r="O5178">
        <v>237486</v>
      </c>
      <c r="P5178">
        <v>283180</v>
      </c>
      <c r="Q5178">
        <v>276667</v>
      </c>
      <c r="R5178">
        <v>272869</v>
      </c>
    </row>
    <row r="5179" spans="4:19" x14ac:dyDescent="0.25">
      <c r="D5179" t="s">
        <v>129</v>
      </c>
      <c r="E5179">
        <v>2014</v>
      </c>
      <c r="F5179" t="s">
        <v>28</v>
      </c>
      <c r="G5179">
        <v>294600</v>
      </c>
      <c r="H5179">
        <v>238704</v>
      </c>
      <c r="I5179">
        <v>228588</v>
      </c>
      <c r="J5179">
        <v>212119</v>
      </c>
      <c r="K5179">
        <v>200287</v>
      </c>
      <c r="L5179">
        <v>195789</v>
      </c>
      <c r="M5179">
        <v>218881</v>
      </c>
      <c r="N5179">
        <v>193246</v>
      </c>
      <c r="O5179">
        <v>259103</v>
      </c>
      <c r="P5179">
        <v>279135</v>
      </c>
      <c r="Q5179">
        <v>264581</v>
      </c>
      <c r="R5179">
        <v>305091</v>
      </c>
    </row>
    <row r="5180" spans="4:19" x14ac:dyDescent="0.25">
      <c r="D5180" t="s">
        <v>129</v>
      </c>
      <c r="E5180">
        <v>2015</v>
      </c>
      <c r="F5180" t="s">
        <v>28</v>
      </c>
      <c r="G5180">
        <v>304558</v>
      </c>
      <c r="H5180">
        <v>270484</v>
      </c>
      <c r="I5180">
        <v>282453</v>
      </c>
      <c r="J5180">
        <v>259503</v>
      </c>
      <c r="K5180">
        <v>231469</v>
      </c>
      <c r="L5180">
        <v>262047</v>
      </c>
      <c r="M5180">
        <v>277422</v>
      </c>
    </row>
    <row r="5181" spans="4:19" x14ac:dyDescent="0.25">
      <c r="D5181" t="s">
        <v>129</v>
      </c>
      <c r="E5181">
        <v>2013</v>
      </c>
      <c r="F5181" t="s">
        <v>29</v>
      </c>
      <c r="S5181">
        <v>295425</v>
      </c>
    </row>
    <row r="5182" spans="4:19" x14ac:dyDescent="0.25">
      <c r="D5182" t="s">
        <v>129</v>
      </c>
      <c r="E5182">
        <v>2014</v>
      </c>
      <c r="F5182" t="s">
        <v>29</v>
      </c>
      <c r="S5182">
        <v>264104</v>
      </c>
    </row>
    <row r="5183" spans="4:19" x14ac:dyDescent="0.25">
      <c r="D5183" t="s">
        <v>129</v>
      </c>
      <c r="E5183">
        <v>2015</v>
      </c>
      <c r="F5183" t="s">
        <v>29</v>
      </c>
      <c r="S5183">
        <v>179939</v>
      </c>
    </row>
    <row r="5184" spans="4:19" x14ac:dyDescent="0.25">
      <c r="D5184" t="s">
        <v>129</v>
      </c>
      <c r="E5184">
        <v>2013</v>
      </c>
      <c r="F5184" t="s">
        <v>30</v>
      </c>
      <c r="G5184">
        <v>48128</v>
      </c>
      <c r="H5184">
        <v>46902</v>
      </c>
      <c r="I5184">
        <v>41450</v>
      </c>
      <c r="J5184">
        <v>40892</v>
      </c>
      <c r="K5184">
        <v>39779</v>
      </c>
      <c r="L5184">
        <v>37398</v>
      </c>
      <c r="M5184">
        <v>40876</v>
      </c>
      <c r="N5184">
        <v>35123</v>
      </c>
      <c r="O5184">
        <v>48861</v>
      </c>
      <c r="P5184">
        <v>47927</v>
      </c>
      <c r="Q5184">
        <v>43430</v>
      </c>
      <c r="R5184">
        <v>33889</v>
      </c>
    </row>
    <row r="5185" spans="4:19" x14ac:dyDescent="0.25">
      <c r="D5185" t="s">
        <v>129</v>
      </c>
      <c r="E5185">
        <v>2014</v>
      </c>
      <c r="F5185" t="s">
        <v>30</v>
      </c>
      <c r="G5185">
        <v>52775</v>
      </c>
      <c r="H5185">
        <v>41017</v>
      </c>
      <c r="I5185">
        <v>39729</v>
      </c>
      <c r="J5185">
        <v>37527</v>
      </c>
      <c r="K5185">
        <v>33718</v>
      </c>
      <c r="L5185">
        <v>34916</v>
      </c>
      <c r="M5185">
        <v>24422</v>
      </c>
      <c r="N5185">
        <v>22272</v>
      </c>
      <c r="O5185">
        <v>30807</v>
      </c>
      <c r="P5185">
        <v>27820</v>
      </c>
      <c r="Q5185">
        <v>27457</v>
      </c>
      <c r="R5185">
        <v>28401</v>
      </c>
    </row>
    <row r="5186" spans="4:19" x14ac:dyDescent="0.25">
      <c r="D5186" t="s">
        <v>129</v>
      </c>
      <c r="E5186">
        <v>2015</v>
      </c>
      <c r="F5186" t="s">
        <v>30</v>
      </c>
      <c r="G5186">
        <v>28616</v>
      </c>
      <c r="H5186">
        <v>26170</v>
      </c>
      <c r="I5186">
        <v>33807</v>
      </c>
      <c r="J5186">
        <v>28365</v>
      </c>
      <c r="K5186">
        <v>21963</v>
      </c>
      <c r="L5186">
        <v>25291</v>
      </c>
      <c r="M5186">
        <v>15727</v>
      </c>
    </row>
    <row r="5187" spans="4:19" x14ac:dyDescent="0.25">
      <c r="D5187" t="s">
        <v>129</v>
      </c>
      <c r="E5187">
        <v>2013</v>
      </c>
      <c r="F5187" t="s">
        <v>31</v>
      </c>
      <c r="S5187">
        <v>0.87510005984652017</v>
      </c>
    </row>
    <row r="5188" spans="4:19" x14ac:dyDescent="0.25">
      <c r="D5188" t="s">
        <v>129</v>
      </c>
      <c r="E5188">
        <v>2014</v>
      </c>
      <c r="F5188" t="s">
        <v>31</v>
      </c>
      <c r="S5188">
        <v>0.93648463605456655</v>
      </c>
    </row>
    <row r="5189" spans="4:19" x14ac:dyDescent="0.25">
      <c r="D5189" t="s">
        <v>129</v>
      </c>
      <c r="E5189">
        <v>2015</v>
      </c>
      <c r="F5189" t="s">
        <v>31</v>
      </c>
      <c r="S5189">
        <v>0.91060679469801653</v>
      </c>
    </row>
    <row r="5190" spans="4:19" x14ac:dyDescent="0.25">
      <c r="D5190" t="s">
        <v>129</v>
      </c>
      <c r="E5190">
        <v>2013</v>
      </c>
      <c r="F5190" t="s">
        <v>32</v>
      </c>
      <c r="G5190">
        <v>0.85831480487617884</v>
      </c>
      <c r="H5190">
        <v>0.84571911775068709</v>
      </c>
      <c r="I5190">
        <v>0.87098134289027085</v>
      </c>
      <c r="J5190">
        <v>0.87093243834816869</v>
      </c>
      <c r="K5190">
        <v>0.87712726512140859</v>
      </c>
      <c r="L5190">
        <v>0.87134940182969745</v>
      </c>
      <c r="M5190">
        <v>0.94917456129831712</v>
      </c>
      <c r="N5190">
        <v>0.92084938191937726</v>
      </c>
      <c r="O5190">
        <v>0.98384834275179356</v>
      </c>
      <c r="P5190">
        <v>0.97906307714163943</v>
      </c>
      <c r="Q5190">
        <v>0.97360297861507128</v>
      </c>
      <c r="R5190">
        <v>0.97746307837919888</v>
      </c>
    </row>
    <row r="5191" spans="4:19" x14ac:dyDescent="0.25">
      <c r="D5191" t="s">
        <v>129</v>
      </c>
      <c r="E5191">
        <v>2014</v>
      </c>
      <c r="F5191" t="s">
        <v>32</v>
      </c>
      <c r="G5191">
        <v>0.94183209831366455</v>
      </c>
      <c r="H5191">
        <v>0.91964135612216302</v>
      </c>
      <c r="I5191">
        <v>0.94245405297617069</v>
      </c>
      <c r="J5191">
        <v>0.95625432050623038</v>
      </c>
      <c r="K5191">
        <v>0.94662026968247059</v>
      </c>
      <c r="L5191">
        <v>0.93104953468475549</v>
      </c>
      <c r="M5191">
        <v>0.92500449305502064</v>
      </c>
      <c r="N5191">
        <v>0.9247510197022325</v>
      </c>
      <c r="O5191">
        <v>0.910180110509622</v>
      </c>
      <c r="P5191">
        <v>0.93149351777831846</v>
      </c>
      <c r="Q5191">
        <v>0.93942752115036354</v>
      </c>
      <c r="R5191">
        <v>0.93284921671018273</v>
      </c>
    </row>
    <row r="5192" spans="4:19" x14ac:dyDescent="0.25">
      <c r="D5192" t="s">
        <v>129</v>
      </c>
      <c r="E5192">
        <v>2015</v>
      </c>
      <c r="F5192" t="s">
        <v>32</v>
      </c>
      <c r="G5192">
        <v>0.92254243080077458</v>
      </c>
      <c r="H5192">
        <v>0.9070991027628803</v>
      </c>
      <c r="I5192">
        <v>0.91834384636053068</v>
      </c>
      <c r="J5192">
        <v>0.91702524186696632</v>
      </c>
      <c r="K5192">
        <v>0.92602211066941353</v>
      </c>
      <c r="L5192">
        <v>0.91686394262421378</v>
      </c>
      <c r="M5192">
        <v>0.87063960639606397</v>
      </c>
    </row>
    <row r="5193" spans="4:19" x14ac:dyDescent="0.25">
      <c r="D5193" t="s">
        <v>129</v>
      </c>
      <c r="E5193">
        <v>2013</v>
      </c>
      <c r="F5193" t="s">
        <v>33</v>
      </c>
      <c r="S5193">
        <v>0.92717425361443084</v>
      </c>
    </row>
    <row r="5194" spans="4:19" x14ac:dyDescent="0.25">
      <c r="D5194" t="s">
        <v>129</v>
      </c>
      <c r="E5194">
        <v>2014</v>
      </c>
      <c r="F5194" t="s">
        <v>33</v>
      </c>
      <c r="S5194">
        <v>0.91533136842105267</v>
      </c>
    </row>
    <row r="5195" spans="4:19" x14ac:dyDescent="0.25">
      <c r="D5195" t="s">
        <v>129</v>
      </c>
      <c r="E5195">
        <v>2015</v>
      </c>
      <c r="F5195" t="s">
        <v>33</v>
      </c>
      <c r="S5195">
        <v>0.92475864634941241</v>
      </c>
    </row>
    <row r="5196" spans="4:19" x14ac:dyDescent="0.25">
      <c r="D5196" t="s">
        <v>129</v>
      </c>
      <c r="E5196">
        <v>2013</v>
      </c>
      <c r="F5196" t="s">
        <v>34</v>
      </c>
      <c r="G5196">
        <v>0.90575040137485019</v>
      </c>
      <c r="H5196">
        <v>0.88560932353686339</v>
      </c>
      <c r="I5196">
        <v>0.9376805183315553</v>
      </c>
      <c r="J5196">
        <v>0.9297753545309182</v>
      </c>
      <c r="K5196">
        <v>0.94427569448279669</v>
      </c>
      <c r="L5196">
        <v>0.95955397202428083</v>
      </c>
      <c r="M5196">
        <v>0.95149555375909456</v>
      </c>
      <c r="N5196">
        <v>0.88489060941990738</v>
      </c>
      <c r="O5196">
        <v>0.96752415690791582</v>
      </c>
      <c r="P5196">
        <v>0.96895571120122181</v>
      </c>
      <c r="Q5196">
        <v>0.95863564963722048</v>
      </c>
      <c r="R5196">
        <v>0.9659461939070132</v>
      </c>
    </row>
    <row r="5197" spans="4:19" x14ac:dyDescent="0.25">
      <c r="D5197" t="s">
        <v>129</v>
      </c>
      <c r="E5197">
        <v>2014</v>
      </c>
      <c r="F5197" t="s">
        <v>34</v>
      </c>
      <c r="G5197">
        <v>0.91668122652223294</v>
      </c>
      <c r="H5197">
        <v>0.87891070297656748</v>
      </c>
      <c r="I5197">
        <v>0.91492027614672133</v>
      </c>
      <c r="J5197">
        <v>0.93732222673709875</v>
      </c>
      <c r="K5197">
        <v>0.92037993408247476</v>
      </c>
      <c r="L5197">
        <v>0.89922421272903585</v>
      </c>
      <c r="M5197">
        <v>0.94257279121932103</v>
      </c>
      <c r="N5197">
        <v>0.96845410146516497</v>
      </c>
      <c r="O5197">
        <v>0.91468084640801772</v>
      </c>
      <c r="P5197">
        <v>0.96211101433209278</v>
      </c>
      <c r="Q5197">
        <v>0.96532411023094944</v>
      </c>
      <c r="R5197">
        <v>0.95487804878048776</v>
      </c>
    </row>
    <row r="5198" spans="4:19" x14ac:dyDescent="0.25">
      <c r="D5198" t="s">
        <v>129</v>
      </c>
      <c r="E5198">
        <v>2015</v>
      </c>
      <c r="F5198" t="s">
        <v>34</v>
      </c>
      <c r="G5198">
        <v>0.93834259295232914</v>
      </c>
      <c r="H5198">
        <v>0.91551615649405926</v>
      </c>
      <c r="I5198">
        <v>0.94400604115537101</v>
      </c>
      <c r="J5198">
        <v>0.93422053231939162</v>
      </c>
      <c r="K5198">
        <v>0.94216307562315171</v>
      </c>
      <c r="L5198">
        <v>0.93612584900596629</v>
      </c>
      <c r="M5198">
        <v>0.86714758040276529</v>
      </c>
    </row>
    <row r="5199" spans="4:19" x14ac:dyDescent="0.25">
      <c r="D5199" t="s">
        <v>130</v>
      </c>
      <c r="E5199">
        <v>2013</v>
      </c>
      <c r="F5199" t="s">
        <v>17</v>
      </c>
      <c r="S5199">
        <v>0.89905749381744782</v>
      </c>
    </row>
    <row r="5200" spans="4:19" x14ac:dyDescent="0.25">
      <c r="D5200" t="s">
        <v>130</v>
      </c>
      <c r="E5200">
        <v>2014</v>
      </c>
      <c r="F5200" t="s">
        <v>17</v>
      </c>
      <c r="S5200">
        <v>0.88065040874564027</v>
      </c>
    </row>
    <row r="5201" spans="4:19" x14ac:dyDescent="0.25">
      <c r="D5201" t="s">
        <v>130</v>
      </c>
      <c r="E5201">
        <v>2015</v>
      </c>
      <c r="F5201" t="s">
        <v>17</v>
      </c>
      <c r="S5201">
        <v>0.88722656017166357</v>
      </c>
    </row>
    <row r="5202" spans="4:19" x14ac:dyDescent="0.25">
      <c r="D5202" t="s">
        <v>130</v>
      </c>
      <c r="E5202">
        <v>2013</v>
      </c>
      <c r="F5202" t="s">
        <v>18</v>
      </c>
      <c r="G5202">
        <v>0.89532053546892787</v>
      </c>
      <c r="H5202">
        <v>0.90212544738368028</v>
      </c>
      <c r="I5202">
        <v>0.88754126764850505</v>
      </c>
      <c r="J5202">
        <v>0.88754807054767271</v>
      </c>
      <c r="K5202">
        <v>0.8996089931573803</v>
      </c>
      <c r="L5202">
        <v>0.93063967110207324</v>
      </c>
      <c r="M5202">
        <v>0.88991743807855894</v>
      </c>
      <c r="N5202">
        <v>0.87683452452397836</v>
      </c>
      <c r="O5202">
        <v>0.88465728261101739</v>
      </c>
      <c r="P5202">
        <v>0.87785785288270379</v>
      </c>
      <c r="Q5202">
        <v>0.89077337573428739</v>
      </c>
      <c r="R5202">
        <v>0.89699561054379218</v>
      </c>
    </row>
    <row r="5203" spans="4:19" x14ac:dyDescent="0.25">
      <c r="D5203" t="s">
        <v>130</v>
      </c>
      <c r="E5203">
        <v>2014</v>
      </c>
      <c r="F5203" t="s">
        <v>18</v>
      </c>
      <c r="G5203">
        <v>0.88105964261849845</v>
      </c>
      <c r="H5203">
        <v>0.91353643141271468</v>
      </c>
      <c r="I5203">
        <v>0.86447561033196396</v>
      </c>
      <c r="J5203">
        <v>0.85941567129685936</v>
      </c>
      <c r="K5203">
        <v>0.88695993055750011</v>
      </c>
      <c r="L5203">
        <v>0.86992813012230485</v>
      </c>
      <c r="M5203">
        <v>0.88898977905054599</v>
      </c>
      <c r="N5203">
        <v>0.87697375894581397</v>
      </c>
      <c r="O5203">
        <v>0.87477718360071299</v>
      </c>
      <c r="P5203">
        <v>0.89646205596774575</v>
      </c>
      <c r="Q5203">
        <v>0.87396830219251609</v>
      </c>
      <c r="R5203">
        <v>0.89704757534037016</v>
      </c>
    </row>
    <row r="5204" spans="4:19" x14ac:dyDescent="0.25">
      <c r="D5204" t="s">
        <v>130</v>
      </c>
      <c r="E5204">
        <v>2015</v>
      </c>
      <c r="F5204" t="s">
        <v>18</v>
      </c>
      <c r="G5204">
        <v>0.88359717972595453</v>
      </c>
      <c r="H5204">
        <v>0.86697424067666284</v>
      </c>
      <c r="I5204">
        <v>0.89044955125367242</v>
      </c>
      <c r="J5204">
        <v>0.88426144407739504</v>
      </c>
      <c r="K5204">
        <v>0.89380306321044767</v>
      </c>
      <c r="L5204">
        <v>0.90720494004694741</v>
      </c>
      <c r="M5204">
        <v>0.88317966871846354</v>
      </c>
    </row>
    <row r="5205" spans="4:19" x14ac:dyDescent="0.25">
      <c r="D5205" t="s">
        <v>130</v>
      </c>
      <c r="E5205">
        <v>2013</v>
      </c>
      <c r="F5205" t="s">
        <v>19</v>
      </c>
      <c r="S5205">
        <v>0.76006159137126483</v>
      </c>
    </row>
    <row r="5206" spans="4:19" x14ac:dyDescent="0.25">
      <c r="D5206" t="s">
        <v>130</v>
      </c>
      <c r="E5206">
        <v>2014</v>
      </c>
      <c r="F5206" t="s">
        <v>19</v>
      </c>
      <c r="S5206">
        <v>0.75736708757701543</v>
      </c>
    </row>
    <row r="5207" spans="4:19" x14ac:dyDescent="0.25">
      <c r="D5207" t="s">
        <v>130</v>
      </c>
      <c r="E5207">
        <v>2015</v>
      </c>
      <c r="F5207" t="s">
        <v>19</v>
      </c>
      <c r="S5207">
        <v>0.7768875911607328</v>
      </c>
    </row>
    <row r="5208" spans="4:19" x14ac:dyDescent="0.25">
      <c r="D5208" t="s">
        <v>130</v>
      </c>
      <c r="E5208">
        <v>2013</v>
      </c>
      <c r="F5208" t="s">
        <v>20</v>
      </c>
      <c r="G5208">
        <v>0.78654539235743826</v>
      </c>
      <c r="H5208">
        <v>0.74589676975989161</v>
      </c>
      <c r="I5208">
        <v>0.74104558738405502</v>
      </c>
      <c r="J5208">
        <v>0.75830640359778767</v>
      </c>
      <c r="K5208">
        <v>0.73111226098754467</v>
      </c>
      <c r="L5208">
        <v>0.75472365482370296</v>
      </c>
      <c r="M5208">
        <v>0.79546183558091976</v>
      </c>
      <c r="N5208">
        <v>0.81099963952871412</v>
      </c>
      <c r="O5208">
        <v>0.81205686063592308</v>
      </c>
      <c r="P5208">
        <v>0.82746996426568808</v>
      </c>
      <c r="Q5208">
        <v>0.81582859133666241</v>
      </c>
      <c r="R5208">
        <v>0.7818102908532073</v>
      </c>
    </row>
    <row r="5209" spans="4:19" x14ac:dyDescent="0.25">
      <c r="D5209" t="s">
        <v>130</v>
      </c>
      <c r="E5209">
        <v>2014</v>
      </c>
      <c r="F5209" t="s">
        <v>20</v>
      </c>
      <c r="G5209">
        <v>0.84187484830233461</v>
      </c>
      <c r="H5209">
        <v>0.79059503559977717</v>
      </c>
      <c r="I5209">
        <v>0.76415539737957128</v>
      </c>
      <c r="J5209">
        <v>0.76147204376996702</v>
      </c>
      <c r="K5209">
        <v>0.71940234486702892</v>
      </c>
      <c r="L5209">
        <v>0.6875381941267954</v>
      </c>
      <c r="M5209">
        <v>0.71291170537212256</v>
      </c>
      <c r="N5209">
        <v>0.70042485805878496</v>
      </c>
      <c r="O5209">
        <v>0.74749843707505215</v>
      </c>
      <c r="P5209">
        <v>0.84866961441128841</v>
      </c>
      <c r="Q5209">
        <v>0.83363968536282251</v>
      </c>
      <c r="R5209">
        <v>0.86793821033530127</v>
      </c>
    </row>
    <row r="5210" spans="4:19" x14ac:dyDescent="0.25">
      <c r="D5210" t="s">
        <v>130</v>
      </c>
      <c r="E5210">
        <v>2015</v>
      </c>
      <c r="F5210" t="s">
        <v>20</v>
      </c>
      <c r="G5210">
        <v>0.83256995285719504</v>
      </c>
      <c r="H5210">
        <v>0.76044121739926929</v>
      </c>
      <c r="I5210">
        <v>0.75637331629088422</v>
      </c>
      <c r="J5210">
        <v>0.82188968665006301</v>
      </c>
      <c r="K5210">
        <v>0.72260589457205648</v>
      </c>
      <c r="L5210">
        <v>0.7442480716520109</v>
      </c>
      <c r="M5210">
        <v>0.8119940500883005</v>
      </c>
    </row>
    <row r="5211" spans="4:19" x14ac:dyDescent="0.25">
      <c r="D5211" t="s">
        <v>130</v>
      </c>
      <c r="E5211">
        <v>2013</v>
      </c>
      <c r="F5211" t="s">
        <v>21</v>
      </c>
      <c r="S5211">
        <v>0.92546666720573789</v>
      </c>
    </row>
    <row r="5212" spans="4:19" x14ac:dyDescent="0.25">
      <c r="D5212" t="s">
        <v>130</v>
      </c>
      <c r="E5212">
        <v>2014</v>
      </c>
      <c r="F5212" t="s">
        <v>21</v>
      </c>
      <c r="S5212">
        <v>0.93722844087168378</v>
      </c>
    </row>
    <row r="5213" spans="4:19" x14ac:dyDescent="0.25">
      <c r="D5213" t="s">
        <v>130</v>
      </c>
      <c r="E5213">
        <v>2015</v>
      </c>
      <c r="F5213" t="s">
        <v>21</v>
      </c>
      <c r="S5213">
        <v>0.87605781703625918</v>
      </c>
    </row>
    <row r="5214" spans="4:19" x14ac:dyDescent="0.25">
      <c r="D5214" t="s">
        <v>130</v>
      </c>
      <c r="E5214">
        <v>2013</v>
      </c>
      <c r="F5214" t="s">
        <v>22</v>
      </c>
      <c r="G5214">
        <v>0.91029868805010561</v>
      </c>
      <c r="H5214">
        <v>0.90803071963591542</v>
      </c>
      <c r="I5214">
        <v>0.92749795063302665</v>
      </c>
      <c r="J5214">
        <v>0.93112769944398366</v>
      </c>
      <c r="K5214">
        <v>0.93918334667734182</v>
      </c>
      <c r="L5214">
        <v>0.93953569456954411</v>
      </c>
      <c r="M5214">
        <v>0.92611104562065305</v>
      </c>
      <c r="N5214">
        <v>0.93714554179670462</v>
      </c>
      <c r="O5214">
        <v>0.95807239146587408</v>
      </c>
      <c r="P5214">
        <v>0.9562591933111404</v>
      </c>
      <c r="Q5214">
        <v>0.89829660792562738</v>
      </c>
      <c r="R5214">
        <v>0.92778398329367195</v>
      </c>
    </row>
    <row r="5215" spans="4:19" x14ac:dyDescent="0.25">
      <c r="D5215" t="s">
        <v>130</v>
      </c>
      <c r="E5215">
        <v>2014</v>
      </c>
      <c r="F5215" t="s">
        <v>22</v>
      </c>
      <c r="G5215">
        <v>0.9584882399398994</v>
      </c>
      <c r="H5215">
        <v>0.92876576075827166</v>
      </c>
      <c r="I5215">
        <v>0.95403777556868019</v>
      </c>
      <c r="J5215">
        <v>0.94739821915693034</v>
      </c>
      <c r="K5215">
        <v>0.90055121064327148</v>
      </c>
      <c r="L5215">
        <v>0.92580938974910987</v>
      </c>
      <c r="M5215">
        <v>0.93454222604858883</v>
      </c>
      <c r="N5215">
        <v>0.90875766704170147</v>
      </c>
      <c r="O5215">
        <v>0.92227656736327257</v>
      </c>
      <c r="P5215">
        <v>0.94376574606645436</v>
      </c>
      <c r="Q5215">
        <v>0.91276929739092783</v>
      </c>
      <c r="R5215">
        <v>0.93911651408274555</v>
      </c>
    </row>
    <row r="5216" spans="4:19" x14ac:dyDescent="0.25">
      <c r="D5216" t="s">
        <v>130</v>
      </c>
      <c r="E5216">
        <v>2015</v>
      </c>
      <c r="F5216" t="s">
        <v>22</v>
      </c>
      <c r="G5216">
        <v>0.92273943285179238</v>
      </c>
      <c r="H5216">
        <v>0.88545814300021985</v>
      </c>
      <c r="I5216">
        <v>0.81564908120924717</v>
      </c>
      <c r="J5216">
        <v>0.84887361743656475</v>
      </c>
      <c r="K5216">
        <v>0.86036119519779242</v>
      </c>
      <c r="L5216">
        <v>0.90592047644070761</v>
      </c>
      <c r="M5216">
        <v>0.89158186864014799</v>
      </c>
    </row>
    <row r="5217" spans="4:19" x14ac:dyDescent="0.25">
      <c r="D5217" t="s">
        <v>130</v>
      </c>
      <c r="E5217">
        <v>2013</v>
      </c>
      <c r="F5217" t="s">
        <v>23</v>
      </c>
      <c r="S5217">
        <v>675931</v>
      </c>
    </row>
    <row r="5218" spans="4:19" x14ac:dyDescent="0.25">
      <c r="D5218" t="s">
        <v>130</v>
      </c>
      <c r="E5218">
        <v>2014</v>
      </c>
      <c r="F5218" t="s">
        <v>23</v>
      </c>
      <c r="S5218">
        <v>697199</v>
      </c>
    </row>
    <row r="5219" spans="4:19" x14ac:dyDescent="0.25">
      <c r="D5219" t="s">
        <v>130</v>
      </c>
      <c r="E5219">
        <v>2015</v>
      </c>
      <c r="F5219" t="s">
        <v>23</v>
      </c>
      <c r="S5219">
        <v>621307</v>
      </c>
    </row>
    <row r="5220" spans="4:19" x14ac:dyDescent="0.25">
      <c r="D5220" t="s">
        <v>130</v>
      </c>
      <c r="E5220">
        <v>2013</v>
      </c>
      <c r="F5220" t="s">
        <v>24</v>
      </c>
      <c r="G5220">
        <v>113931</v>
      </c>
      <c r="H5220">
        <v>125567</v>
      </c>
      <c r="I5220">
        <v>101636</v>
      </c>
      <c r="J5220">
        <v>86762</v>
      </c>
      <c r="K5220">
        <v>94647</v>
      </c>
      <c r="L5220">
        <v>73402</v>
      </c>
      <c r="M5220">
        <v>79986</v>
      </c>
      <c r="N5220">
        <v>73486</v>
      </c>
      <c r="O5220">
        <v>85190</v>
      </c>
      <c r="P5220">
        <v>87652</v>
      </c>
      <c r="Q5220">
        <v>82556</v>
      </c>
      <c r="R5220">
        <v>83521</v>
      </c>
    </row>
    <row r="5221" spans="4:19" x14ac:dyDescent="0.25">
      <c r="D5221" t="s">
        <v>130</v>
      </c>
      <c r="E5221">
        <v>2014</v>
      </c>
      <c r="F5221" t="s">
        <v>24</v>
      </c>
      <c r="G5221">
        <v>106855</v>
      </c>
      <c r="H5221">
        <v>129873</v>
      </c>
      <c r="I5221">
        <v>111859</v>
      </c>
      <c r="J5221">
        <v>89889</v>
      </c>
      <c r="K5221">
        <v>89647</v>
      </c>
      <c r="L5221">
        <v>82611</v>
      </c>
      <c r="M5221">
        <v>86465</v>
      </c>
      <c r="N5221">
        <v>78023</v>
      </c>
      <c r="O5221">
        <v>106403</v>
      </c>
      <c r="P5221">
        <v>88109</v>
      </c>
      <c r="Q5221">
        <v>78760</v>
      </c>
      <c r="R5221">
        <v>81418</v>
      </c>
    </row>
    <row r="5222" spans="4:19" x14ac:dyDescent="0.25">
      <c r="D5222" t="s">
        <v>130</v>
      </c>
      <c r="E5222">
        <v>2015</v>
      </c>
      <c r="F5222" t="s">
        <v>24</v>
      </c>
      <c r="G5222">
        <v>90713</v>
      </c>
      <c r="H5222">
        <v>91089</v>
      </c>
      <c r="I5222">
        <v>96991</v>
      </c>
      <c r="J5222">
        <v>89338</v>
      </c>
      <c r="K5222">
        <v>76953</v>
      </c>
      <c r="L5222">
        <v>87836</v>
      </c>
      <c r="M5222">
        <v>88387</v>
      </c>
    </row>
    <row r="5223" spans="4:19" x14ac:dyDescent="0.25">
      <c r="D5223" t="s">
        <v>130</v>
      </c>
      <c r="E5223">
        <v>2013</v>
      </c>
      <c r="F5223" t="s">
        <v>25</v>
      </c>
      <c r="S5223">
        <v>1230353</v>
      </c>
    </row>
    <row r="5224" spans="4:19" x14ac:dyDescent="0.25">
      <c r="D5224" t="s">
        <v>130</v>
      </c>
      <c r="E5224">
        <v>2014</v>
      </c>
      <c r="F5224" t="s">
        <v>25</v>
      </c>
      <c r="S5224">
        <v>1438681</v>
      </c>
    </row>
    <row r="5225" spans="4:19" x14ac:dyDescent="0.25">
      <c r="D5225" t="s">
        <v>130</v>
      </c>
      <c r="E5225">
        <v>2015</v>
      </c>
      <c r="F5225" t="s">
        <v>25</v>
      </c>
      <c r="S5225">
        <v>1749239</v>
      </c>
    </row>
    <row r="5226" spans="4:19" x14ac:dyDescent="0.25">
      <c r="D5226" t="s">
        <v>130</v>
      </c>
      <c r="E5226">
        <v>2013</v>
      </c>
      <c r="F5226" t="s">
        <v>26</v>
      </c>
      <c r="G5226">
        <v>217190</v>
      </c>
      <c r="H5226">
        <v>170961</v>
      </c>
      <c r="I5226">
        <v>170215</v>
      </c>
      <c r="J5226">
        <v>166575</v>
      </c>
      <c r="K5226">
        <v>150587</v>
      </c>
      <c r="L5226">
        <v>164593</v>
      </c>
      <c r="M5226">
        <v>190232</v>
      </c>
      <c r="N5226">
        <v>161961</v>
      </c>
      <c r="O5226">
        <v>180462</v>
      </c>
      <c r="P5226">
        <v>247100</v>
      </c>
      <c r="Q5226">
        <v>216449</v>
      </c>
      <c r="R5226">
        <v>233936</v>
      </c>
    </row>
    <row r="5227" spans="4:19" x14ac:dyDescent="0.25">
      <c r="D5227" t="s">
        <v>130</v>
      </c>
      <c r="E5227">
        <v>2014</v>
      </c>
      <c r="F5227" t="s">
        <v>26</v>
      </c>
      <c r="G5227">
        <v>229377</v>
      </c>
      <c r="H5227">
        <v>211338</v>
      </c>
      <c r="I5227">
        <v>208844</v>
      </c>
      <c r="J5227">
        <v>205393</v>
      </c>
      <c r="K5227">
        <v>179623</v>
      </c>
      <c r="L5227">
        <v>190466</v>
      </c>
      <c r="M5227">
        <v>213640</v>
      </c>
      <c r="N5227">
        <v>196266</v>
      </c>
      <c r="O5227">
        <v>222697</v>
      </c>
      <c r="P5227">
        <v>242656</v>
      </c>
      <c r="Q5227">
        <v>240387</v>
      </c>
      <c r="R5227">
        <v>268173</v>
      </c>
    </row>
    <row r="5228" spans="4:19" x14ac:dyDescent="0.25">
      <c r="D5228" t="s">
        <v>130</v>
      </c>
      <c r="E5228">
        <v>2015</v>
      </c>
      <c r="F5228" t="s">
        <v>26</v>
      </c>
      <c r="G5228">
        <v>287386</v>
      </c>
      <c r="H5228">
        <v>212633</v>
      </c>
      <c r="I5228">
        <v>268186</v>
      </c>
      <c r="J5228">
        <v>246997</v>
      </c>
      <c r="K5228">
        <v>213285</v>
      </c>
      <c r="L5228">
        <v>256442</v>
      </c>
      <c r="M5228">
        <v>264310</v>
      </c>
    </row>
    <row r="5229" spans="4:19" x14ac:dyDescent="0.25">
      <c r="D5229" t="s">
        <v>130</v>
      </c>
      <c r="E5229">
        <v>2013</v>
      </c>
      <c r="F5229" t="s">
        <v>27</v>
      </c>
      <c r="S5229">
        <v>2496048</v>
      </c>
    </row>
    <row r="5230" spans="4:19" x14ac:dyDescent="0.25">
      <c r="D5230" t="s">
        <v>130</v>
      </c>
      <c r="E5230">
        <v>2014</v>
      </c>
      <c r="F5230" t="s">
        <v>27</v>
      </c>
      <c r="S5230">
        <v>2751633</v>
      </c>
    </row>
    <row r="5231" spans="4:19" x14ac:dyDescent="0.25">
      <c r="D5231" t="s">
        <v>130</v>
      </c>
      <c r="E5231">
        <v>2015</v>
      </c>
      <c r="F5231" t="s">
        <v>27</v>
      </c>
      <c r="S5231">
        <v>3085874</v>
      </c>
    </row>
    <row r="5232" spans="4:19" x14ac:dyDescent="0.25">
      <c r="D5232" t="s">
        <v>130</v>
      </c>
      <c r="E5232">
        <v>2013</v>
      </c>
      <c r="F5232" t="s">
        <v>28</v>
      </c>
      <c r="G5232">
        <v>416792</v>
      </c>
      <c r="H5232">
        <v>350557</v>
      </c>
      <c r="I5232">
        <v>359517</v>
      </c>
      <c r="J5232">
        <v>341266</v>
      </c>
      <c r="K5232">
        <v>318303</v>
      </c>
      <c r="L5232">
        <v>328843</v>
      </c>
      <c r="M5232">
        <v>380770</v>
      </c>
      <c r="N5232">
        <v>311831</v>
      </c>
      <c r="O5232">
        <v>334454</v>
      </c>
      <c r="P5232">
        <v>443862</v>
      </c>
      <c r="Q5232">
        <v>400024</v>
      </c>
      <c r="R5232">
        <v>449899</v>
      </c>
    </row>
    <row r="5233" spans="4:19" x14ac:dyDescent="0.25">
      <c r="D5233" t="s">
        <v>130</v>
      </c>
      <c r="E5233">
        <v>2014</v>
      </c>
      <c r="F5233" t="s">
        <v>28</v>
      </c>
      <c r="G5233">
        <v>448575</v>
      </c>
      <c r="H5233">
        <v>418766</v>
      </c>
      <c r="I5233">
        <v>419442</v>
      </c>
      <c r="J5233">
        <v>410725</v>
      </c>
      <c r="K5233">
        <v>338606</v>
      </c>
      <c r="L5233">
        <v>342374</v>
      </c>
      <c r="M5233">
        <v>373145</v>
      </c>
      <c r="N5233">
        <v>336750</v>
      </c>
      <c r="O5233">
        <v>362908</v>
      </c>
      <c r="P5233">
        <v>407839</v>
      </c>
      <c r="Q5233">
        <v>398135</v>
      </c>
      <c r="R5233">
        <v>441271</v>
      </c>
    </row>
    <row r="5234" spans="4:19" x14ac:dyDescent="0.25">
      <c r="D5234" t="s">
        <v>130</v>
      </c>
      <c r="E5234">
        <v>2015</v>
      </c>
      <c r="F5234" t="s">
        <v>28</v>
      </c>
      <c r="G5234">
        <v>476513</v>
      </c>
      <c r="H5234">
        <v>362343</v>
      </c>
      <c r="I5234">
        <v>485028</v>
      </c>
      <c r="J5234">
        <v>498040</v>
      </c>
      <c r="K5234">
        <v>365529</v>
      </c>
      <c r="L5234">
        <v>448347</v>
      </c>
      <c r="M5234">
        <v>450074</v>
      </c>
    </row>
    <row r="5235" spans="4:19" x14ac:dyDescent="0.25">
      <c r="D5235" t="s">
        <v>130</v>
      </c>
      <c r="E5235">
        <v>2013</v>
      </c>
      <c r="F5235" t="s">
        <v>29</v>
      </c>
      <c r="S5235">
        <v>319043</v>
      </c>
    </row>
    <row r="5236" spans="4:19" x14ac:dyDescent="0.25">
      <c r="D5236" t="s">
        <v>130</v>
      </c>
      <c r="E5236">
        <v>2014</v>
      </c>
      <c r="F5236" t="s">
        <v>29</v>
      </c>
      <c r="S5236">
        <v>290156</v>
      </c>
    </row>
    <row r="5237" spans="4:19" x14ac:dyDescent="0.25">
      <c r="D5237" t="s">
        <v>130</v>
      </c>
      <c r="E5237">
        <v>2015</v>
      </c>
      <c r="F5237" t="s">
        <v>29</v>
      </c>
      <c r="S5237">
        <v>301986</v>
      </c>
    </row>
    <row r="5238" spans="4:19" x14ac:dyDescent="0.25">
      <c r="D5238" t="s">
        <v>130</v>
      </c>
      <c r="E5238">
        <v>2013</v>
      </c>
      <c r="F5238" t="s">
        <v>30</v>
      </c>
      <c r="G5238">
        <v>50946</v>
      </c>
      <c r="H5238">
        <v>50013</v>
      </c>
      <c r="I5238">
        <v>42709</v>
      </c>
      <c r="J5238">
        <v>45246</v>
      </c>
      <c r="K5238">
        <v>40920</v>
      </c>
      <c r="L5238">
        <v>45242</v>
      </c>
      <c r="M5238">
        <v>43967</v>
      </c>
      <c r="N5238">
        <v>36658</v>
      </c>
      <c r="O5238">
        <v>46817</v>
      </c>
      <c r="P5238">
        <v>48288</v>
      </c>
      <c r="Q5238">
        <v>45282</v>
      </c>
      <c r="R5238">
        <v>43969</v>
      </c>
    </row>
    <row r="5239" spans="4:19" x14ac:dyDescent="0.25">
      <c r="D5239" t="s">
        <v>130</v>
      </c>
      <c r="E5239">
        <v>2014</v>
      </c>
      <c r="F5239" t="s">
        <v>30</v>
      </c>
      <c r="G5239">
        <v>46393</v>
      </c>
      <c r="H5239">
        <v>41983</v>
      </c>
      <c r="I5239">
        <v>42354</v>
      </c>
      <c r="J5239">
        <v>41107</v>
      </c>
      <c r="K5239">
        <v>35713</v>
      </c>
      <c r="L5239">
        <v>39655</v>
      </c>
      <c r="M5239">
        <v>42951</v>
      </c>
      <c r="N5239">
        <v>35212</v>
      </c>
      <c r="O5239">
        <v>44880</v>
      </c>
      <c r="P5239">
        <v>41917</v>
      </c>
      <c r="Q5239">
        <v>39498</v>
      </c>
      <c r="R5239">
        <v>45759</v>
      </c>
    </row>
    <row r="5240" spans="4:19" x14ac:dyDescent="0.25">
      <c r="D5240" t="s">
        <v>130</v>
      </c>
      <c r="E5240">
        <v>2015</v>
      </c>
      <c r="F5240" t="s">
        <v>30</v>
      </c>
      <c r="G5240">
        <v>45102</v>
      </c>
      <c r="H5240">
        <v>44217</v>
      </c>
      <c r="I5240">
        <v>49694</v>
      </c>
      <c r="J5240">
        <v>42380</v>
      </c>
      <c r="K5240">
        <v>35453</v>
      </c>
      <c r="L5240">
        <v>47287</v>
      </c>
      <c r="M5240">
        <v>37853</v>
      </c>
    </row>
    <row r="5241" spans="4:19" x14ac:dyDescent="0.25">
      <c r="D5241" t="s">
        <v>130</v>
      </c>
      <c r="E5241">
        <v>2013</v>
      </c>
      <c r="F5241" t="s">
        <v>31</v>
      </c>
      <c r="S5241">
        <v>0.7526641032886493</v>
      </c>
    </row>
    <row r="5242" spans="4:19" x14ac:dyDescent="0.25">
      <c r="D5242" t="s">
        <v>130</v>
      </c>
      <c r="E5242">
        <v>2014</v>
      </c>
      <c r="F5242" t="s">
        <v>31</v>
      </c>
      <c r="S5242">
        <v>0.83293148727981536</v>
      </c>
    </row>
    <row r="5243" spans="4:19" x14ac:dyDescent="0.25">
      <c r="D5243" t="s">
        <v>130</v>
      </c>
      <c r="E5243">
        <v>2015</v>
      </c>
      <c r="F5243" t="s">
        <v>31</v>
      </c>
      <c r="S5243">
        <v>0.91528503622202873</v>
      </c>
    </row>
    <row r="5244" spans="4:19" x14ac:dyDescent="0.25">
      <c r="D5244" t="s">
        <v>130</v>
      </c>
      <c r="E5244">
        <v>2013</v>
      </c>
      <c r="F5244" t="s">
        <v>32</v>
      </c>
      <c r="G5244">
        <v>0.72013762716029883</v>
      </c>
      <c r="H5244">
        <v>0.63823297522438216</v>
      </c>
      <c r="I5244">
        <v>0.69051320398284077</v>
      </c>
      <c r="J5244">
        <v>0.8135243539798529</v>
      </c>
      <c r="K5244">
        <v>0.74682768603336613</v>
      </c>
      <c r="L5244">
        <v>0.8576605542083322</v>
      </c>
      <c r="M5244">
        <v>0.90214537544070217</v>
      </c>
      <c r="N5244">
        <v>0.86425985902076585</v>
      </c>
      <c r="O5244">
        <v>0.86634581523653009</v>
      </c>
      <c r="P5244">
        <v>0.89729840733810984</v>
      </c>
      <c r="Q5244">
        <v>0.89505305489607057</v>
      </c>
      <c r="R5244">
        <v>0.91089666072005848</v>
      </c>
    </row>
    <row r="5245" spans="4:19" x14ac:dyDescent="0.25">
      <c r="D5245" t="s">
        <v>130</v>
      </c>
      <c r="E5245">
        <v>2014</v>
      </c>
      <c r="F5245" t="s">
        <v>32</v>
      </c>
      <c r="G5245">
        <v>0.83303542183332557</v>
      </c>
      <c r="H5245">
        <v>0.67209504669946796</v>
      </c>
      <c r="I5245">
        <v>0.75635398135152287</v>
      </c>
      <c r="J5245">
        <v>0.92971331308613958</v>
      </c>
      <c r="K5245">
        <v>0.89757604827824689</v>
      </c>
      <c r="L5245">
        <v>0.91814649380833058</v>
      </c>
      <c r="M5245">
        <v>0.92439715491817498</v>
      </c>
      <c r="N5245">
        <v>0.92953359906694177</v>
      </c>
      <c r="O5245">
        <v>0.88912906590979579</v>
      </c>
      <c r="P5245">
        <v>0.93419514465037623</v>
      </c>
      <c r="Q5245">
        <v>0.92814880650076181</v>
      </c>
      <c r="R5245">
        <v>0.93631629369426905</v>
      </c>
    </row>
    <row r="5246" spans="4:19" x14ac:dyDescent="0.25">
      <c r="D5246" t="s">
        <v>130</v>
      </c>
      <c r="E5246">
        <v>2015</v>
      </c>
      <c r="F5246" t="s">
        <v>32</v>
      </c>
      <c r="G5246">
        <v>0.93197226417382295</v>
      </c>
      <c r="H5246">
        <v>0.92381077846940907</v>
      </c>
      <c r="I5246">
        <v>0.91823983668587805</v>
      </c>
      <c r="J5246">
        <v>0.89821800353712866</v>
      </c>
      <c r="K5246">
        <v>0.9097111223733968</v>
      </c>
      <c r="L5246">
        <v>0.91476160116580896</v>
      </c>
      <c r="M5246">
        <v>0.90875354973016398</v>
      </c>
    </row>
    <row r="5247" spans="4:19" x14ac:dyDescent="0.25">
      <c r="D5247" t="s">
        <v>130</v>
      </c>
      <c r="E5247">
        <v>2013</v>
      </c>
      <c r="F5247" t="s">
        <v>33</v>
      </c>
      <c r="S5247">
        <v>0.71295332235035691</v>
      </c>
    </row>
    <row r="5248" spans="4:19" x14ac:dyDescent="0.25">
      <c r="D5248" t="s">
        <v>130</v>
      </c>
      <c r="E5248">
        <v>2014</v>
      </c>
      <c r="F5248" t="s">
        <v>33</v>
      </c>
      <c r="S5248">
        <v>0.75638713014208225</v>
      </c>
    </row>
    <row r="5249" spans="4:19" x14ac:dyDescent="0.25">
      <c r="D5249" t="s">
        <v>130</v>
      </c>
      <c r="E5249">
        <v>2015</v>
      </c>
      <c r="F5249" t="s">
        <v>33</v>
      </c>
      <c r="S5249">
        <v>0.92710559724878272</v>
      </c>
    </row>
    <row r="5250" spans="4:19" x14ac:dyDescent="0.25">
      <c r="D5250" t="s">
        <v>130</v>
      </c>
      <c r="E5250">
        <v>2013</v>
      </c>
      <c r="F5250" t="s">
        <v>34</v>
      </c>
      <c r="G5250">
        <v>0.65686865706111031</v>
      </c>
      <c r="H5250">
        <v>0.56909700686835274</v>
      </c>
      <c r="I5250">
        <v>0.638945406428297</v>
      </c>
      <c r="J5250">
        <v>0.80870818816825996</v>
      </c>
      <c r="K5250">
        <v>0.71207575929559419</v>
      </c>
      <c r="L5250">
        <v>0.89013397287462781</v>
      </c>
      <c r="M5250">
        <v>0.86787594858293327</v>
      </c>
      <c r="N5250">
        <v>0.7848360655737705</v>
      </c>
      <c r="O5250">
        <v>0.7958119672777787</v>
      </c>
      <c r="P5250">
        <v>0.84493747200881941</v>
      </c>
      <c r="Q5250">
        <v>0.83933538552831655</v>
      </c>
      <c r="R5250">
        <v>0.86476958860299458</v>
      </c>
    </row>
    <row r="5251" spans="4:19" x14ac:dyDescent="0.25">
      <c r="D5251" t="s">
        <v>130</v>
      </c>
      <c r="E5251">
        <v>2014</v>
      </c>
      <c r="F5251" t="s">
        <v>34</v>
      </c>
      <c r="G5251">
        <v>0.75646678223835984</v>
      </c>
      <c r="H5251">
        <v>0.53793238140705701</v>
      </c>
      <c r="I5251">
        <v>0.65491655904175849</v>
      </c>
      <c r="J5251">
        <v>0.89450659542494571</v>
      </c>
      <c r="K5251">
        <v>0.84537141509910574</v>
      </c>
      <c r="L5251">
        <v>0.87821701936064833</v>
      </c>
      <c r="M5251">
        <v>0.90515863958000453</v>
      </c>
      <c r="N5251">
        <v>0.97610513739546001</v>
      </c>
      <c r="O5251">
        <v>0.85955572577556494</v>
      </c>
      <c r="P5251">
        <v>0.96174058356604142</v>
      </c>
      <c r="Q5251">
        <v>0.94081407613385748</v>
      </c>
      <c r="R5251">
        <v>0.96116011229745557</v>
      </c>
    </row>
    <row r="5252" spans="4:19" x14ac:dyDescent="0.25">
      <c r="D5252" t="s">
        <v>130</v>
      </c>
      <c r="E5252">
        <v>2015</v>
      </c>
      <c r="F5252" t="s">
        <v>34</v>
      </c>
      <c r="G5252">
        <v>0.95198660262426615</v>
      </c>
      <c r="H5252">
        <v>0.93826897847746693</v>
      </c>
      <c r="I5252">
        <v>0.93971880779743688</v>
      </c>
      <c r="J5252">
        <v>0.90346784127813651</v>
      </c>
      <c r="K5252">
        <v>0.91604405925799426</v>
      </c>
      <c r="L5252">
        <v>0.92688706069681925</v>
      </c>
      <c r="M5252">
        <v>0.90732696206197505</v>
      </c>
    </row>
    <row r="5253" spans="4:19" x14ac:dyDescent="0.25">
      <c r="D5253" t="s">
        <v>131</v>
      </c>
      <c r="E5253">
        <v>2013</v>
      </c>
      <c r="F5253" t="s">
        <v>17</v>
      </c>
      <c r="S5253">
        <v>0.93763345487993166</v>
      </c>
    </row>
    <row r="5254" spans="4:19" x14ac:dyDescent="0.25">
      <c r="D5254" t="s">
        <v>131</v>
      </c>
      <c r="E5254">
        <v>2014</v>
      </c>
      <c r="F5254" t="s">
        <v>17</v>
      </c>
      <c r="S5254">
        <v>0.91616909958663661</v>
      </c>
    </row>
    <row r="5255" spans="4:19" x14ac:dyDescent="0.25">
      <c r="D5255" t="s">
        <v>131</v>
      </c>
      <c r="E5255">
        <v>2015</v>
      </c>
      <c r="F5255" t="s">
        <v>17</v>
      </c>
      <c r="S5255">
        <v>0.93856787505606987</v>
      </c>
    </row>
    <row r="5256" spans="4:19" x14ac:dyDescent="0.25">
      <c r="D5256" t="s">
        <v>131</v>
      </c>
      <c r="E5256">
        <v>2013</v>
      </c>
      <c r="F5256" t="s">
        <v>18</v>
      </c>
      <c r="G5256">
        <v>0.96686688626235229</v>
      </c>
      <c r="H5256">
        <v>0.94409722222222225</v>
      </c>
      <c r="I5256">
        <v>0.90988519760235698</v>
      </c>
      <c r="J5256">
        <v>0.90422209369577788</v>
      </c>
      <c r="K5256">
        <v>0.94043151969981242</v>
      </c>
      <c r="L5256">
        <v>0.94658590308370039</v>
      </c>
      <c r="M5256">
        <v>0.95274869109947646</v>
      </c>
      <c r="N5256">
        <v>0.95403683938715789</v>
      </c>
      <c r="O5256">
        <v>0.96113194681213776</v>
      </c>
      <c r="P5256">
        <v>0.97452652563960573</v>
      </c>
      <c r="Q5256">
        <v>0.96197293367632253</v>
      </c>
      <c r="R5256">
        <v>0.94923359901900672</v>
      </c>
    </row>
    <row r="5257" spans="4:19" x14ac:dyDescent="0.25">
      <c r="D5257" t="s">
        <v>131</v>
      </c>
      <c r="E5257">
        <v>2014</v>
      </c>
      <c r="F5257" t="s">
        <v>18</v>
      </c>
      <c r="G5257">
        <v>0.95001637018443741</v>
      </c>
      <c r="H5257">
        <v>0.90684353331323486</v>
      </c>
      <c r="I5257">
        <v>0.90564034505640345</v>
      </c>
      <c r="J5257">
        <v>0.91560536593649178</v>
      </c>
      <c r="K5257">
        <v>0.90930681312156747</v>
      </c>
      <c r="L5257">
        <v>0.91624813356861678</v>
      </c>
      <c r="M5257">
        <v>0.8984004739336493</v>
      </c>
      <c r="N5257">
        <v>0.92003948667324775</v>
      </c>
      <c r="O5257">
        <v>0.91049695740365111</v>
      </c>
      <c r="P5257">
        <v>0.94748182063021813</v>
      </c>
      <c r="Q5257">
        <v>0.94164573792288375</v>
      </c>
      <c r="R5257">
        <v>0.96692307692307689</v>
      </c>
    </row>
    <row r="5258" spans="4:19" x14ac:dyDescent="0.25">
      <c r="D5258" t="s">
        <v>131</v>
      </c>
      <c r="E5258">
        <v>2015</v>
      </c>
      <c r="F5258" t="s">
        <v>18</v>
      </c>
      <c r="G5258">
        <v>0.95450774336283184</v>
      </c>
      <c r="H5258">
        <v>0.95149253731343286</v>
      </c>
      <c r="I5258">
        <v>0.94508237643534698</v>
      </c>
      <c r="J5258">
        <v>0.93388429752066116</v>
      </c>
      <c r="K5258">
        <v>0.93685233160621761</v>
      </c>
      <c r="L5258">
        <v>0.92995295347621532</v>
      </c>
      <c r="M5258">
        <v>0.91735892294471499</v>
      </c>
    </row>
    <row r="5259" spans="4:19" x14ac:dyDescent="0.25">
      <c r="D5259" t="s">
        <v>131</v>
      </c>
      <c r="E5259">
        <v>2013</v>
      </c>
      <c r="F5259" t="s">
        <v>19</v>
      </c>
      <c r="S5259">
        <v>0.52219482913310733</v>
      </c>
    </row>
    <row r="5260" spans="4:19" x14ac:dyDescent="0.25">
      <c r="D5260" t="s">
        <v>131</v>
      </c>
      <c r="E5260">
        <v>2014</v>
      </c>
      <c r="F5260" t="s">
        <v>19</v>
      </c>
      <c r="S5260">
        <v>0.74976871843273984</v>
      </c>
    </row>
    <row r="5261" spans="4:19" x14ac:dyDescent="0.25">
      <c r="D5261" t="s">
        <v>131</v>
      </c>
      <c r="E5261">
        <v>2015</v>
      </c>
      <c r="F5261" t="s">
        <v>19</v>
      </c>
      <c r="S5261">
        <v>0.87586434422335646</v>
      </c>
    </row>
    <row r="5262" spans="4:19" x14ac:dyDescent="0.25">
      <c r="D5262" t="s">
        <v>131</v>
      </c>
      <c r="E5262">
        <v>2013</v>
      </c>
      <c r="F5262" t="s">
        <v>20</v>
      </c>
      <c r="G5262">
        <v>0.62096905065492058</v>
      </c>
      <c r="H5262">
        <v>0.50948732519480855</v>
      </c>
      <c r="I5262">
        <v>0.4687862268222649</v>
      </c>
      <c r="J5262">
        <v>0.52670782172172848</v>
      </c>
      <c r="K5262">
        <v>0.43327048842278915</v>
      </c>
      <c r="L5262">
        <v>0.45412358544329562</v>
      </c>
      <c r="M5262">
        <v>0.64364743836111016</v>
      </c>
      <c r="N5262">
        <v>0.64879766078468459</v>
      </c>
      <c r="O5262">
        <v>0.61551493291799875</v>
      </c>
      <c r="P5262">
        <v>0.70042867715164747</v>
      </c>
      <c r="Q5262">
        <v>0.68085601302628518</v>
      </c>
      <c r="R5262">
        <v>0.67479323725387885</v>
      </c>
    </row>
    <row r="5263" spans="4:19" x14ac:dyDescent="0.25">
      <c r="D5263" t="s">
        <v>131</v>
      </c>
      <c r="E5263">
        <v>2014</v>
      </c>
      <c r="F5263" t="s">
        <v>20</v>
      </c>
      <c r="G5263">
        <v>0.68182644433902451</v>
      </c>
      <c r="H5263">
        <v>0.67001514830344167</v>
      </c>
      <c r="I5263">
        <v>0.64288070038677181</v>
      </c>
      <c r="J5263">
        <v>0.77421920329725291</v>
      </c>
      <c r="K5263">
        <v>0.78809086621915858</v>
      </c>
      <c r="L5263">
        <v>0.81537861583281723</v>
      </c>
      <c r="M5263">
        <v>0.8773503216229589</v>
      </c>
      <c r="N5263">
        <v>0.86242411396085716</v>
      </c>
      <c r="O5263">
        <v>0.8747037943341297</v>
      </c>
      <c r="P5263">
        <v>0.92016808587111343</v>
      </c>
      <c r="Q5263">
        <v>0.85722176194421429</v>
      </c>
      <c r="R5263">
        <v>0.92573736120121475</v>
      </c>
    </row>
    <row r="5264" spans="4:19" x14ac:dyDescent="0.25">
      <c r="D5264" t="s">
        <v>131</v>
      </c>
      <c r="E5264">
        <v>2015</v>
      </c>
      <c r="F5264" t="s">
        <v>20</v>
      </c>
      <c r="G5264">
        <v>0.89467631297765959</v>
      </c>
      <c r="H5264">
        <v>0.91084498490219246</v>
      </c>
      <c r="I5264">
        <v>0.87535803127918199</v>
      </c>
      <c r="J5264">
        <v>0.83692343866340968</v>
      </c>
      <c r="K5264">
        <v>0.85350117421277238</v>
      </c>
      <c r="L5264">
        <v>0.86020296631101534</v>
      </c>
      <c r="M5264">
        <v>0.8971746571882363</v>
      </c>
    </row>
    <row r="5265" spans="4:19" x14ac:dyDescent="0.25">
      <c r="D5265" t="s">
        <v>131</v>
      </c>
      <c r="E5265">
        <v>2013</v>
      </c>
      <c r="F5265" t="s">
        <v>21</v>
      </c>
      <c r="S5265">
        <v>0.93253129933954504</v>
      </c>
    </row>
    <row r="5266" spans="4:19" x14ac:dyDescent="0.25">
      <c r="D5266" t="s">
        <v>131</v>
      </c>
      <c r="E5266">
        <v>2014</v>
      </c>
      <c r="F5266" t="s">
        <v>21</v>
      </c>
      <c r="S5266">
        <v>0.94615171968946532</v>
      </c>
    </row>
    <row r="5267" spans="4:19" x14ac:dyDescent="0.25">
      <c r="D5267" t="s">
        <v>131</v>
      </c>
      <c r="E5267">
        <v>2015</v>
      </c>
      <c r="F5267" t="s">
        <v>21</v>
      </c>
      <c r="S5267">
        <v>0.97054703990846503</v>
      </c>
    </row>
    <row r="5268" spans="4:19" x14ac:dyDescent="0.25">
      <c r="D5268" t="s">
        <v>131</v>
      </c>
      <c r="E5268">
        <v>2013</v>
      </c>
      <c r="F5268" t="s">
        <v>22</v>
      </c>
      <c r="G5268">
        <v>0.93954262309070735</v>
      </c>
      <c r="H5268">
        <v>0.97051212613588489</v>
      </c>
      <c r="I5268">
        <v>0.80968289610602995</v>
      </c>
      <c r="J5268">
        <v>0.94513703124211379</v>
      </c>
      <c r="K5268">
        <v>0.94222296581339582</v>
      </c>
      <c r="L5268">
        <v>0.97038327526132406</v>
      </c>
      <c r="M5268">
        <v>0.9491807171693184</v>
      </c>
      <c r="N5268">
        <v>0.96338658920358267</v>
      </c>
      <c r="O5268">
        <v>0.99058210600140262</v>
      </c>
      <c r="P5268">
        <v>0.98744696671477938</v>
      </c>
      <c r="Q5268">
        <v>0.96778362853039734</v>
      </c>
      <c r="R5268">
        <v>0.94924566146332956</v>
      </c>
    </row>
    <row r="5269" spans="4:19" x14ac:dyDescent="0.25">
      <c r="D5269" t="s">
        <v>131</v>
      </c>
      <c r="E5269">
        <v>2014</v>
      </c>
      <c r="F5269" t="s">
        <v>22</v>
      </c>
      <c r="G5269">
        <v>0.97316616766467068</v>
      </c>
      <c r="H5269">
        <v>0.99041168191414497</v>
      </c>
      <c r="I5269">
        <v>0.9836173618303361</v>
      </c>
      <c r="J5269">
        <v>0.95084456956586161</v>
      </c>
      <c r="K5269">
        <v>0.92251571221377404</v>
      </c>
      <c r="L5269">
        <v>0.89303579803032673</v>
      </c>
      <c r="M5269">
        <v>0.91884352016231297</v>
      </c>
      <c r="N5269">
        <v>0.99260662631116858</v>
      </c>
      <c r="O5269">
        <v>0.99042694995354852</v>
      </c>
      <c r="P5269">
        <v>0.99229057383563823</v>
      </c>
      <c r="Q5269">
        <v>0.97506801659158826</v>
      </c>
      <c r="R5269">
        <v>0.99053212315358607</v>
      </c>
    </row>
    <row r="5270" spans="4:19" x14ac:dyDescent="0.25">
      <c r="D5270" t="s">
        <v>131</v>
      </c>
      <c r="E5270">
        <v>2015</v>
      </c>
      <c r="F5270" t="s">
        <v>22</v>
      </c>
      <c r="G5270">
        <v>0.88737940539476279</v>
      </c>
      <c r="H5270">
        <v>0.99333141085718402</v>
      </c>
      <c r="I5270">
        <v>0.98814202466458867</v>
      </c>
      <c r="J5270">
        <v>0.98683473389355747</v>
      </c>
      <c r="K5270">
        <v>0.9846763149128327</v>
      </c>
      <c r="L5270">
        <v>0.98526143790849674</v>
      </c>
      <c r="M5270">
        <v>0.9735227863455207</v>
      </c>
    </row>
    <row r="5271" spans="4:19" x14ac:dyDescent="0.25">
      <c r="D5271" t="s">
        <v>131</v>
      </c>
      <c r="E5271">
        <v>2013</v>
      </c>
      <c r="F5271" t="s">
        <v>23</v>
      </c>
      <c r="S5271">
        <v>568310</v>
      </c>
    </row>
    <row r="5272" spans="4:19" x14ac:dyDescent="0.25">
      <c r="D5272" t="s">
        <v>131</v>
      </c>
      <c r="E5272">
        <v>2014</v>
      </c>
      <c r="F5272" t="s">
        <v>23</v>
      </c>
      <c r="S5272">
        <v>551098</v>
      </c>
    </row>
    <row r="5273" spans="4:19" x14ac:dyDescent="0.25">
      <c r="D5273" t="s">
        <v>131</v>
      </c>
      <c r="E5273">
        <v>2015</v>
      </c>
      <c r="F5273" t="s">
        <v>23</v>
      </c>
      <c r="S5273">
        <v>557292</v>
      </c>
    </row>
    <row r="5274" spans="4:19" x14ac:dyDescent="0.25">
      <c r="D5274" t="s">
        <v>131</v>
      </c>
      <c r="E5274">
        <v>2013</v>
      </c>
      <c r="F5274" t="s">
        <v>24</v>
      </c>
      <c r="G5274">
        <v>100617</v>
      </c>
      <c r="H5274">
        <v>104405</v>
      </c>
      <c r="I5274">
        <v>70866</v>
      </c>
      <c r="J5274">
        <v>66228</v>
      </c>
      <c r="K5274">
        <v>77482</v>
      </c>
      <c r="L5274">
        <v>75373</v>
      </c>
      <c r="M5274">
        <v>73339</v>
      </c>
      <c r="N5274">
        <v>68993</v>
      </c>
      <c r="O5274">
        <v>90222</v>
      </c>
      <c r="P5274">
        <v>78280</v>
      </c>
      <c r="Q5274">
        <v>73693</v>
      </c>
      <c r="R5274">
        <v>63283</v>
      </c>
    </row>
    <row r="5275" spans="4:19" x14ac:dyDescent="0.25">
      <c r="D5275" t="s">
        <v>131</v>
      </c>
      <c r="E5275">
        <v>2014</v>
      </c>
      <c r="F5275" t="s">
        <v>24</v>
      </c>
      <c r="G5275">
        <v>82987</v>
      </c>
      <c r="H5275">
        <v>89874</v>
      </c>
      <c r="I5275">
        <v>83396</v>
      </c>
      <c r="J5275">
        <v>71069</v>
      </c>
      <c r="K5275">
        <v>81777</v>
      </c>
      <c r="L5275">
        <v>68244</v>
      </c>
      <c r="M5275">
        <v>73751</v>
      </c>
      <c r="N5275">
        <v>63680</v>
      </c>
      <c r="O5275">
        <v>88179</v>
      </c>
      <c r="P5275">
        <v>71483</v>
      </c>
      <c r="Q5275">
        <v>61000</v>
      </c>
      <c r="R5275">
        <v>62300</v>
      </c>
    </row>
    <row r="5276" spans="4:19" x14ac:dyDescent="0.25">
      <c r="D5276" t="s">
        <v>131</v>
      </c>
      <c r="E5276">
        <v>2015</v>
      </c>
      <c r="F5276" t="s">
        <v>24</v>
      </c>
      <c r="G5276">
        <v>69732</v>
      </c>
      <c r="H5276">
        <v>82835</v>
      </c>
      <c r="I5276">
        <v>74272</v>
      </c>
      <c r="J5276">
        <v>79718</v>
      </c>
      <c r="K5276">
        <v>75880</v>
      </c>
      <c r="L5276">
        <v>85904</v>
      </c>
      <c r="M5276">
        <v>88951</v>
      </c>
    </row>
    <row r="5277" spans="4:19" x14ac:dyDescent="0.25">
      <c r="D5277" t="s">
        <v>131</v>
      </c>
      <c r="E5277">
        <v>2013</v>
      </c>
      <c r="F5277" t="s">
        <v>25</v>
      </c>
      <c r="S5277">
        <v>852453</v>
      </c>
    </row>
    <row r="5278" spans="4:19" x14ac:dyDescent="0.25">
      <c r="D5278" t="s">
        <v>131</v>
      </c>
      <c r="E5278">
        <v>2014</v>
      </c>
      <c r="F5278" t="s">
        <v>25</v>
      </c>
      <c r="S5278">
        <v>1015322</v>
      </c>
    </row>
    <row r="5279" spans="4:19" x14ac:dyDescent="0.25">
      <c r="D5279" t="s">
        <v>131</v>
      </c>
      <c r="E5279">
        <v>2015</v>
      </c>
      <c r="F5279" t="s">
        <v>25</v>
      </c>
      <c r="S5279">
        <v>1170620</v>
      </c>
    </row>
    <row r="5280" spans="4:19" x14ac:dyDescent="0.25">
      <c r="D5280" t="s">
        <v>131</v>
      </c>
      <c r="E5280">
        <v>2013</v>
      </c>
      <c r="F5280" t="s">
        <v>26</v>
      </c>
      <c r="G5280">
        <v>147482</v>
      </c>
      <c r="H5280">
        <v>117880</v>
      </c>
      <c r="I5280">
        <v>113390</v>
      </c>
      <c r="J5280">
        <v>118333</v>
      </c>
      <c r="K5280">
        <v>110388</v>
      </c>
      <c r="L5280">
        <v>119485</v>
      </c>
      <c r="M5280">
        <v>125495</v>
      </c>
      <c r="N5280">
        <v>115751</v>
      </c>
      <c r="O5280">
        <v>140876</v>
      </c>
      <c r="P5280">
        <v>166351</v>
      </c>
      <c r="Q5280">
        <v>175844</v>
      </c>
      <c r="R5280">
        <v>154771</v>
      </c>
    </row>
    <row r="5281" spans="4:19" x14ac:dyDescent="0.25">
      <c r="D5281" t="s">
        <v>131</v>
      </c>
      <c r="E5281">
        <v>2014</v>
      </c>
      <c r="F5281" t="s">
        <v>26</v>
      </c>
      <c r="G5281">
        <v>167007</v>
      </c>
      <c r="H5281">
        <v>143835</v>
      </c>
      <c r="I5281">
        <v>142408</v>
      </c>
      <c r="J5281">
        <v>143006</v>
      </c>
      <c r="K5281">
        <v>133386</v>
      </c>
      <c r="L5281">
        <v>138703</v>
      </c>
      <c r="M5281">
        <v>146977</v>
      </c>
      <c r="N5281">
        <v>134080</v>
      </c>
      <c r="O5281">
        <v>155736</v>
      </c>
      <c r="P5281">
        <v>176915</v>
      </c>
      <c r="Q5281">
        <v>175689</v>
      </c>
      <c r="R5281">
        <v>172246</v>
      </c>
    </row>
    <row r="5282" spans="4:19" x14ac:dyDescent="0.25">
      <c r="D5282" t="s">
        <v>131</v>
      </c>
      <c r="E5282">
        <v>2015</v>
      </c>
      <c r="F5282" t="s">
        <v>26</v>
      </c>
      <c r="G5282">
        <v>176115</v>
      </c>
      <c r="H5282">
        <v>166619</v>
      </c>
      <c r="I5282">
        <v>163084</v>
      </c>
      <c r="J5282">
        <v>155217</v>
      </c>
      <c r="K5282">
        <v>158284</v>
      </c>
      <c r="L5282">
        <v>172373</v>
      </c>
      <c r="M5282">
        <v>178928</v>
      </c>
    </row>
    <row r="5283" spans="4:19" x14ac:dyDescent="0.25">
      <c r="D5283" t="s">
        <v>131</v>
      </c>
      <c r="E5283">
        <v>2013</v>
      </c>
      <c r="F5283" t="s">
        <v>27</v>
      </c>
      <c r="S5283">
        <v>1607476</v>
      </c>
    </row>
    <row r="5284" spans="4:19" x14ac:dyDescent="0.25">
      <c r="D5284" t="s">
        <v>131</v>
      </c>
      <c r="E5284">
        <v>2014</v>
      </c>
      <c r="F5284" t="s">
        <v>27</v>
      </c>
      <c r="S5284">
        <v>1821290</v>
      </c>
    </row>
    <row r="5285" spans="4:19" x14ac:dyDescent="0.25">
      <c r="D5285" t="s">
        <v>131</v>
      </c>
      <c r="E5285">
        <v>2015</v>
      </c>
      <c r="F5285" t="s">
        <v>27</v>
      </c>
      <c r="S5285">
        <v>2049742</v>
      </c>
    </row>
    <row r="5286" spans="4:19" x14ac:dyDescent="0.25">
      <c r="D5286" t="s">
        <v>131</v>
      </c>
      <c r="E5286">
        <v>2013</v>
      </c>
      <c r="F5286" t="s">
        <v>28</v>
      </c>
      <c r="G5286">
        <v>272263</v>
      </c>
      <c r="H5286">
        <v>227440</v>
      </c>
      <c r="I5286">
        <v>215506</v>
      </c>
      <c r="J5286">
        <v>233847</v>
      </c>
      <c r="K5286">
        <v>207466</v>
      </c>
      <c r="L5286">
        <v>218743</v>
      </c>
      <c r="M5286">
        <v>232211</v>
      </c>
      <c r="N5286">
        <v>211787</v>
      </c>
      <c r="O5286">
        <v>256402</v>
      </c>
      <c r="P5286">
        <v>304943</v>
      </c>
      <c r="Q5286">
        <v>299955</v>
      </c>
      <c r="R5286">
        <v>270445</v>
      </c>
    </row>
    <row r="5287" spans="4:19" x14ac:dyDescent="0.25">
      <c r="D5287" t="s">
        <v>131</v>
      </c>
      <c r="E5287">
        <v>2014</v>
      </c>
      <c r="F5287" t="s">
        <v>28</v>
      </c>
      <c r="G5287">
        <v>304417</v>
      </c>
      <c r="H5287">
        <v>259714</v>
      </c>
      <c r="I5287">
        <v>258424</v>
      </c>
      <c r="J5287">
        <v>247061</v>
      </c>
      <c r="K5287">
        <v>235595</v>
      </c>
      <c r="L5287">
        <v>245846</v>
      </c>
      <c r="M5287">
        <v>270233</v>
      </c>
      <c r="N5287">
        <v>227827</v>
      </c>
      <c r="O5287">
        <v>270758</v>
      </c>
      <c r="P5287">
        <v>308028</v>
      </c>
      <c r="Q5287">
        <v>295502</v>
      </c>
      <c r="R5287">
        <v>300564</v>
      </c>
    </row>
    <row r="5288" spans="4:19" x14ac:dyDescent="0.25">
      <c r="D5288" t="s">
        <v>131</v>
      </c>
      <c r="E5288">
        <v>2015</v>
      </c>
      <c r="F5288" t="s">
        <v>28</v>
      </c>
      <c r="G5288">
        <v>295631</v>
      </c>
      <c r="H5288">
        <v>300402</v>
      </c>
      <c r="I5288">
        <v>296263</v>
      </c>
      <c r="J5288">
        <v>269166</v>
      </c>
      <c r="K5288">
        <v>281242</v>
      </c>
      <c r="L5288">
        <v>301012</v>
      </c>
      <c r="M5288">
        <v>306026</v>
      </c>
    </row>
    <row r="5289" spans="4:19" x14ac:dyDescent="0.25">
      <c r="D5289" t="s">
        <v>131</v>
      </c>
      <c r="E5289">
        <v>2013</v>
      </c>
      <c r="F5289" t="s">
        <v>29</v>
      </c>
      <c r="S5289">
        <v>60882</v>
      </c>
    </row>
    <row r="5290" spans="4:19" x14ac:dyDescent="0.25">
      <c r="D5290" t="s">
        <v>131</v>
      </c>
      <c r="E5290">
        <v>2014</v>
      </c>
      <c r="F5290" t="s">
        <v>29</v>
      </c>
      <c r="S5290">
        <v>50077</v>
      </c>
    </row>
    <row r="5291" spans="4:19" x14ac:dyDescent="0.25">
      <c r="D5291" t="s">
        <v>131</v>
      </c>
      <c r="E5291">
        <v>2015</v>
      </c>
      <c r="F5291" t="s">
        <v>29</v>
      </c>
      <c r="S5291">
        <v>49046</v>
      </c>
    </row>
    <row r="5292" spans="4:19" x14ac:dyDescent="0.25">
      <c r="D5292" t="s">
        <v>131</v>
      </c>
      <c r="E5292">
        <v>2013</v>
      </c>
      <c r="F5292" t="s">
        <v>30</v>
      </c>
      <c r="G5292">
        <v>10322</v>
      </c>
      <c r="H5292">
        <v>8640</v>
      </c>
      <c r="I5292">
        <v>9843</v>
      </c>
      <c r="J5292">
        <v>8645</v>
      </c>
      <c r="K5292">
        <v>8528</v>
      </c>
      <c r="L5292">
        <v>7264</v>
      </c>
      <c r="M5292">
        <v>7640</v>
      </c>
      <c r="N5292">
        <v>5809</v>
      </c>
      <c r="O5292">
        <v>8799</v>
      </c>
      <c r="P5292">
        <v>9029</v>
      </c>
      <c r="Q5292">
        <v>8941</v>
      </c>
      <c r="R5292">
        <v>8155</v>
      </c>
    </row>
    <row r="5293" spans="4:19" x14ac:dyDescent="0.25">
      <c r="D5293" t="s">
        <v>131</v>
      </c>
      <c r="E5293">
        <v>2014</v>
      </c>
      <c r="F5293" t="s">
        <v>30</v>
      </c>
      <c r="G5293">
        <v>9163</v>
      </c>
      <c r="H5293">
        <v>6634</v>
      </c>
      <c r="I5293">
        <v>7535</v>
      </c>
      <c r="J5293">
        <v>5889</v>
      </c>
      <c r="K5293">
        <v>6737</v>
      </c>
      <c r="L5293">
        <v>7367</v>
      </c>
      <c r="M5293">
        <v>6752</v>
      </c>
      <c r="N5293">
        <v>6078</v>
      </c>
      <c r="O5293">
        <v>7888</v>
      </c>
      <c r="P5293">
        <v>7426</v>
      </c>
      <c r="Q5293">
        <v>6769</v>
      </c>
      <c r="R5293">
        <v>6500</v>
      </c>
    </row>
    <row r="5294" spans="4:19" x14ac:dyDescent="0.25">
      <c r="D5294" t="s">
        <v>131</v>
      </c>
      <c r="E5294">
        <v>2015</v>
      </c>
      <c r="F5294" t="s">
        <v>30</v>
      </c>
      <c r="G5294">
        <v>7232</v>
      </c>
      <c r="H5294">
        <v>6700</v>
      </c>
      <c r="I5294">
        <v>8012</v>
      </c>
      <c r="J5294">
        <v>6292</v>
      </c>
      <c r="K5294">
        <v>6176</v>
      </c>
      <c r="L5294">
        <v>7652</v>
      </c>
      <c r="M5294">
        <v>6982</v>
      </c>
    </row>
    <row r="5295" spans="4:19" x14ac:dyDescent="0.25">
      <c r="D5295" t="s">
        <v>131</v>
      </c>
      <c r="E5295">
        <v>2013</v>
      </c>
      <c r="F5295" t="s">
        <v>31</v>
      </c>
      <c r="S5295">
        <v>0.71837377487638787</v>
      </c>
    </row>
    <row r="5296" spans="4:19" x14ac:dyDescent="0.25">
      <c r="D5296" t="s">
        <v>131</v>
      </c>
      <c r="E5296">
        <v>2014</v>
      </c>
      <c r="F5296" t="s">
        <v>31</v>
      </c>
      <c r="S5296">
        <v>0.87353791884564991</v>
      </c>
    </row>
    <row r="5297" spans="4:19" x14ac:dyDescent="0.25">
      <c r="D5297" t="s">
        <v>131</v>
      </c>
      <c r="E5297">
        <v>2015</v>
      </c>
      <c r="F5297" t="s">
        <v>31</v>
      </c>
      <c r="S5297">
        <v>0.89444671734028125</v>
      </c>
    </row>
    <row r="5298" spans="4:19" x14ac:dyDescent="0.25">
      <c r="D5298" t="s">
        <v>131</v>
      </c>
      <c r="E5298">
        <v>2013</v>
      </c>
      <c r="F5298" t="s">
        <v>32</v>
      </c>
      <c r="G5298">
        <v>0.62873073138734015</v>
      </c>
      <c r="H5298">
        <v>0.6170585699918586</v>
      </c>
      <c r="I5298">
        <v>0.79507803460051363</v>
      </c>
      <c r="J5298">
        <v>0.84415956997040531</v>
      </c>
      <c r="K5298">
        <v>0.68621099093983118</v>
      </c>
      <c r="L5298">
        <v>0.70703036896501403</v>
      </c>
      <c r="M5298">
        <v>0.84352118245408314</v>
      </c>
      <c r="N5298">
        <v>0.82079341382459092</v>
      </c>
      <c r="O5298">
        <v>0.77059918866795241</v>
      </c>
      <c r="P5298">
        <v>0.9232243229432805</v>
      </c>
      <c r="Q5298">
        <v>0.91852686143867124</v>
      </c>
      <c r="R5298">
        <v>0.96085836638591726</v>
      </c>
    </row>
    <row r="5299" spans="4:19" x14ac:dyDescent="0.25">
      <c r="D5299" t="s">
        <v>131</v>
      </c>
      <c r="E5299">
        <v>2014</v>
      </c>
      <c r="F5299" t="s">
        <v>32</v>
      </c>
      <c r="G5299">
        <v>0.90863629243134469</v>
      </c>
      <c r="H5299">
        <v>0.81240403231190328</v>
      </c>
      <c r="I5299">
        <v>0.86548515516331714</v>
      </c>
      <c r="J5299">
        <v>0.91986660850722535</v>
      </c>
      <c r="K5299">
        <v>0.81480122772906804</v>
      </c>
      <c r="L5299">
        <v>0.90128069866948013</v>
      </c>
      <c r="M5299">
        <v>0.91246220390232002</v>
      </c>
      <c r="N5299">
        <v>0.89316896984924621</v>
      </c>
      <c r="O5299">
        <v>0.85320767983306678</v>
      </c>
      <c r="P5299">
        <v>0.90368339325434022</v>
      </c>
      <c r="Q5299">
        <v>0.90547540983606556</v>
      </c>
      <c r="R5299">
        <v>0.9</v>
      </c>
    </row>
    <row r="5300" spans="4:19" x14ac:dyDescent="0.25">
      <c r="D5300" t="s">
        <v>131</v>
      </c>
      <c r="E5300">
        <v>2015</v>
      </c>
      <c r="F5300" t="s">
        <v>32</v>
      </c>
      <c r="G5300">
        <v>0.88117363620719324</v>
      </c>
      <c r="H5300">
        <v>0.88050944649001028</v>
      </c>
      <c r="I5300">
        <v>0.88695605342524775</v>
      </c>
      <c r="J5300">
        <v>0.88806793948669061</v>
      </c>
      <c r="K5300">
        <v>0.90892198207696362</v>
      </c>
      <c r="L5300">
        <v>0.90320590426522629</v>
      </c>
      <c r="M5300">
        <v>0.90899483985565088</v>
      </c>
    </row>
    <row r="5301" spans="4:19" x14ac:dyDescent="0.25">
      <c r="D5301" t="s">
        <v>131</v>
      </c>
      <c r="E5301">
        <v>2013</v>
      </c>
      <c r="F5301" t="s">
        <v>33</v>
      </c>
      <c r="S5301">
        <v>0.67199117339503178</v>
      </c>
    </row>
    <row r="5302" spans="4:19" x14ac:dyDescent="0.25">
      <c r="D5302" t="s">
        <v>131</v>
      </c>
      <c r="E5302">
        <v>2014</v>
      </c>
      <c r="F5302" t="s">
        <v>33</v>
      </c>
      <c r="S5302">
        <v>0.80939284775405385</v>
      </c>
    </row>
    <row r="5303" spans="4:19" x14ac:dyDescent="0.25">
      <c r="D5303" t="s">
        <v>131</v>
      </c>
      <c r="E5303">
        <v>2015</v>
      </c>
      <c r="F5303" t="s">
        <v>33</v>
      </c>
      <c r="S5303">
        <v>0.84976188145569376</v>
      </c>
    </row>
    <row r="5304" spans="4:19" x14ac:dyDescent="0.25">
      <c r="D5304" t="s">
        <v>131</v>
      </c>
      <c r="E5304">
        <v>2013</v>
      </c>
      <c r="F5304" t="s">
        <v>34</v>
      </c>
      <c r="G5304">
        <v>0.53690589071945005</v>
      </c>
      <c r="H5304">
        <v>0.49622861347887409</v>
      </c>
      <c r="I5304">
        <v>0.80146817135970194</v>
      </c>
      <c r="J5304">
        <v>0.87902594166093084</v>
      </c>
      <c r="K5304">
        <v>0.65881135305123206</v>
      </c>
      <c r="L5304">
        <v>0.70431464009328948</v>
      </c>
      <c r="M5304">
        <v>0.78152581047918368</v>
      </c>
      <c r="N5304">
        <v>0.72273053462504488</v>
      </c>
      <c r="O5304">
        <v>0.65491771845874247</v>
      </c>
      <c r="P5304">
        <v>0.88107252399327196</v>
      </c>
      <c r="Q5304">
        <v>0.86784063394232891</v>
      </c>
      <c r="R5304">
        <v>0.93736091442443858</v>
      </c>
    </row>
    <row r="5305" spans="4:19" x14ac:dyDescent="0.25">
      <c r="D5305" t="s">
        <v>131</v>
      </c>
      <c r="E5305">
        <v>2014</v>
      </c>
      <c r="F5305" t="s">
        <v>34</v>
      </c>
      <c r="G5305">
        <v>0.85940513276961872</v>
      </c>
      <c r="H5305">
        <v>0.71575966012542991</v>
      </c>
      <c r="I5305">
        <v>0.78681920109459924</v>
      </c>
      <c r="J5305">
        <v>0.8786289806880675</v>
      </c>
      <c r="K5305">
        <v>0.7058709289001962</v>
      </c>
      <c r="L5305">
        <v>0.84885129677824644</v>
      </c>
      <c r="M5305">
        <v>0.92646191777884979</v>
      </c>
      <c r="N5305">
        <v>0.93259643869652475</v>
      </c>
      <c r="O5305">
        <v>0.80239157344045586</v>
      </c>
      <c r="P5305">
        <v>0.91564915425114823</v>
      </c>
      <c r="Q5305">
        <v>0.91117343080413415</v>
      </c>
      <c r="R5305">
        <v>0.90437206572769957</v>
      </c>
    </row>
    <row r="5306" spans="4:19" x14ac:dyDescent="0.25">
      <c r="D5306" t="s">
        <v>131</v>
      </c>
      <c r="E5306">
        <v>2015</v>
      </c>
      <c r="F5306" t="s">
        <v>34</v>
      </c>
      <c r="G5306">
        <v>0.87442821307363139</v>
      </c>
      <c r="H5306">
        <v>0.81579960404751428</v>
      </c>
      <c r="I5306">
        <v>0.86836518046709132</v>
      </c>
      <c r="J5306">
        <v>0.83042744656917888</v>
      </c>
      <c r="K5306">
        <v>0.85004375784787489</v>
      </c>
      <c r="L5306">
        <v>0.85701746420896519</v>
      </c>
      <c r="M5306">
        <v>0.84675554346347437</v>
      </c>
    </row>
    <row r="5307" spans="4:19" x14ac:dyDescent="0.25">
      <c r="D5307" t="s">
        <v>132</v>
      </c>
      <c r="E5307">
        <v>2013</v>
      </c>
      <c r="F5307" t="s">
        <v>17</v>
      </c>
      <c r="S5307">
        <v>0.83578195296211855</v>
      </c>
    </row>
    <row r="5308" spans="4:19" x14ac:dyDescent="0.25">
      <c r="D5308" t="s">
        <v>132</v>
      </c>
      <c r="E5308">
        <v>2014</v>
      </c>
      <c r="F5308" t="s">
        <v>17</v>
      </c>
      <c r="S5308">
        <v>0.80571494147349099</v>
      </c>
    </row>
    <row r="5309" spans="4:19" x14ac:dyDescent="0.25">
      <c r="D5309" t="s">
        <v>132</v>
      </c>
      <c r="E5309">
        <v>2015</v>
      </c>
      <c r="F5309" t="s">
        <v>17</v>
      </c>
      <c r="S5309">
        <v>0.78753235711628822</v>
      </c>
    </row>
    <row r="5310" spans="4:19" x14ac:dyDescent="0.25">
      <c r="D5310" t="s">
        <v>132</v>
      </c>
      <c r="E5310">
        <v>2013</v>
      </c>
      <c r="F5310" t="s">
        <v>18</v>
      </c>
      <c r="G5310">
        <v>0.83606316021936766</v>
      </c>
      <c r="H5310">
        <v>0.78406279327702411</v>
      </c>
      <c r="I5310">
        <v>0.81743906313830517</v>
      </c>
      <c r="J5310">
        <v>0.83633677991137367</v>
      </c>
      <c r="K5310">
        <v>0.84305714712769664</v>
      </c>
      <c r="L5310">
        <v>0.84400434074877917</v>
      </c>
      <c r="M5310">
        <v>0.88547464137336362</v>
      </c>
      <c r="N5310">
        <v>0.87078039927404716</v>
      </c>
      <c r="O5310">
        <v>0.85426982555039233</v>
      </c>
      <c r="P5310">
        <v>0.87395207604462344</v>
      </c>
      <c r="Q5310">
        <v>0.8120957309184994</v>
      </c>
      <c r="R5310">
        <v>0.82462937339395137</v>
      </c>
    </row>
    <row r="5311" spans="4:19" x14ac:dyDescent="0.25">
      <c r="D5311" t="s">
        <v>132</v>
      </c>
      <c r="E5311">
        <v>2014</v>
      </c>
      <c r="F5311" t="s">
        <v>18</v>
      </c>
      <c r="G5311">
        <v>0.80157141798235865</v>
      </c>
      <c r="H5311">
        <v>0.78037383177570097</v>
      </c>
      <c r="I5311">
        <v>0.81156488549618322</v>
      </c>
      <c r="J5311">
        <v>0.77062356855797065</v>
      </c>
      <c r="K5311">
        <v>0.79036099565684392</v>
      </c>
      <c r="L5311">
        <v>0.78793517113058809</v>
      </c>
      <c r="M5311">
        <v>0.8929945461463662</v>
      </c>
      <c r="N5311">
        <v>0.89109975799946217</v>
      </c>
      <c r="O5311">
        <v>0.83872155534280879</v>
      </c>
      <c r="P5311">
        <v>0.89046436078731128</v>
      </c>
      <c r="Q5311">
        <v>0.83981961668545657</v>
      </c>
      <c r="R5311">
        <v>0.82970935552747394</v>
      </c>
    </row>
    <row r="5312" spans="4:19" x14ac:dyDescent="0.25">
      <c r="D5312" t="s">
        <v>132</v>
      </c>
      <c r="E5312">
        <v>2015</v>
      </c>
      <c r="F5312" t="s">
        <v>18</v>
      </c>
      <c r="G5312">
        <v>0.79859222524396101</v>
      </c>
      <c r="H5312">
        <v>0.79690884852524579</v>
      </c>
      <c r="I5312">
        <v>0.74230153498446183</v>
      </c>
      <c r="J5312">
        <v>0.73332649818014051</v>
      </c>
      <c r="K5312">
        <v>0.74876945589996013</v>
      </c>
      <c r="L5312">
        <v>0.79738043262552094</v>
      </c>
      <c r="M5312">
        <v>0.9524051060951898</v>
      </c>
    </row>
    <row r="5313" spans="4:19" x14ac:dyDescent="0.25">
      <c r="D5313" t="s">
        <v>132</v>
      </c>
      <c r="E5313">
        <v>2013</v>
      </c>
      <c r="F5313" t="s">
        <v>19</v>
      </c>
      <c r="S5313">
        <v>0.51962193556988823</v>
      </c>
    </row>
    <row r="5314" spans="4:19" x14ac:dyDescent="0.25">
      <c r="D5314" t="s">
        <v>132</v>
      </c>
      <c r="E5314">
        <v>2014</v>
      </c>
      <c r="F5314" t="s">
        <v>19</v>
      </c>
      <c r="S5314">
        <v>0.65823298026539667</v>
      </c>
    </row>
    <row r="5315" spans="4:19" x14ac:dyDescent="0.25">
      <c r="D5315" t="s">
        <v>132</v>
      </c>
      <c r="E5315">
        <v>2015</v>
      </c>
      <c r="F5315" t="s">
        <v>19</v>
      </c>
      <c r="S5315">
        <v>0.71941933716789919</v>
      </c>
    </row>
    <row r="5316" spans="4:19" x14ac:dyDescent="0.25">
      <c r="D5316" t="s">
        <v>132</v>
      </c>
      <c r="E5316">
        <v>2013</v>
      </c>
      <c r="F5316" t="s">
        <v>20</v>
      </c>
      <c r="G5316">
        <v>0.56121436037682515</v>
      </c>
      <c r="H5316">
        <v>0.55948383084577114</v>
      </c>
      <c r="I5316">
        <v>0.539196098481869</v>
      </c>
      <c r="J5316">
        <v>0.51461373060973736</v>
      </c>
      <c r="K5316">
        <v>0.54080300379741431</v>
      </c>
      <c r="L5316">
        <v>0.41980699873281996</v>
      </c>
      <c r="M5316">
        <v>0.51688483844241917</v>
      </c>
      <c r="N5316">
        <v>0.59307262569832397</v>
      </c>
      <c r="O5316">
        <v>0.58246477553315457</v>
      </c>
      <c r="P5316">
        <v>0.58009476061924958</v>
      </c>
      <c r="Q5316">
        <v>0.84712658422699982</v>
      </c>
      <c r="R5316">
        <v>0.72600656576534239</v>
      </c>
    </row>
    <row r="5317" spans="4:19" x14ac:dyDescent="0.25">
      <c r="D5317" t="s">
        <v>132</v>
      </c>
      <c r="E5317">
        <v>2014</v>
      </c>
      <c r="F5317" t="s">
        <v>20</v>
      </c>
      <c r="G5317">
        <v>0.64244123127926556</v>
      </c>
      <c r="H5317">
        <v>0.61629611243100124</v>
      </c>
      <c r="I5317">
        <v>0.61315316317262603</v>
      </c>
      <c r="J5317">
        <v>0.68362908780791809</v>
      </c>
      <c r="K5317">
        <v>0.67817423683868128</v>
      </c>
      <c r="L5317">
        <v>0.70106649571653357</v>
      </c>
      <c r="M5317">
        <v>0.67654909378247041</v>
      </c>
      <c r="N5317">
        <v>0.75925120078820973</v>
      </c>
      <c r="O5317">
        <v>0.65568843528896126</v>
      </c>
      <c r="P5317">
        <v>0.76101220805690162</v>
      </c>
      <c r="Q5317">
        <v>0.63668492666548859</v>
      </c>
      <c r="R5317">
        <v>0.6816756159983941</v>
      </c>
    </row>
    <row r="5318" spans="4:19" x14ac:dyDescent="0.25">
      <c r="D5318" t="s">
        <v>132</v>
      </c>
      <c r="E5318">
        <v>2015</v>
      </c>
      <c r="F5318" t="s">
        <v>20</v>
      </c>
      <c r="G5318">
        <v>0.69093682709094018</v>
      </c>
      <c r="H5318">
        <v>0.73452109481698458</v>
      </c>
      <c r="I5318">
        <v>0.64577195679091415</v>
      </c>
      <c r="J5318">
        <v>0.67811294053289095</v>
      </c>
      <c r="K5318">
        <v>0.66004739822347114</v>
      </c>
      <c r="L5318">
        <v>0.74446337308347532</v>
      </c>
      <c r="M5318">
        <v>0.87594945069461261</v>
      </c>
    </row>
    <row r="5319" spans="4:19" x14ac:dyDescent="0.25">
      <c r="D5319" t="s">
        <v>132</v>
      </c>
      <c r="E5319">
        <v>2013</v>
      </c>
      <c r="F5319" t="s">
        <v>21</v>
      </c>
      <c r="S5319">
        <v>0.94546863967089312</v>
      </c>
    </row>
    <row r="5320" spans="4:19" x14ac:dyDescent="0.25">
      <c r="D5320" t="s">
        <v>132</v>
      </c>
      <c r="E5320">
        <v>2014</v>
      </c>
      <c r="F5320" t="s">
        <v>21</v>
      </c>
      <c r="S5320">
        <v>0.92415910045558824</v>
      </c>
    </row>
    <row r="5321" spans="4:19" x14ac:dyDescent="0.25">
      <c r="D5321" t="s">
        <v>132</v>
      </c>
      <c r="E5321">
        <v>2015</v>
      </c>
      <c r="F5321" t="s">
        <v>21</v>
      </c>
      <c r="S5321">
        <v>0.90436415635107181</v>
      </c>
    </row>
    <row r="5322" spans="4:19" x14ac:dyDescent="0.25">
      <c r="D5322" t="s">
        <v>132</v>
      </c>
      <c r="E5322">
        <v>2013</v>
      </c>
      <c r="F5322" t="s">
        <v>22</v>
      </c>
      <c r="G5322">
        <v>0.94574673237625884</v>
      </c>
      <c r="H5322">
        <v>0.96625362509886636</v>
      </c>
      <c r="I5322">
        <v>0.93716935148308866</v>
      </c>
      <c r="J5322">
        <v>0.90538502961766287</v>
      </c>
      <c r="K5322">
        <v>0.91138450009367389</v>
      </c>
      <c r="L5322">
        <v>0.96805336141829035</v>
      </c>
      <c r="M5322">
        <v>0.97845601436265706</v>
      </c>
      <c r="N5322">
        <v>0.98341909662664384</v>
      </c>
      <c r="O5322">
        <v>0.98173366147115126</v>
      </c>
      <c r="P5322">
        <v>0.96412727185994374</v>
      </c>
      <c r="Q5322">
        <v>0.95513946848231934</v>
      </c>
      <c r="R5322">
        <v>0.97410326524046964</v>
      </c>
    </row>
    <row r="5323" spans="4:19" x14ac:dyDescent="0.25">
      <c r="D5323" t="s">
        <v>132</v>
      </c>
      <c r="E5323">
        <v>2014</v>
      </c>
      <c r="F5323" t="s">
        <v>22</v>
      </c>
      <c r="G5323">
        <v>0.97872754899287018</v>
      </c>
      <c r="H5323">
        <v>0.92296381872604105</v>
      </c>
      <c r="I5323">
        <v>0.72659658865529553</v>
      </c>
      <c r="J5323">
        <v>0.88593267062066661</v>
      </c>
      <c r="K5323">
        <v>0.9663900801790043</v>
      </c>
      <c r="L5323">
        <v>0.98219821096448501</v>
      </c>
      <c r="M5323">
        <v>0.98378328993650355</v>
      </c>
      <c r="N5323">
        <v>0.96564554768336819</v>
      </c>
      <c r="O5323">
        <v>0.9706981140568034</v>
      </c>
      <c r="P5323">
        <v>0.98222977316557991</v>
      </c>
      <c r="Q5323">
        <v>0.94335005505934177</v>
      </c>
      <c r="R5323">
        <v>0.93152772316162014</v>
      </c>
    </row>
    <row r="5324" spans="4:19" x14ac:dyDescent="0.25">
      <c r="D5324" t="s">
        <v>132</v>
      </c>
      <c r="E5324">
        <v>2015</v>
      </c>
      <c r="F5324" t="s">
        <v>22</v>
      </c>
      <c r="G5324">
        <v>0.9019536610963107</v>
      </c>
      <c r="H5324">
        <v>0.92837358261923308</v>
      </c>
      <c r="I5324">
        <v>0.89690256410256408</v>
      </c>
      <c r="J5324">
        <v>0.92122954444935867</v>
      </c>
      <c r="K5324">
        <v>0.85211812349274241</v>
      </c>
      <c r="L5324">
        <v>0.9437797147385103</v>
      </c>
      <c r="M5324">
        <v>0.8784217843616664</v>
      </c>
    </row>
    <row r="5325" spans="4:19" x14ac:dyDescent="0.25">
      <c r="D5325" t="s">
        <v>132</v>
      </c>
      <c r="E5325">
        <v>2013</v>
      </c>
      <c r="F5325" t="s">
        <v>23</v>
      </c>
      <c r="S5325">
        <v>338922</v>
      </c>
    </row>
    <row r="5326" spans="4:19" x14ac:dyDescent="0.25">
      <c r="D5326" t="s">
        <v>132</v>
      </c>
      <c r="E5326">
        <v>2014</v>
      </c>
      <c r="F5326" t="s">
        <v>23</v>
      </c>
      <c r="S5326">
        <v>312796</v>
      </c>
    </row>
    <row r="5327" spans="4:19" x14ac:dyDescent="0.25">
      <c r="D5327" t="s">
        <v>132</v>
      </c>
      <c r="E5327">
        <v>2015</v>
      </c>
      <c r="F5327" t="s">
        <v>23</v>
      </c>
      <c r="S5327">
        <v>251009</v>
      </c>
    </row>
    <row r="5328" spans="4:19" x14ac:dyDescent="0.25">
      <c r="D5328" t="s">
        <v>132</v>
      </c>
      <c r="E5328">
        <v>2013</v>
      </c>
      <c r="F5328" t="s">
        <v>24</v>
      </c>
      <c r="G5328">
        <v>57995</v>
      </c>
      <c r="H5328">
        <v>57376</v>
      </c>
      <c r="I5328">
        <v>50559</v>
      </c>
      <c r="J5328">
        <v>48115</v>
      </c>
      <c r="K5328">
        <v>43782</v>
      </c>
      <c r="L5328">
        <v>39045</v>
      </c>
      <c r="M5328">
        <v>42050</v>
      </c>
      <c r="N5328">
        <v>38531</v>
      </c>
      <c r="O5328">
        <v>43212</v>
      </c>
      <c r="P5328">
        <v>43607</v>
      </c>
      <c r="Q5328">
        <v>41485</v>
      </c>
      <c r="R5328">
        <v>41030</v>
      </c>
    </row>
    <row r="5329" spans="4:19" x14ac:dyDescent="0.25">
      <c r="D5329" t="s">
        <v>132</v>
      </c>
      <c r="E5329">
        <v>2014</v>
      </c>
      <c r="F5329" t="s">
        <v>24</v>
      </c>
      <c r="G5329">
        <v>47987</v>
      </c>
      <c r="H5329">
        <v>46028</v>
      </c>
      <c r="I5329">
        <v>48226</v>
      </c>
      <c r="J5329">
        <v>44706</v>
      </c>
      <c r="K5329">
        <v>42349</v>
      </c>
      <c r="L5329">
        <v>40323</v>
      </c>
      <c r="M5329">
        <v>43177</v>
      </c>
      <c r="N5329">
        <v>39285</v>
      </c>
      <c r="O5329">
        <v>51128</v>
      </c>
      <c r="P5329">
        <v>45367</v>
      </c>
      <c r="Q5329">
        <v>40204</v>
      </c>
      <c r="R5329">
        <v>42368</v>
      </c>
    </row>
    <row r="5330" spans="4:19" x14ac:dyDescent="0.25">
      <c r="D5330" t="s">
        <v>132</v>
      </c>
      <c r="E5330">
        <v>2015</v>
      </c>
      <c r="F5330" t="s">
        <v>24</v>
      </c>
      <c r="G5330">
        <v>43635</v>
      </c>
      <c r="I5330">
        <v>45014</v>
      </c>
      <c r="J5330">
        <v>39832</v>
      </c>
      <c r="K5330">
        <v>35985</v>
      </c>
      <c r="L5330">
        <v>42787</v>
      </c>
      <c r="M5330">
        <v>43756</v>
      </c>
    </row>
    <row r="5331" spans="4:19" x14ac:dyDescent="0.25">
      <c r="D5331" t="s">
        <v>132</v>
      </c>
      <c r="E5331">
        <v>2013</v>
      </c>
      <c r="F5331" t="s">
        <v>25</v>
      </c>
      <c r="S5331">
        <v>730587</v>
      </c>
    </row>
    <row r="5332" spans="4:19" x14ac:dyDescent="0.25">
      <c r="D5332" t="s">
        <v>132</v>
      </c>
      <c r="E5332">
        <v>2014</v>
      </c>
      <c r="F5332" t="s">
        <v>25</v>
      </c>
      <c r="S5332">
        <v>800517</v>
      </c>
    </row>
    <row r="5333" spans="4:19" x14ac:dyDescent="0.25">
      <c r="D5333" t="s">
        <v>132</v>
      </c>
      <c r="E5333">
        <v>2015</v>
      </c>
      <c r="F5333" t="s">
        <v>25</v>
      </c>
      <c r="S5333">
        <v>777237</v>
      </c>
    </row>
    <row r="5334" spans="4:19" x14ac:dyDescent="0.25">
      <c r="D5334" t="s">
        <v>132</v>
      </c>
      <c r="E5334">
        <v>2013</v>
      </c>
      <c r="F5334" t="s">
        <v>26</v>
      </c>
      <c r="G5334">
        <v>115685</v>
      </c>
      <c r="H5334">
        <v>103990</v>
      </c>
      <c r="I5334">
        <v>103951</v>
      </c>
      <c r="J5334">
        <v>102980</v>
      </c>
      <c r="K5334">
        <v>89604</v>
      </c>
      <c r="L5334">
        <v>100838</v>
      </c>
      <c r="M5334">
        <v>113539</v>
      </c>
      <c r="N5334">
        <v>97748</v>
      </c>
      <c r="O5334">
        <v>113103</v>
      </c>
      <c r="P5334">
        <v>141984</v>
      </c>
      <c r="Q5334">
        <v>245753</v>
      </c>
      <c r="R5334">
        <v>141160</v>
      </c>
    </row>
    <row r="5335" spans="4:19" x14ac:dyDescent="0.25">
      <c r="D5335" t="s">
        <v>132</v>
      </c>
      <c r="E5335">
        <v>2014</v>
      </c>
      <c r="F5335" t="s">
        <v>26</v>
      </c>
      <c r="G5335">
        <v>134127</v>
      </c>
      <c r="H5335">
        <v>114754</v>
      </c>
      <c r="I5335">
        <v>111947</v>
      </c>
      <c r="J5335">
        <v>109352</v>
      </c>
      <c r="K5335">
        <v>109641</v>
      </c>
      <c r="L5335">
        <v>112222</v>
      </c>
      <c r="M5335">
        <v>108474</v>
      </c>
      <c r="N5335">
        <v>107377</v>
      </c>
      <c r="O5335">
        <v>121675</v>
      </c>
      <c r="P5335">
        <v>134476</v>
      </c>
      <c r="Q5335">
        <v>136594</v>
      </c>
      <c r="R5335">
        <v>138879</v>
      </c>
    </row>
    <row r="5336" spans="4:19" x14ac:dyDescent="0.25">
      <c r="D5336" t="s">
        <v>132</v>
      </c>
      <c r="E5336">
        <v>2015</v>
      </c>
      <c r="F5336" t="s">
        <v>26</v>
      </c>
      <c r="G5336">
        <v>135377</v>
      </c>
      <c r="I5336">
        <v>127280</v>
      </c>
      <c r="J5336">
        <v>127710</v>
      </c>
      <c r="K5336">
        <v>108745</v>
      </c>
      <c r="L5336">
        <v>131542</v>
      </c>
      <c r="M5336">
        <v>146583</v>
      </c>
    </row>
    <row r="5337" spans="4:19" x14ac:dyDescent="0.25">
      <c r="D5337" t="s">
        <v>132</v>
      </c>
      <c r="E5337">
        <v>2013</v>
      </c>
      <c r="F5337" t="s">
        <v>27</v>
      </c>
      <c r="S5337">
        <v>1340881</v>
      </c>
    </row>
    <row r="5338" spans="4:19" x14ac:dyDescent="0.25">
      <c r="D5338" t="s">
        <v>132</v>
      </c>
      <c r="E5338">
        <v>2014</v>
      </c>
      <c r="F5338" t="s">
        <v>27</v>
      </c>
      <c r="S5338">
        <v>1424838</v>
      </c>
    </row>
    <row r="5339" spans="4:19" x14ac:dyDescent="0.25">
      <c r="D5339" t="s">
        <v>132</v>
      </c>
      <c r="E5339">
        <v>2015</v>
      </c>
      <c r="F5339" t="s">
        <v>27</v>
      </c>
      <c r="S5339">
        <v>1518190</v>
      </c>
    </row>
    <row r="5340" spans="4:19" x14ac:dyDescent="0.25">
      <c r="D5340" t="s">
        <v>132</v>
      </c>
      <c r="E5340">
        <v>2013</v>
      </c>
      <c r="F5340" t="s">
        <v>28</v>
      </c>
      <c r="G5340">
        <v>201608</v>
      </c>
      <c r="H5340">
        <v>194198</v>
      </c>
      <c r="I5340">
        <v>195313</v>
      </c>
      <c r="J5340">
        <v>190093</v>
      </c>
      <c r="K5340">
        <v>167970</v>
      </c>
      <c r="L5340">
        <v>185158</v>
      </c>
      <c r="M5340">
        <v>206541</v>
      </c>
      <c r="N5340">
        <v>175192</v>
      </c>
      <c r="O5340">
        <v>195335</v>
      </c>
      <c r="P5340">
        <v>240204</v>
      </c>
      <c r="Q5340">
        <v>442463</v>
      </c>
      <c r="R5340">
        <v>267740</v>
      </c>
    </row>
    <row r="5341" spans="4:19" x14ac:dyDescent="0.25">
      <c r="D5341" t="s">
        <v>132</v>
      </c>
      <c r="E5341">
        <v>2014</v>
      </c>
      <c r="F5341" t="s">
        <v>28</v>
      </c>
      <c r="G5341">
        <v>235610</v>
      </c>
      <c r="H5341">
        <v>211599</v>
      </c>
      <c r="I5341">
        <v>196913</v>
      </c>
      <c r="J5341">
        <v>193684</v>
      </c>
      <c r="K5341">
        <v>202175</v>
      </c>
      <c r="L5341">
        <v>206877</v>
      </c>
      <c r="M5341">
        <v>177980</v>
      </c>
      <c r="N5341">
        <v>188709</v>
      </c>
      <c r="O5341">
        <v>205116</v>
      </c>
      <c r="P5341">
        <v>226980</v>
      </c>
      <c r="Q5341">
        <v>223267</v>
      </c>
      <c r="R5341">
        <v>235218</v>
      </c>
    </row>
    <row r="5342" spans="4:19" x14ac:dyDescent="0.25">
      <c r="D5342" t="s">
        <v>132</v>
      </c>
      <c r="E5342">
        <v>2015</v>
      </c>
      <c r="F5342" t="s">
        <v>28</v>
      </c>
      <c r="G5342">
        <v>217740</v>
      </c>
      <c r="H5342">
        <v>224112</v>
      </c>
      <c r="I5342">
        <v>222124</v>
      </c>
      <c r="J5342">
        <v>218497</v>
      </c>
      <c r="K5342">
        <v>181136</v>
      </c>
      <c r="L5342">
        <v>215212</v>
      </c>
      <c r="M5342">
        <v>239369</v>
      </c>
    </row>
    <row r="5343" spans="4:19" x14ac:dyDescent="0.25">
      <c r="D5343" t="s">
        <v>132</v>
      </c>
      <c r="E5343">
        <v>2013</v>
      </c>
      <c r="F5343" t="s">
        <v>29</v>
      </c>
      <c r="S5343">
        <v>164038</v>
      </c>
    </row>
    <row r="5344" spans="4:19" x14ac:dyDescent="0.25">
      <c r="D5344" t="s">
        <v>132</v>
      </c>
      <c r="E5344">
        <v>2014</v>
      </c>
      <c r="F5344" t="s">
        <v>29</v>
      </c>
      <c r="S5344">
        <v>165566</v>
      </c>
    </row>
    <row r="5345" spans="4:19" x14ac:dyDescent="0.25">
      <c r="D5345" t="s">
        <v>132</v>
      </c>
      <c r="E5345">
        <v>2015</v>
      </c>
      <c r="F5345" t="s">
        <v>29</v>
      </c>
      <c r="S5345">
        <v>131733</v>
      </c>
    </row>
    <row r="5346" spans="4:19" x14ac:dyDescent="0.25">
      <c r="D5346" t="s">
        <v>132</v>
      </c>
      <c r="E5346">
        <v>2013</v>
      </c>
      <c r="F5346" t="s">
        <v>30</v>
      </c>
      <c r="G5346">
        <v>27169</v>
      </c>
      <c r="H5346">
        <v>23442</v>
      </c>
      <c r="I5346">
        <v>22031</v>
      </c>
      <c r="J5346">
        <v>23695</v>
      </c>
      <c r="K5346">
        <v>20071</v>
      </c>
      <c r="L5346">
        <v>22116</v>
      </c>
      <c r="M5346">
        <v>25514</v>
      </c>
      <c r="N5346">
        <v>22040</v>
      </c>
      <c r="O5346">
        <v>26254</v>
      </c>
      <c r="P5346">
        <v>30298</v>
      </c>
      <c r="Q5346">
        <v>21644</v>
      </c>
      <c r="R5346">
        <v>25295</v>
      </c>
    </row>
    <row r="5347" spans="4:19" x14ac:dyDescent="0.25">
      <c r="D5347" t="s">
        <v>132</v>
      </c>
      <c r="E5347">
        <v>2014</v>
      </c>
      <c r="F5347" t="s">
        <v>30</v>
      </c>
      <c r="G5347">
        <v>26982</v>
      </c>
      <c r="H5347">
        <v>23754</v>
      </c>
      <c r="I5347">
        <v>26200</v>
      </c>
      <c r="J5347">
        <v>23141</v>
      </c>
      <c r="K5347">
        <v>21413</v>
      </c>
      <c r="L5347">
        <v>20423</v>
      </c>
      <c r="M5347">
        <v>23653</v>
      </c>
      <c r="N5347">
        <v>22314</v>
      </c>
      <c r="O5347">
        <v>27158</v>
      </c>
      <c r="P5347">
        <v>26165</v>
      </c>
      <c r="Q5347">
        <v>22175</v>
      </c>
      <c r="R5347">
        <v>22949</v>
      </c>
    </row>
    <row r="5348" spans="4:19" x14ac:dyDescent="0.25">
      <c r="D5348" t="s">
        <v>132</v>
      </c>
      <c r="E5348">
        <v>2015</v>
      </c>
      <c r="F5348" t="s">
        <v>30</v>
      </c>
      <c r="G5348">
        <v>25004</v>
      </c>
      <c r="H5348">
        <v>24004</v>
      </c>
      <c r="I5348">
        <v>21238</v>
      </c>
      <c r="J5348">
        <v>19507</v>
      </c>
      <c r="K5348">
        <v>15034</v>
      </c>
      <c r="L5348">
        <v>15117</v>
      </c>
      <c r="M5348">
        <v>11829</v>
      </c>
    </row>
    <row r="5349" spans="4:19" x14ac:dyDescent="0.25">
      <c r="D5349" t="s">
        <v>132</v>
      </c>
      <c r="E5349">
        <v>2013</v>
      </c>
      <c r="F5349" t="s">
        <v>31</v>
      </c>
      <c r="S5349">
        <v>0.87394149686358513</v>
      </c>
    </row>
    <row r="5350" spans="4:19" x14ac:dyDescent="0.25">
      <c r="D5350" t="s">
        <v>132</v>
      </c>
      <c r="E5350">
        <v>2014</v>
      </c>
      <c r="F5350" t="s">
        <v>31</v>
      </c>
      <c r="S5350">
        <v>0.96779370580186452</v>
      </c>
    </row>
    <row r="5351" spans="4:19" x14ac:dyDescent="0.25">
      <c r="D5351" t="s">
        <v>132</v>
      </c>
      <c r="E5351">
        <v>2015</v>
      </c>
      <c r="F5351" t="s">
        <v>31</v>
      </c>
      <c r="S5351">
        <v>0.91639979487945777</v>
      </c>
    </row>
    <row r="5352" spans="4:19" x14ac:dyDescent="0.25">
      <c r="D5352" t="s">
        <v>132</v>
      </c>
      <c r="E5352">
        <v>2013</v>
      </c>
      <c r="F5352" t="s">
        <v>32</v>
      </c>
      <c r="G5352">
        <v>0.86624709026640223</v>
      </c>
      <c r="H5352">
        <v>0.80296639709983264</v>
      </c>
      <c r="I5352">
        <v>0.84544789256116615</v>
      </c>
      <c r="J5352">
        <v>0.85771588901589946</v>
      </c>
      <c r="K5352">
        <v>0.90322506966333194</v>
      </c>
      <c r="L5352">
        <v>0.90756819054936611</v>
      </c>
      <c r="M5352">
        <v>0.97250891795481564</v>
      </c>
      <c r="N5352">
        <v>0.99582154628740494</v>
      </c>
      <c r="O5352">
        <v>0.98194945848375448</v>
      </c>
      <c r="P5352">
        <v>0.99238654344485977</v>
      </c>
      <c r="Q5352">
        <v>0.98218633240930453</v>
      </c>
      <c r="R5352">
        <v>0.99298074579575923</v>
      </c>
    </row>
    <row r="5353" spans="4:19" x14ac:dyDescent="0.25">
      <c r="D5353" t="s">
        <v>132</v>
      </c>
      <c r="E5353">
        <v>2014</v>
      </c>
      <c r="F5353" t="s">
        <v>32</v>
      </c>
      <c r="G5353">
        <v>0.97620188801133645</v>
      </c>
      <c r="H5353">
        <v>0.98175023898496572</v>
      </c>
      <c r="I5353">
        <v>0.96253058516153112</v>
      </c>
      <c r="J5353">
        <v>0.97707242875676648</v>
      </c>
      <c r="K5353">
        <v>0.95393043519327492</v>
      </c>
      <c r="L5353">
        <v>0.97140589737866723</v>
      </c>
      <c r="M5353">
        <v>0.95006600736503233</v>
      </c>
      <c r="N5353">
        <v>0.93524245895379921</v>
      </c>
      <c r="O5353">
        <v>0.94365122828978254</v>
      </c>
      <c r="P5353">
        <v>0.94692177133158462</v>
      </c>
      <c r="Q5353">
        <v>0.95381056611282455</v>
      </c>
      <c r="R5353">
        <v>0.93893976586102723</v>
      </c>
    </row>
    <row r="5354" spans="4:19" x14ac:dyDescent="0.25">
      <c r="D5354" t="s">
        <v>132</v>
      </c>
      <c r="E5354">
        <v>2015</v>
      </c>
      <c r="F5354" t="s">
        <v>32</v>
      </c>
      <c r="G5354">
        <v>0.91133264581184825</v>
      </c>
      <c r="H5354">
        <v>0.92483660130718959</v>
      </c>
      <c r="I5354">
        <v>0.89980894832718705</v>
      </c>
      <c r="J5354">
        <v>0.91863325969070098</v>
      </c>
      <c r="K5354">
        <v>0.92927608725858002</v>
      </c>
      <c r="L5354">
        <v>0.9218921635076075</v>
      </c>
      <c r="M5354">
        <v>0.91214919096809577</v>
      </c>
    </row>
    <row r="5355" spans="4:19" x14ac:dyDescent="0.25">
      <c r="D5355" t="s">
        <v>132</v>
      </c>
      <c r="E5355">
        <v>2013</v>
      </c>
      <c r="F5355" t="s">
        <v>33</v>
      </c>
      <c r="S5355">
        <v>0.94772525532848351</v>
      </c>
    </row>
    <row r="5356" spans="4:19" x14ac:dyDescent="0.25">
      <c r="D5356" t="s">
        <v>132</v>
      </c>
      <c r="E5356">
        <v>2014</v>
      </c>
      <c r="F5356" t="s">
        <v>33</v>
      </c>
      <c r="S5356">
        <v>0.95801363801988448</v>
      </c>
    </row>
    <row r="5357" spans="4:19" x14ac:dyDescent="0.25">
      <c r="D5357" t="s">
        <v>132</v>
      </c>
      <c r="E5357">
        <v>2015</v>
      </c>
      <c r="F5357" t="s">
        <v>33</v>
      </c>
      <c r="S5357">
        <v>0.92625983636458387</v>
      </c>
    </row>
    <row r="5358" spans="4:19" x14ac:dyDescent="0.25">
      <c r="D5358" t="s">
        <v>132</v>
      </c>
      <c r="E5358">
        <v>2013</v>
      </c>
      <c r="F5358" t="s">
        <v>34</v>
      </c>
      <c r="G5358">
        <v>0.91883491697007369</v>
      </c>
      <c r="H5358">
        <v>0.90893964110929848</v>
      </c>
      <c r="I5358">
        <v>0.95245462046204621</v>
      </c>
      <c r="J5358">
        <v>0.96022194998919075</v>
      </c>
      <c r="K5358">
        <v>0.95193834475814265</v>
      </c>
      <c r="L5358">
        <v>0.97349793545125141</v>
      </c>
      <c r="M5358">
        <v>0.98582883455065096</v>
      </c>
      <c r="N5358">
        <v>0.99299512704490078</v>
      </c>
      <c r="O5358">
        <v>0.97071412480288355</v>
      </c>
      <c r="P5358">
        <v>0.98765340275195235</v>
      </c>
      <c r="Q5358">
        <v>0.97126987932550146</v>
      </c>
      <c r="R5358">
        <v>0.99427016777278532</v>
      </c>
    </row>
    <row r="5359" spans="4:19" x14ac:dyDescent="0.25">
      <c r="D5359" t="s">
        <v>132</v>
      </c>
      <c r="E5359">
        <v>2014</v>
      </c>
      <c r="F5359" t="s">
        <v>34</v>
      </c>
      <c r="G5359">
        <v>0.96128682328214521</v>
      </c>
      <c r="H5359">
        <v>0.97090203685741994</v>
      </c>
      <c r="I5359">
        <v>0.94173786877317422</v>
      </c>
      <c r="J5359">
        <v>0.96353221617390683</v>
      </c>
      <c r="K5359">
        <v>0.92881380669172109</v>
      </c>
      <c r="L5359">
        <v>0.95422786820166727</v>
      </c>
      <c r="M5359">
        <v>0.99328005811841624</v>
      </c>
      <c r="N5359">
        <v>0.99507968766713017</v>
      </c>
      <c r="O5359">
        <v>0.97839876564375106</v>
      </c>
      <c r="P5359">
        <v>0.99048482102401447</v>
      </c>
      <c r="Q5359">
        <v>0.98875802997858675</v>
      </c>
      <c r="R5359">
        <v>0.96421943113643227</v>
      </c>
    </row>
    <row r="5360" spans="4:19" x14ac:dyDescent="0.25">
      <c r="D5360" t="s">
        <v>132</v>
      </c>
      <c r="E5360">
        <v>2015</v>
      </c>
      <c r="F5360" t="s">
        <v>34</v>
      </c>
      <c r="G5360">
        <v>0.91124832614194318</v>
      </c>
      <c r="I5360">
        <v>0.90817890483488928</v>
      </c>
      <c r="J5360">
        <v>0.93777449410992075</v>
      </c>
      <c r="K5360">
        <v>0.9458154994991349</v>
      </c>
      <c r="L5360">
        <v>0.93694490368718519</v>
      </c>
      <c r="M5360">
        <v>0.92370827796451183</v>
      </c>
    </row>
    <row r="5361" spans="4:19" x14ac:dyDescent="0.25">
      <c r="D5361" t="s">
        <v>133</v>
      </c>
      <c r="E5361">
        <v>2013</v>
      </c>
      <c r="F5361" t="s">
        <v>17</v>
      </c>
      <c r="S5361">
        <v>0.95466411253216144</v>
      </c>
    </row>
    <row r="5362" spans="4:19" x14ac:dyDescent="0.25">
      <c r="D5362" t="s">
        <v>133</v>
      </c>
      <c r="E5362">
        <v>2014</v>
      </c>
      <c r="F5362" t="s">
        <v>17</v>
      </c>
      <c r="S5362">
        <v>0.96273911273911272</v>
      </c>
    </row>
    <row r="5363" spans="4:19" x14ac:dyDescent="0.25">
      <c r="D5363" t="s">
        <v>133</v>
      </c>
      <c r="E5363">
        <v>2015</v>
      </c>
      <c r="F5363" t="s">
        <v>17</v>
      </c>
      <c r="S5363">
        <v>0.95391525493252394</v>
      </c>
    </row>
    <row r="5364" spans="4:19" x14ac:dyDescent="0.25">
      <c r="D5364" t="s">
        <v>133</v>
      </c>
      <c r="E5364">
        <v>2013</v>
      </c>
      <c r="F5364" t="s">
        <v>18</v>
      </c>
      <c r="G5364">
        <v>0.94593709043250329</v>
      </c>
      <c r="H5364">
        <v>0.94607147464843244</v>
      </c>
      <c r="I5364">
        <v>0.94274855951943115</v>
      </c>
      <c r="J5364">
        <v>0.94186789319023889</v>
      </c>
      <c r="K5364">
        <v>0.94382321618743348</v>
      </c>
      <c r="L5364">
        <v>1.0132237771215817</v>
      </c>
      <c r="M5364">
        <v>0.94856577645895157</v>
      </c>
      <c r="N5364">
        <v>0.95058085930296887</v>
      </c>
      <c r="O5364">
        <v>0.96491037479630637</v>
      </c>
      <c r="P5364">
        <v>0.95549585328816722</v>
      </c>
      <c r="Q5364">
        <v>0.94503527429714651</v>
      </c>
      <c r="R5364">
        <v>0.96274887604367376</v>
      </c>
    </row>
    <row r="5365" spans="4:19" x14ac:dyDescent="0.25">
      <c r="D5365" t="s">
        <v>133</v>
      </c>
      <c r="E5365">
        <v>2014</v>
      </c>
      <c r="F5365" t="s">
        <v>18</v>
      </c>
      <c r="G5365">
        <v>0.96472357159380062</v>
      </c>
      <c r="H5365">
        <v>0.96343579573624194</v>
      </c>
      <c r="I5365">
        <v>0.9570431086824529</v>
      </c>
      <c r="J5365">
        <v>0.95840577771833624</v>
      </c>
      <c r="K5365">
        <v>0.96101641414141414</v>
      </c>
      <c r="L5365">
        <v>0.97723777299292525</v>
      </c>
      <c r="M5365">
        <v>0.95618323374977365</v>
      </c>
      <c r="N5365">
        <v>0.96121883656509699</v>
      </c>
      <c r="O5365">
        <v>0.93213032581453636</v>
      </c>
      <c r="P5365">
        <v>0.96662874478574135</v>
      </c>
      <c r="Q5365">
        <v>0.95800316957210774</v>
      </c>
      <c r="R5365">
        <v>0.94790539496058124</v>
      </c>
    </row>
    <row r="5366" spans="4:19" x14ac:dyDescent="0.25">
      <c r="D5366" t="s">
        <v>133</v>
      </c>
      <c r="E5366">
        <v>2015</v>
      </c>
      <c r="F5366" t="s">
        <v>18</v>
      </c>
      <c r="G5366">
        <v>0.96494552344860252</v>
      </c>
      <c r="H5366">
        <v>0.95314725149530044</v>
      </c>
      <c r="I5366">
        <v>0.96268286635259115</v>
      </c>
      <c r="J5366">
        <v>0.95953141640042594</v>
      </c>
      <c r="K5366">
        <v>0.94147157190635455</v>
      </c>
      <c r="L5366">
        <v>0.94746179039301315</v>
      </c>
      <c r="M5366">
        <v>0.94026585899377424</v>
      </c>
    </row>
    <row r="5367" spans="4:19" x14ac:dyDescent="0.25">
      <c r="D5367" t="s">
        <v>133</v>
      </c>
      <c r="E5367">
        <v>2013</v>
      </c>
      <c r="F5367" t="s">
        <v>19</v>
      </c>
      <c r="S5367">
        <v>0.7037836234366478</v>
      </c>
    </row>
    <row r="5368" spans="4:19" x14ac:dyDescent="0.25">
      <c r="D5368" t="s">
        <v>133</v>
      </c>
      <c r="E5368">
        <v>2014</v>
      </c>
      <c r="F5368" t="s">
        <v>19</v>
      </c>
      <c r="S5368">
        <v>0.95094521536998555</v>
      </c>
    </row>
    <row r="5369" spans="4:19" x14ac:dyDescent="0.25">
      <c r="D5369" t="s">
        <v>133</v>
      </c>
      <c r="E5369">
        <v>2015</v>
      </c>
      <c r="F5369" t="s">
        <v>19</v>
      </c>
      <c r="S5369">
        <v>0.98534647027109334</v>
      </c>
    </row>
    <row r="5370" spans="4:19" x14ac:dyDescent="0.25">
      <c r="D5370" t="s">
        <v>133</v>
      </c>
      <c r="E5370">
        <v>2013</v>
      </c>
      <c r="F5370" t="s">
        <v>20</v>
      </c>
      <c r="G5370">
        <v>0.60241970737226469</v>
      </c>
      <c r="H5370">
        <v>0.70093660652666867</v>
      </c>
      <c r="I5370">
        <v>0.75627503073079816</v>
      </c>
      <c r="J5370">
        <v>0.68054969031531531</v>
      </c>
      <c r="K5370">
        <v>0.6129421732683753</v>
      </c>
      <c r="L5370">
        <v>0.72931522443752272</v>
      </c>
      <c r="M5370">
        <v>0.83436873189213279</v>
      </c>
      <c r="N5370">
        <v>0.9365935836710777</v>
      </c>
      <c r="O5370">
        <v>0.96568684180071751</v>
      </c>
      <c r="P5370">
        <v>0.95459500152918386</v>
      </c>
      <c r="Q5370">
        <v>0.8684169937104762</v>
      </c>
      <c r="R5370">
        <v>0.91348344370860923</v>
      </c>
    </row>
    <row r="5371" spans="4:19" x14ac:dyDescent="0.25">
      <c r="D5371" t="s">
        <v>133</v>
      </c>
      <c r="E5371">
        <v>2014</v>
      </c>
      <c r="F5371" t="s">
        <v>20</v>
      </c>
      <c r="G5371">
        <v>0.96598804722802589</v>
      </c>
      <c r="H5371">
        <v>0.9856353268874597</v>
      </c>
      <c r="I5371">
        <v>0.94442759666413945</v>
      </c>
      <c r="J5371">
        <v>0.94113201065017604</v>
      </c>
      <c r="K5371">
        <v>0.89291527193440412</v>
      </c>
      <c r="L5371">
        <v>0.94846946393907716</v>
      </c>
      <c r="M5371">
        <v>0.97155266735187829</v>
      </c>
      <c r="N5371">
        <v>0.98089404685149362</v>
      </c>
      <c r="O5371">
        <v>0.99010588183174097</v>
      </c>
      <c r="P5371">
        <v>0.98228720712341511</v>
      </c>
      <c r="Q5371">
        <v>0.9857527445633173</v>
      </c>
      <c r="R5371">
        <v>0.98394034510819928</v>
      </c>
    </row>
    <row r="5372" spans="4:19" x14ac:dyDescent="0.25">
      <c r="D5372" t="s">
        <v>133</v>
      </c>
      <c r="E5372">
        <v>2015</v>
      </c>
      <c r="F5372" t="s">
        <v>20</v>
      </c>
      <c r="G5372">
        <v>0.98755369403029469</v>
      </c>
      <c r="H5372">
        <v>0.98036598072414693</v>
      </c>
      <c r="I5372">
        <v>0.99302439969593537</v>
      </c>
      <c r="J5372">
        <v>0.98909761045638267</v>
      </c>
      <c r="K5372">
        <v>0.98624815746119832</v>
      </c>
      <c r="L5372">
        <v>0.97759412776223598</v>
      </c>
      <c r="M5372">
        <v>0.98418853600589862</v>
      </c>
    </row>
    <row r="5373" spans="4:19" x14ac:dyDescent="0.25">
      <c r="D5373" t="s">
        <v>133</v>
      </c>
      <c r="E5373">
        <v>2013</v>
      </c>
      <c r="F5373" t="s">
        <v>21</v>
      </c>
      <c r="S5373">
        <v>0.90829319230639671</v>
      </c>
    </row>
    <row r="5374" spans="4:19" x14ac:dyDescent="0.25">
      <c r="D5374" t="s">
        <v>133</v>
      </c>
      <c r="E5374">
        <v>2014</v>
      </c>
      <c r="F5374" t="s">
        <v>21</v>
      </c>
      <c r="S5374">
        <v>0.9721885396262786</v>
      </c>
    </row>
    <row r="5375" spans="4:19" x14ac:dyDescent="0.25">
      <c r="D5375" t="s">
        <v>133</v>
      </c>
      <c r="E5375">
        <v>2015</v>
      </c>
      <c r="F5375" t="s">
        <v>21</v>
      </c>
      <c r="S5375">
        <v>0.98588575238941989</v>
      </c>
    </row>
    <row r="5376" spans="4:19" x14ac:dyDescent="0.25">
      <c r="D5376" t="s">
        <v>133</v>
      </c>
      <c r="E5376">
        <v>2013</v>
      </c>
      <c r="F5376" t="s">
        <v>22</v>
      </c>
      <c r="G5376">
        <v>0.79891391151573232</v>
      </c>
      <c r="H5376">
        <v>0.87271097451658342</v>
      </c>
      <c r="I5376">
        <v>0.88669827801347645</v>
      </c>
      <c r="J5376">
        <v>0.98347653668208856</v>
      </c>
      <c r="K5376">
        <v>0.93157224697644814</v>
      </c>
      <c r="L5376">
        <v>0.97480296154764745</v>
      </c>
      <c r="M5376">
        <v>0.97058823529411764</v>
      </c>
      <c r="N5376">
        <v>0.95186873290793073</v>
      </c>
      <c r="O5376">
        <v>0.96252049660341998</v>
      </c>
      <c r="P5376">
        <v>0.97948607212265171</v>
      </c>
      <c r="Q5376">
        <v>0.94682348210695622</v>
      </c>
      <c r="R5376">
        <v>0.94924394628317643</v>
      </c>
    </row>
    <row r="5377" spans="4:19" x14ac:dyDescent="0.25">
      <c r="D5377" t="s">
        <v>133</v>
      </c>
      <c r="E5377">
        <v>2014</v>
      </c>
      <c r="F5377" t="s">
        <v>22</v>
      </c>
      <c r="G5377">
        <v>0.99062499999999998</v>
      </c>
      <c r="H5377">
        <v>0.98794749403341287</v>
      </c>
      <c r="I5377">
        <v>0.96292460646230327</v>
      </c>
      <c r="J5377">
        <v>0.93222762367743783</v>
      </c>
      <c r="K5377">
        <v>0.96360895779500433</v>
      </c>
      <c r="L5377">
        <v>0.98919987830848799</v>
      </c>
      <c r="M5377">
        <v>0.98765590844798767</v>
      </c>
      <c r="N5377">
        <v>0.99005613472333598</v>
      </c>
      <c r="O5377">
        <v>0.98469314079422388</v>
      </c>
      <c r="P5377">
        <v>0.98970415743516227</v>
      </c>
      <c r="Q5377">
        <v>0.99084947384474609</v>
      </c>
      <c r="R5377">
        <v>0.98491680920541125</v>
      </c>
    </row>
    <row r="5378" spans="4:19" x14ac:dyDescent="0.25">
      <c r="D5378" t="s">
        <v>133</v>
      </c>
      <c r="E5378">
        <v>2015</v>
      </c>
      <c r="F5378" t="s">
        <v>22</v>
      </c>
      <c r="G5378">
        <v>0.9944151655785417</v>
      </c>
      <c r="H5378">
        <v>0.97837205903843338</v>
      </c>
      <c r="I5378">
        <v>0.9930976023250182</v>
      </c>
      <c r="J5378">
        <v>0.9883236030025021</v>
      </c>
      <c r="K5378">
        <v>0.97855029585798814</v>
      </c>
      <c r="L5378">
        <v>0.97518987341772156</v>
      </c>
      <c r="M5378">
        <v>0.9875908328675238</v>
      </c>
    </row>
    <row r="5379" spans="4:19" x14ac:dyDescent="0.25">
      <c r="D5379" t="s">
        <v>133</v>
      </c>
      <c r="E5379">
        <v>2013</v>
      </c>
      <c r="F5379" t="s">
        <v>23</v>
      </c>
      <c r="S5379">
        <v>269921</v>
      </c>
    </row>
    <row r="5380" spans="4:19" x14ac:dyDescent="0.25">
      <c r="D5380" t="s">
        <v>133</v>
      </c>
      <c r="E5380">
        <v>2014</v>
      </c>
      <c r="F5380" t="s">
        <v>23</v>
      </c>
      <c r="S5380">
        <v>170168</v>
      </c>
    </row>
    <row r="5381" spans="4:19" x14ac:dyDescent="0.25">
      <c r="D5381" t="s">
        <v>133</v>
      </c>
      <c r="E5381">
        <v>2015</v>
      </c>
      <c r="F5381" t="s">
        <v>23</v>
      </c>
      <c r="S5381">
        <v>157833</v>
      </c>
    </row>
    <row r="5382" spans="4:19" x14ac:dyDescent="0.25">
      <c r="D5382" t="s">
        <v>133</v>
      </c>
      <c r="E5382">
        <v>2013</v>
      </c>
      <c r="F5382" t="s">
        <v>24</v>
      </c>
      <c r="G5382">
        <v>38462</v>
      </c>
      <c r="H5382">
        <v>42023</v>
      </c>
      <c r="I5382">
        <v>34222</v>
      </c>
      <c r="J5382">
        <v>34544</v>
      </c>
      <c r="K5382">
        <v>33446</v>
      </c>
      <c r="L5382">
        <v>37024</v>
      </c>
      <c r="M5382">
        <v>50200</v>
      </c>
      <c r="N5382">
        <v>52504</v>
      </c>
      <c r="O5382">
        <v>37768</v>
      </c>
      <c r="P5382">
        <v>46627</v>
      </c>
      <c r="Q5382">
        <v>40667</v>
      </c>
      <c r="R5382">
        <v>47375</v>
      </c>
    </row>
    <row r="5383" spans="4:19" x14ac:dyDescent="0.25">
      <c r="D5383" t="s">
        <v>133</v>
      </c>
      <c r="E5383">
        <v>2014</v>
      </c>
      <c r="F5383" t="s">
        <v>24</v>
      </c>
      <c r="G5383">
        <v>33727</v>
      </c>
      <c r="H5383">
        <v>26446</v>
      </c>
      <c r="I5383">
        <v>25443</v>
      </c>
      <c r="J5383">
        <v>21356</v>
      </c>
      <c r="K5383">
        <v>19726</v>
      </c>
      <c r="L5383">
        <v>21097</v>
      </c>
      <c r="M5383">
        <v>22373</v>
      </c>
      <c r="N5383">
        <v>25136</v>
      </c>
      <c r="O5383">
        <v>28574</v>
      </c>
      <c r="P5383">
        <v>24275</v>
      </c>
      <c r="Q5383">
        <v>21564</v>
      </c>
      <c r="R5383">
        <v>25693</v>
      </c>
    </row>
    <row r="5384" spans="4:19" x14ac:dyDescent="0.25">
      <c r="D5384" t="s">
        <v>133</v>
      </c>
      <c r="E5384">
        <v>2015</v>
      </c>
      <c r="F5384" t="s">
        <v>24</v>
      </c>
      <c r="G5384">
        <v>24204</v>
      </c>
      <c r="H5384">
        <v>20955</v>
      </c>
      <c r="I5384">
        <v>22684</v>
      </c>
      <c r="J5384">
        <v>21799</v>
      </c>
      <c r="K5384">
        <v>19800</v>
      </c>
      <c r="L5384">
        <v>22026</v>
      </c>
      <c r="M5384">
        <v>26365</v>
      </c>
    </row>
    <row r="5385" spans="4:19" x14ac:dyDescent="0.25">
      <c r="D5385" t="s">
        <v>133</v>
      </c>
      <c r="E5385">
        <v>2013</v>
      </c>
      <c r="F5385" t="s">
        <v>25</v>
      </c>
      <c r="S5385">
        <v>437409</v>
      </c>
    </row>
    <row r="5386" spans="4:19" x14ac:dyDescent="0.25">
      <c r="D5386" t="s">
        <v>133</v>
      </c>
      <c r="E5386">
        <v>2014</v>
      </c>
      <c r="F5386" t="s">
        <v>25</v>
      </c>
      <c r="S5386">
        <v>445605</v>
      </c>
    </row>
    <row r="5387" spans="4:19" x14ac:dyDescent="0.25">
      <c r="D5387" t="s">
        <v>133</v>
      </c>
      <c r="E5387">
        <v>2015</v>
      </c>
      <c r="F5387" t="s">
        <v>25</v>
      </c>
      <c r="S5387">
        <v>516826</v>
      </c>
    </row>
    <row r="5388" spans="4:19" x14ac:dyDescent="0.25">
      <c r="D5388" t="s">
        <v>133</v>
      </c>
      <c r="E5388">
        <v>2013</v>
      </c>
      <c r="F5388" t="s">
        <v>26</v>
      </c>
      <c r="G5388">
        <v>83509</v>
      </c>
      <c r="H5388">
        <v>58188</v>
      </c>
      <c r="I5388">
        <v>58516</v>
      </c>
      <c r="J5388">
        <v>62034</v>
      </c>
      <c r="K5388">
        <v>46681</v>
      </c>
      <c r="L5388">
        <v>61684</v>
      </c>
      <c r="M5388">
        <v>66797</v>
      </c>
      <c r="N5388">
        <v>49818</v>
      </c>
      <c r="O5388">
        <v>63410</v>
      </c>
      <c r="P5388">
        <v>83927</v>
      </c>
      <c r="Q5388">
        <v>66991</v>
      </c>
      <c r="R5388">
        <v>73308</v>
      </c>
    </row>
    <row r="5389" spans="4:19" x14ac:dyDescent="0.25">
      <c r="D5389" t="s">
        <v>133</v>
      </c>
      <c r="E5389">
        <v>2014</v>
      </c>
      <c r="F5389" t="s">
        <v>26</v>
      </c>
      <c r="G5389">
        <v>81149</v>
      </c>
      <c r="H5389">
        <v>69451</v>
      </c>
      <c r="I5389">
        <v>52400</v>
      </c>
      <c r="J5389">
        <v>64895</v>
      </c>
      <c r="K5389">
        <v>57058</v>
      </c>
      <c r="L5389">
        <v>53842</v>
      </c>
      <c r="M5389">
        <v>66810</v>
      </c>
      <c r="N5389">
        <v>61547</v>
      </c>
      <c r="O5389">
        <v>73223</v>
      </c>
      <c r="P5389">
        <v>76682</v>
      </c>
      <c r="Q5389">
        <v>67426</v>
      </c>
      <c r="R5389">
        <v>68847</v>
      </c>
    </row>
    <row r="5390" spans="4:19" x14ac:dyDescent="0.25">
      <c r="D5390" t="s">
        <v>133</v>
      </c>
      <c r="E5390">
        <v>2015</v>
      </c>
      <c r="F5390" t="s">
        <v>26</v>
      </c>
      <c r="G5390">
        <v>105512</v>
      </c>
      <c r="H5390">
        <v>65224</v>
      </c>
      <c r="I5390">
        <v>68367</v>
      </c>
      <c r="J5390">
        <v>69761</v>
      </c>
      <c r="K5390">
        <v>63390</v>
      </c>
      <c r="L5390">
        <v>74288</v>
      </c>
      <c r="M5390">
        <v>70284</v>
      </c>
    </row>
    <row r="5391" spans="4:19" x14ac:dyDescent="0.25">
      <c r="D5391" t="s">
        <v>133</v>
      </c>
      <c r="E5391">
        <v>2013</v>
      </c>
      <c r="F5391" t="s">
        <v>27</v>
      </c>
      <c r="S5391">
        <v>692778</v>
      </c>
    </row>
    <row r="5392" spans="4:19" x14ac:dyDescent="0.25">
      <c r="D5392" t="s">
        <v>133</v>
      </c>
      <c r="E5392">
        <v>2014</v>
      </c>
      <c r="F5392" t="s">
        <v>27</v>
      </c>
      <c r="S5392">
        <v>704458</v>
      </c>
    </row>
    <row r="5393" spans="4:19" x14ac:dyDescent="0.25">
      <c r="D5393" t="s">
        <v>133</v>
      </c>
      <c r="E5393">
        <v>2015</v>
      </c>
      <c r="F5393" t="s">
        <v>27</v>
      </c>
      <c r="S5393">
        <v>811806</v>
      </c>
    </row>
    <row r="5394" spans="4:19" x14ac:dyDescent="0.25">
      <c r="D5394" t="s">
        <v>133</v>
      </c>
      <c r="E5394">
        <v>2013</v>
      </c>
      <c r="F5394" t="s">
        <v>28</v>
      </c>
      <c r="G5394">
        <v>126549</v>
      </c>
      <c r="H5394">
        <v>89945</v>
      </c>
      <c r="I5394">
        <v>93215</v>
      </c>
      <c r="J5394">
        <v>99519</v>
      </c>
      <c r="K5394">
        <v>77532</v>
      </c>
      <c r="L5394">
        <v>97767</v>
      </c>
      <c r="M5394">
        <v>108251</v>
      </c>
      <c r="N5394">
        <v>75372</v>
      </c>
      <c r="O5394">
        <v>106182</v>
      </c>
      <c r="P5394">
        <v>129776</v>
      </c>
      <c r="Q5394">
        <v>101991</v>
      </c>
      <c r="R5394">
        <v>106569</v>
      </c>
    </row>
    <row r="5395" spans="4:19" x14ac:dyDescent="0.25">
      <c r="D5395" t="s">
        <v>133</v>
      </c>
      <c r="E5395">
        <v>2014</v>
      </c>
      <c r="F5395" t="s">
        <v>28</v>
      </c>
      <c r="G5395">
        <v>131785</v>
      </c>
      <c r="H5395">
        <v>110118</v>
      </c>
      <c r="I5395">
        <v>82543</v>
      </c>
      <c r="J5395">
        <v>101906</v>
      </c>
      <c r="K5395">
        <v>87783</v>
      </c>
      <c r="L5395">
        <v>87478</v>
      </c>
      <c r="M5395">
        <v>102845</v>
      </c>
      <c r="N5395">
        <v>92454</v>
      </c>
      <c r="O5395">
        <v>121845</v>
      </c>
      <c r="P5395">
        <v>124714</v>
      </c>
      <c r="Q5395">
        <v>105494</v>
      </c>
      <c r="R5395">
        <v>106219</v>
      </c>
    </row>
    <row r="5396" spans="4:19" x14ac:dyDescent="0.25">
      <c r="D5396" t="s">
        <v>133</v>
      </c>
      <c r="E5396">
        <v>2015</v>
      </c>
      <c r="F5396" t="s">
        <v>28</v>
      </c>
      <c r="G5396">
        <v>155268</v>
      </c>
      <c r="H5396">
        <v>101879</v>
      </c>
      <c r="I5396">
        <v>114454</v>
      </c>
      <c r="J5396">
        <v>110476</v>
      </c>
      <c r="K5396">
        <v>97706</v>
      </c>
      <c r="L5396">
        <v>121229</v>
      </c>
      <c r="M5396">
        <v>110794</v>
      </c>
    </row>
    <row r="5397" spans="4:19" x14ac:dyDescent="0.25">
      <c r="D5397" t="s">
        <v>133</v>
      </c>
      <c r="E5397">
        <v>2013</v>
      </c>
      <c r="F5397" t="s">
        <v>29</v>
      </c>
      <c r="S5397">
        <v>53247</v>
      </c>
    </row>
    <row r="5398" spans="4:19" x14ac:dyDescent="0.25">
      <c r="D5398" t="s">
        <v>133</v>
      </c>
      <c r="E5398">
        <v>2014</v>
      </c>
      <c r="F5398" t="s">
        <v>29</v>
      </c>
      <c r="S5398">
        <v>49140</v>
      </c>
    </row>
    <row r="5399" spans="4:19" x14ac:dyDescent="0.25">
      <c r="D5399" t="s">
        <v>133</v>
      </c>
      <c r="E5399">
        <v>2015</v>
      </c>
      <c r="F5399" t="s">
        <v>29</v>
      </c>
      <c r="S5399">
        <v>48758</v>
      </c>
    </row>
    <row r="5400" spans="4:19" x14ac:dyDescent="0.25">
      <c r="D5400" t="s">
        <v>133</v>
      </c>
      <c r="E5400">
        <v>2013</v>
      </c>
      <c r="F5400" t="s">
        <v>30</v>
      </c>
      <c r="G5400">
        <v>9156</v>
      </c>
      <c r="H5400">
        <v>7751</v>
      </c>
      <c r="I5400">
        <v>8157</v>
      </c>
      <c r="J5400">
        <v>7827</v>
      </c>
      <c r="K5400">
        <v>7512</v>
      </c>
      <c r="L5400">
        <v>7789</v>
      </c>
      <c r="M5400">
        <v>5055</v>
      </c>
      <c r="N5400">
        <v>5423</v>
      </c>
      <c r="O5400">
        <v>9205</v>
      </c>
      <c r="P5400">
        <v>8561</v>
      </c>
      <c r="Q5400">
        <v>9497</v>
      </c>
      <c r="R5400">
        <v>6228</v>
      </c>
    </row>
    <row r="5401" spans="4:19" x14ac:dyDescent="0.25">
      <c r="D5401" t="s">
        <v>133</v>
      </c>
      <c r="E5401">
        <v>2014</v>
      </c>
      <c r="F5401" t="s">
        <v>30</v>
      </c>
      <c r="G5401">
        <v>8646</v>
      </c>
      <c r="H5401">
        <v>8068</v>
      </c>
      <c r="I5401">
        <v>6588</v>
      </c>
      <c r="J5401">
        <v>7477</v>
      </c>
      <c r="K5401">
        <v>6336</v>
      </c>
      <c r="L5401">
        <v>6502</v>
      </c>
      <c r="M5401">
        <v>5523</v>
      </c>
      <c r="N5401">
        <v>5054</v>
      </c>
      <c r="O5401">
        <v>9975</v>
      </c>
      <c r="P5401">
        <v>7911</v>
      </c>
      <c r="Q5401">
        <v>7572</v>
      </c>
      <c r="R5401">
        <v>6469</v>
      </c>
    </row>
    <row r="5402" spans="4:19" x14ac:dyDescent="0.25">
      <c r="D5402" t="s">
        <v>133</v>
      </c>
      <c r="E5402">
        <v>2015</v>
      </c>
      <c r="F5402" t="s">
        <v>30</v>
      </c>
      <c r="G5402">
        <v>8444</v>
      </c>
      <c r="H5402">
        <v>7022</v>
      </c>
      <c r="I5402">
        <v>8066</v>
      </c>
      <c r="J5402">
        <v>6573</v>
      </c>
      <c r="K5402">
        <v>5382</v>
      </c>
      <c r="L5402">
        <v>7328</v>
      </c>
      <c r="M5402">
        <v>5943</v>
      </c>
    </row>
    <row r="5403" spans="4:19" x14ac:dyDescent="0.25">
      <c r="D5403" t="s">
        <v>133</v>
      </c>
      <c r="E5403">
        <v>2013</v>
      </c>
      <c r="F5403" t="s">
        <v>31</v>
      </c>
      <c r="S5403">
        <v>0.68987963144771991</v>
      </c>
    </row>
    <row r="5404" spans="4:19" x14ac:dyDescent="0.25">
      <c r="D5404" t="s">
        <v>133</v>
      </c>
      <c r="E5404">
        <v>2014</v>
      </c>
      <c r="F5404" t="s">
        <v>31</v>
      </c>
      <c r="S5404">
        <v>0.88047106388980301</v>
      </c>
    </row>
    <row r="5405" spans="4:19" x14ac:dyDescent="0.25">
      <c r="D5405" t="s">
        <v>133</v>
      </c>
      <c r="E5405">
        <v>2015</v>
      </c>
      <c r="F5405" t="s">
        <v>31</v>
      </c>
      <c r="S5405">
        <v>0.92064397179297108</v>
      </c>
    </row>
    <row r="5406" spans="4:19" x14ac:dyDescent="0.25">
      <c r="D5406" t="s">
        <v>133</v>
      </c>
      <c r="E5406">
        <v>2013</v>
      </c>
      <c r="F5406" t="s">
        <v>32</v>
      </c>
      <c r="G5406">
        <v>0.74808902293172486</v>
      </c>
      <c r="H5406">
        <v>0.62663303429074557</v>
      </c>
      <c r="I5406">
        <v>0.69110513704634446</v>
      </c>
      <c r="J5406">
        <v>0.71835919407132931</v>
      </c>
      <c r="K5406">
        <v>0.62420020331280268</v>
      </c>
      <c r="L5406">
        <v>0.79826598962834916</v>
      </c>
      <c r="M5406">
        <v>0.64161354581673302</v>
      </c>
      <c r="N5406">
        <v>0.67448194423282037</v>
      </c>
      <c r="O5406">
        <v>0.87979241686083454</v>
      </c>
      <c r="P5406">
        <v>0.91279730628176803</v>
      </c>
      <c r="Q5406">
        <v>0.78899353283989471</v>
      </c>
      <c r="R5406">
        <v>0.91440633245382585</v>
      </c>
    </row>
    <row r="5407" spans="4:19" x14ac:dyDescent="0.25">
      <c r="D5407" t="s">
        <v>133</v>
      </c>
      <c r="E5407">
        <v>2014</v>
      </c>
      <c r="F5407" t="s">
        <v>32</v>
      </c>
      <c r="G5407">
        <v>0.85833308625137128</v>
      </c>
      <c r="H5407">
        <v>0.85604628299175678</v>
      </c>
      <c r="I5407">
        <v>0.85764257359588103</v>
      </c>
      <c r="J5407">
        <v>0.93762876943247797</v>
      </c>
      <c r="K5407">
        <v>0.90368042177836361</v>
      </c>
      <c r="L5407">
        <v>0.84922026828459019</v>
      </c>
      <c r="M5407">
        <v>0.92312161980959195</v>
      </c>
      <c r="N5407">
        <v>0.92588319541693187</v>
      </c>
      <c r="O5407">
        <v>0.94571988521033112</v>
      </c>
      <c r="P5407">
        <v>0.94525231719876412</v>
      </c>
      <c r="Q5407">
        <v>0.94945279168985341</v>
      </c>
      <c r="R5407">
        <v>0.94730082123535597</v>
      </c>
    </row>
    <row r="5408" spans="4:19" x14ac:dyDescent="0.25">
      <c r="D5408" t="s">
        <v>133</v>
      </c>
      <c r="E5408">
        <v>2015</v>
      </c>
      <c r="F5408" t="s">
        <v>32</v>
      </c>
      <c r="G5408">
        <v>0.92757395471822834</v>
      </c>
      <c r="H5408">
        <v>0.92942018611309951</v>
      </c>
      <c r="I5408">
        <v>0.90618938458825604</v>
      </c>
      <c r="J5408">
        <v>0.91834487820542232</v>
      </c>
      <c r="K5408">
        <v>0.92272727272727273</v>
      </c>
      <c r="L5408">
        <v>0.9266775628802324</v>
      </c>
      <c r="M5408">
        <v>0.91503887729944999</v>
      </c>
    </row>
    <row r="5409" spans="4:19" x14ac:dyDescent="0.25">
      <c r="D5409" t="s">
        <v>133</v>
      </c>
      <c r="E5409">
        <v>2013</v>
      </c>
      <c r="F5409" t="s">
        <v>33</v>
      </c>
      <c r="S5409">
        <v>0.39830407070892399</v>
      </c>
    </row>
    <row r="5410" spans="4:19" x14ac:dyDescent="0.25">
      <c r="D5410" t="s">
        <v>133</v>
      </c>
      <c r="E5410">
        <v>2014</v>
      </c>
      <c r="F5410" t="s">
        <v>33</v>
      </c>
      <c r="S5410">
        <v>0.78990109603698266</v>
      </c>
    </row>
    <row r="5411" spans="4:19" x14ac:dyDescent="0.25">
      <c r="D5411" t="s">
        <v>133</v>
      </c>
      <c r="E5411">
        <v>2015</v>
      </c>
      <c r="F5411" t="s">
        <v>33</v>
      </c>
      <c r="S5411">
        <v>0.92822740579847007</v>
      </c>
    </row>
    <row r="5412" spans="4:19" x14ac:dyDescent="0.25">
      <c r="D5412" t="s">
        <v>133</v>
      </c>
      <c r="E5412">
        <v>2013</v>
      </c>
      <c r="F5412" t="s">
        <v>34</v>
      </c>
      <c r="G5412">
        <v>0.52561009817671811</v>
      </c>
      <c r="H5412">
        <v>0.32288533834586464</v>
      </c>
      <c r="I5412">
        <v>0.42612081026826448</v>
      </c>
      <c r="J5412">
        <v>0.4738578060102614</v>
      </c>
      <c r="K5412">
        <v>0.3025250694696146</v>
      </c>
      <c r="L5412">
        <v>0.52969908416921063</v>
      </c>
      <c r="M5412">
        <v>0.3086453744493392</v>
      </c>
      <c r="N5412">
        <v>0.31159624602247554</v>
      </c>
      <c r="O5412">
        <v>0.66720422225480136</v>
      </c>
      <c r="P5412">
        <v>0.7112010796221323</v>
      </c>
      <c r="Q5412">
        <v>0.43679443423470726</v>
      </c>
      <c r="R5412">
        <v>0.65187156593406592</v>
      </c>
    </row>
    <row r="5413" spans="4:19" x14ac:dyDescent="0.25">
      <c r="D5413" t="s">
        <v>133</v>
      </c>
      <c r="E5413">
        <v>2014</v>
      </c>
      <c r="F5413" t="s">
        <v>34</v>
      </c>
      <c r="G5413">
        <v>0.66754801001948227</v>
      </c>
      <c r="H5413">
        <v>0.71992937541381596</v>
      </c>
      <c r="I5413">
        <v>0.69649740237975533</v>
      </c>
      <c r="J5413">
        <v>0.86805349182763747</v>
      </c>
      <c r="K5413">
        <v>0.86012788307832844</v>
      </c>
      <c r="L5413">
        <v>0.95355587808417996</v>
      </c>
      <c r="M5413">
        <v>0.96803086674934546</v>
      </c>
      <c r="N5413">
        <v>0.96701471286188889</v>
      </c>
      <c r="O5413">
        <v>0.95816178925114048</v>
      </c>
      <c r="P5413">
        <v>0.9575117370892019</v>
      </c>
      <c r="Q5413">
        <v>0.96499349052509764</v>
      </c>
      <c r="R5413">
        <v>0.97349397590361442</v>
      </c>
    </row>
    <row r="5414" spans="4:19" x14ac:dyDescent="0.25">
      <c r="D5414" t="s">
        <v>133</v>
      </c>
      <c r="E5414">
        <v>2015</v>
      </c>
      <c r="F5414" t="s">
        <v>34</v>
      </c>
      <c r="G5414">
        <v>0.93880786303107167</v>
      </c>
      <c r="H5414">
        <v>0.9386076682497394</v>
      </c>
      <c r="I5414">
        <v>0.92124299541518084</v>
      </c>
      <c r="J5414">
        <v>0.92350829968595782</v>
      </c>
      <c r="K5414">
        <v>0.91421504816454047</v>
      </c>
      <c r="L5414">
        <v>0.94137299277939435</v>
      </c>
      <c r="M5414">
        <v>0.9186416333230738</v>
      </c>
    </row>
    <row r="5415" spans="4:19" x14ac:dyDescent="0.25">
      <c r="D5415" t="s">
        <v>134</v>
      </c>
      <c r="E5415">
        <v>2013</v>
      </c>
      <c r="F5415" t="s">
        <v>17</v>
      </c>
      <c r="S5415">
        <v>0.77874354791259925</v>
      </c>
    </row>
    <row r="5416" spans="4:19" x14ac:dyDescent="0.25">
      <c r="D5416" t="s">
        <v>134</v>
      </c>
      <c r="E5416">
        <v>2014</v>
      </c>
      <c r="F5416" t="s">
        <v>17</v>
      </c>
      <c r="S5416">
        <v>0.87529843110504779</v>
      </c>
    </row>
    <row r="5417" spans="4:19" x14ac:dyDescent="0.25">
      <c r="D5417" t="s">
        <v>134</v>
      </c>
      <c r="E5417">
        <v>2015</v>
      </c>
      <c r="F5417" t="s">
        <v>17</v>
      </c>
      <c r="S5417">
        <v>0.93607888631090486</v>
      </c>
    </row>
    <row r="5418" spans="4:19" x14ac:dyDescent="0.25">
      <c r="D5418" t="s">
        <v>134</v>
      </c>
      <c r="E5418">
        <v>2013</v>
      </c>
      <c r="F5418" t="s">
        <v>18</v>
      </c>
      <c r="G5418">
        <v>0.74113591595535133</v>
      </c>
      <c r="H5418">
        <v>0.74406081723154893</v>
      </c>
      <c r="I5418">
        <v>0.86205357142857142</v>
      </c>
      <c r="J5418">
        <v>0.83489681050656661</v>
      </c>
      <c r="K5418">
        <v>0.76226962103955265</v>
      </c>
      <c r="L5418">
        <v>0.68016997167138815</v>
      </c>
      <c r="M5418">
        <v>0.74026652730598375</v>
      </c>
      <c r="N5418">
        <v>0.73590408295528187</v>
      </c>
      <c r="O5418">
        <v>0.80646753887928901</v>
      </c>
      <c r="P5418">
        <v>0.88149180899268043</v>
      </c>
      <c r="Q5418">
        <v>0.89493039138429209</v>
      </c>
      <c r="R5418">
        <v>0.90528109028960813</v>
      </c>
    </row>
    <row r="5419" spans="4:19" x14ac:dyDescent="0.25">
      <c r="D5419" t="s">
        <v>134</v>
      </c>
      <c r="E5419">
        <v>2014</v>
      </c>
      <c r="F5419" t="s">
        <v>18</v>
      </c>
      <c r="G5419">
        <v>0.87973059653624119</v>
      </c>
      <c r="H5419">
        <v>0.82305005820721766</v>
      </c>
      <c r="I5419">
        <v>0.85278718817369881</v>
      </c>
      <c r="J5419">
        <v>0.87434094903339188</v>
      </c>
      <c r="K5419">
        <v>0.89828503843879359</v>
      </c>
      <c r="L5419">
        <v>0.88911917098445592</v>
      </c>
      <c r="M5419">
        <v>0.89243131156039401</v>
      </c>
      <c r="N5419">
        <v>0.8926900584795322</v>
      </c>
      <c r="O5419">
        <v>0.93786034593209477</v>
      </c>
      <c r="P5419">
        <v>0.93333333333333335</v>
      </c>
      <c r="Q5419">
        <v>0.92964244521337946</v>
      </c>
      <c r="R5419">
        <v>0.95603156708004511</v>
      </c>
    </row>
    <row r="5420" spans="4:19" x14ac:dyDescent="0.25">
      <c r="D5420" t="s">
        <v>134</v>
      </c>
      <c r="E5420">
        <v>2015</v>
      </c>
      <c r="F5420" t="s">
        <v>18</v>
      </c>
      <c r="G5420">
        <v>0.93414779499404055</v>
      </c>
      <c r="H5420">
        <v>0.92972092075779178</v>
      </c>
      <c r="I5420">
        <v>0.94817400644468308</v>
      </c>
      <c r="J5420">
        <v>0.93271941364405186</v>
      </c>
      <c r="K5420">
        <v>0.94467802611197171</v>
      </c>
      <c r="L5420">
        <v>0.93163784333672428</v>
      </c>
      <c r="M5420">
        <v>0.9360730593607306</v>
      </c>
    </row>
    <row r="5421" spans="4:19" x14ac:dyDescent="0.25">
      <c r="D5421" t="s">
        <v>134</v>
      </c>
      <c r="E5421">
        <v>2013</v>
      </c>
      <c r="F5421" t="s">
        <v>19</v>
      </c>
      <c r="S5421">
        <v>0.61091571428172342</v>
      </c>
    </row>
    <row r="5422" spans="4:19" x14ac:dyDescent="0.25">
      <c r="D5422" t="s">
        <v>134</v>
      </c>
      <c r="E5422">
        <v>2014</v>
      </c>
      <c r="F5422" t="s">
        <v>19</v>
      </c>
      <c r="S5422">
        <v>0.91265324525207703</v>
      </c>
    </row>
    <row r="5423" spans="4:19" x14ac:dyDescent="0.25">
      <c r="D5423" t="s">
        <v>134</v>
      </c>
      <c r="E5423">
        <v>2015</v>
      </c>
      <c r="F5423" t="s">
        <v>19</v>
      </c>
      <c r="S5423">
        <v>0.99421698997505681</v>
      </c>
    </row>
    <row r="5424" spans="4:19" x14ac:dyDescent="0.25">
      <c r="D5424" t="s">
        <v>134</v>
      </c>
      <c r="E5424">
        <v>2013</v>
      </c>
      <c r="F5424" t="s">
        <v>20</v>
      </c>
      <c r="G5424">
        <v>0.49557306190741773</v>
      </c>
      <c r="H5424">
        <v>0.58259666565057333</v>
      </c>
      <c r="I5424">
        <v>0.62849937531812505</v>
      </c>
      <c r="J5424">
        <v>0.5046760679726221</v>
      </c>
      <c r="K5424">
        <v>0.68762205896029016</v>
      </c>
      <c r="L5424">
        <v>0.71783225485316082</v>
      </c>
      <c r="M5424">
        <v>0.71529373743177249</v>
      </c>
      <c r="N5424">
        <v>0.68526285687050192</v>
      </c>
      <c r="O5424">
        <v>0.74145688157867207</v>
      </c>
      <c r="P5424">
        <v>0.80216919071315229</v>
      </c>
      <c r="Q5424">
        <v>0.76016676282826778</v>
      </c>
      <c r="R5424">
        <v>0.8206952980800335</v>
      </c>
    </row>
    <row r="5425" spans="4:19" x14ac:dyDescent="0.25">
      <c r="D5425" t="s">
        <v>134</v>
      </c>
      <c r="E5425">
        <v>2014</v>
      </c>
      <c r="F5425" t="s">
        <v>20</v>
      </c>
      <c r="G5425">
        <v>0.72883981758275329</v>
      </c>
      <c r="H5425">
        <v>0.93708751893071007</v>
      </c>
      <c r="I5425">
        <v>0.96771837115324832</v>
      </c>
      <c r="J5425">
        <v>0.97824193494355294</v>
      </c>
      <c r="K5425">
        <v>0.96778067984671989</v>
      </c>
      <c r="L5425">
        <v>0.96070330514988467</v>
      </c>
      <c r="M5425">
        <v>0.94978024711833486</v>
      </c>
      <c r="N5425">
        <v>0.96159116636545983</v>
      </c>
      <c r="O5425">
        <v>0.96166037735849053</v>
      </c>
      <c r="P5425">
        <v>0.98343020733929032</v>
      </c>
      <c r="Q5425">
        <v>0.98735831885496816</v>
      </c>
      <c r="R5425">
        <v>0.98404097387173395</v>
      </c>
    </row>
    <row r="5426" spans="4:19" x14ac:dyDescent="0.25">
      <c r="D5426" t="s">
        <v>134</v>
      </c>
      <c r="E5426">
        <v>2015</v>
      </c>
      <c r="F5426" t="s">
        <v>20</v>
      </c>
      <c r="G5426">
        <v>0.99195515368755816</v>
      </c>
      <c r="H5426">
        <v>0.99508178861029395</v>
      </c>
      <c r="I5426">
        <v>0.99500482679657853</v>
      </c>
      <c r="J5426">
        <v>0.99815588569070468</v>
      </c>
      <c r="K5426">
        <v>0.99756755227876981</v>
      </c>
      <c r="L5426">
        <v>0.99623151493099771</v>
      </c>
      <c r="M5426">
        <v>0.98551126820219959</v>
      </c>
    </row>
    <row r="5427" spans="4:19" x14ac:dyDescent="0.25">
      <c r="D5427" t="s">
        <v>134</v>
      </c>
      <c r="E5427">
        <v>2013</v>
      </c>
      <c r="F5427" t="s">
        <v>21</v>
      </c>
      <c r="S5427">
        <v>0.82292346605744127</v>
      </c>
    </row>
    <row r="5428" spans="4:19" x14ac:dyDescent="0.25">
      <c r="D5428" t="s">
        <v>134</v>
      </c>
      <c r="E5428">
        <v>2014</v>
      </c>
      <c r="F5428" t="s">
        <v>21</v>
      </c>
      <c r="S5428">
        <v>0.96591669516855772</v>
      </c>
    </row>
    <row r="5429" spans="4:19" x14ac:dyDescent="0.25">
      <c r="D5429" t="s">
        <v>134</v>
      </c>
      <c r="E5429">
        <v>2015</v>
      </c>
      <c r="F5429" t="s">
        <v>21</v>
      </c>
      <c r="S5429">
        <v>0.97827626918536015</v>
      </c>
    </row>
    <row r="5430" spans="4:19" x14ac:dyDescent="0.25">
      <c r="D5430" t="s">
        <v>134</v>
      </c>
      <c r="E5430">
        <v>2013</v>
      </c>
      <c r="F5430" t="s">
        <v>22</v>
      </c>
      <c r="G5430">
        <v>0.79662594531704478</v>
      </c>
      <c r="H5430">
        <v>0.72765657987332866</v>
      </c>
      <c r="I5430">
        <v>0.8878952411370169</v>
      </c>
      <c r="J5430">
        <v>0.77371000288267511</v>
      </c>
      <c r="K5430">
        <v>0.86873156342182889</v>
      </c>
      <c r="L5430">
        <v>0.87983404948881316</v>
      </c>
      <c r="M5430">
        <v>0.84869827694629607</v>
      </c>
      <c r="N5430">
        <v>0.87956393839764668</v>
      </c>
      <c r="O5430">
        <v>0.93772716258783617</v>
      </c>
      <c r="P5430">
        <v>0.92206993498506418</v>
      </c>
      <c r="Q5430">
        <v>0.89383343928798475</v>
      </c>
      <c r="R5430">
        <v>0.88504929362740115</v>
      </c>
    </row>
    <row r="5431" spans="4:19" x14ac:dyDescent="0.25">
      <c r="D5431" t="s">
        <v>134</v>
      </c>
      <c r="E5431">
        <v>2014</v>
      </c>
      <c r="F5431" t="s">
        <v>22</v>
      </c>
      <c r="G5431">
        <v>0.86318730665602239</v>
      </c>
      <c r="H5431">
        <v>0.97391214683439886</v>
      </c>
      <c r="I5431">
        <v>0.99154387139986599</v>
      </c>
      <c r="J5431">
        <v>0.99125394081155294</v>
      </c>
      <c r="K5431">
        <v>0.98537811286269139</v>
      </c>
      <c r="L5431">
        <v>0.97989887779010976</v>
      </c>
      <c r="M5431">
        <v>0.97862286228622863</v>
      </c>
      <c r="N5431">
        <v>0.95685141722332556</v>
      </c>
      <c r="O5431">
        <v>0.98616761594792512</v>
      </c>
      <c r="P5431">
        <v>0.99647931598139072</v>
      </c>
      <c r="Q5431">
        <v>0.97625890291140827</v>
      </c>
      <c r="R5431">
        <v>0.9325885978428351</v>
      </c>
    </row>
    <row r="5432" spans="4:19" x14ac:dyDescent="0.25">
      <c r="D5432" t="s">
        <v>134</v>
      </c>
      <c r="E5432">
        <v>2015</v>
      </c>
      <c r="F5432" t="s">
        <v>22</v>
      </c>
      <c r="G5432">
        <v>0.96305987378790214</v>
      </c>
      <c r="H5432">
        <v>0.96218660090423347</v>
      </c>
      <c r="I5432">
        <v>0.99050131926121376</v>
      </c>
      <c r="J5432">
        <v>0.99506369426751595</v>
      </c>
      <c r="K5432">
        <v>0.98389431777053926</v>
      </c>
      <c r="L5432">
        <v>0.99244186046511629</v>
      </c>
      <c r="M5432">
        <v>0.95425649530127143</v>
      </c>
    </row>
    <row r="5433" spans="4:19" x14ac:dyDescent="0.25">
      <c r="D5433" t="s">
        <v>134</v>
      </c>
      <c r="E5433">
        <v>2013</v>
      </c>
      <c r="F5433" t="s">
        <v>23</v>
      </c>
      <c r="S5433">
        <v>273610</v>
      </c>
    </row>
    <row r="5434" spans="4:19" x14ac:dyDescent="0.25">
      <c r="D5434" t="s">
        <v>134</v>
      </c>
      <c r="E5434">
        <v>2014</v>
      </c>
      <c r="F5434" t="s">
        <v>23</v>
      </c>
      <c r="S5434">
        <v>211289</v>
      </c>
    </row>
    <row r="5435" spans="4:19" x14ac:dyDescent="0.25">
      <c r="D5435" t="s">
        <v>134</v>
      </c>
      <c r="E5435">
        <v>2015</v>
      </c>
      <c r="F5435" t="s">
        <v>23</v>
      </c>
      <c r="S5435">
        <v>194190</v>
      </c>
    </row>
    <row r="5436" spans="4:19" x14ac:dyDescent="0.25">
      <c r="D5436" t="s">
        <v>134</v>
      </c>
      <c r="E5436">
        <v>2013</v>
      </c>
      <c r="F5436" t="s">
        <v>24</v>
      </c>
      <c r="G5436">
        <v>42672</v>
      </c>
      <c r="H5436">
        <v>43686</v>
      </c>
      <c r="J5436">
        <v>31875</v>
      </c>
      <c r="K5436">
        <v>39106</v>
      </c>
      <c r="L5436">
        <v>57702</v>
      </c>
      <c r="M5436">
        <v>58569</v>
      </c>
      <c r="N5436">
        <v>57517</v>
      </c>
      <c r="O5436">
        <v>55202</v>
      </c>
      <c r="P5436">
        <v>62473</v>
      </c>
      <c r="Q5436">
        <v>72774</v>
      </c>
      <c r="R5436">
        <v>68122</v>
      </c>
    </row>
    <row r="5437" spans="4:19" x14ac:dyDescent="0.25">
      <c r="D5437" t="s">
        <v>134</v>
      </c>
      <c r="E5437">
        <v>2014</v>
      </c>
      <c r="F5437" t="s">
        <v>24</v>
      </c>
      <c r="G5437">
        <v>41724</v>
      </c>
      <c r="H5437">
        <v>37967</v>
      </c>
      <c r="I5437">
        <v>31844</v>
      </c>
      <c r="J5437">
        <v>24890</v>
      </c>
      <c r="K5437">
        <v>21522</v>
      </c>
      <c r="L5437">
        <v>25609</v>
      </c>
      <c r="M5437">
        <v>27733</v>
      </c>
      <c r="N5437">
        <v>27384</v>
      </c>
      <c r="O5437">
        <v>36342</v>
      </c>
      <c r="P5437">
        <v>34280</v>
      </c>
      <c r="Q5437">
        <v>28868</v>
      </c>
      <c r="R5437">
        <v>29374</v>
      </c>
    </row>
    <row r="5438" spans="4:19" x14ac:dyDescent="0.25">
      <c r="D5438" t="s">
        <v>134</v>
      </c>
      <c r="E5438">
        <v>2015</v>
      </c>
      <c r="F5438" t="s">
        <v>24</v>
      </c>
      <c r="G5438">
        <v>30900</v>
      </c>
      <c r="H5438">
        <v>28112</v>
      </c>
      <c r="I5438">
        <v>29864</v>
      </c>
      <c r="J5438">
        <v>25028</v>
      </c>
      <c r="K5438">
        <v>24593</v>
      </c>
      <c r="L5438">
        <v>25958</v>
      </c>
      <c r="M5438">
        <v>29735</v>
      </c>
    </row>
    <row r="5439" spans="4:19" x14ac:dyDescent="0.25">
      <c r="D5439" t="s">
        <v>134</v>
      </c>
      <c r="E5439">
        <v>2013</v>
      </c>
      <c r="F5439" t="s">
        <v>25</v>
      </c>
      <c r="S5439">
        <v>304785</v>
      </c>
    </row>
    <row r="5440" spans="4:19" x14ac:dyDescent="0.25">
      <c r="D5440" t="s">
        <v>134</v>
      </c>
      <c r="E5440">
        <v>2014</v>
      </c>
      <c r="F5440" t="s">
        <v>25</v>
      </c>
      <c r="S5440">
        <v>388515</v>
      </c>
    </row>
    <row r="5441" spans="4:19" x14ac:dyDescent="0.25">
      <c r="D5441" t="s">
        <v>134</v>
      </c>
      <c r="E5441">
        <v>2015</v>
      </c>
      <c r="F5441" t="s">
        <v>25</v>
      </c>
      <c r="S5441">
        <v>420654</v>
      </c>
    </row>
    <row r="5442" spans="4:19" x14ac:dyDescent="0.25">
      <c r="D5442" t="s">
        <v>134</v>
      </c>
      <c r="E5442">
        <v>2013</v>
      </c>
      <c r="F5442" t="s">
        <v>26</v>
      </c>
      <c r="G5442">
        <v>58497</v>
      </c>
      <c r="H5442">
        <v>44693</v>
      </c>
      <c r="J5442">
        <v>54082</v>
      </c>
      <c r="K5442">
        <v>43092</v>
      </c>
      <c r="L5442">
        <v>49155</v>
      </c>
      <c r="M5442">
        <v>55266</v>
      </c>
      <c r="N5442">
        <v>47229</v>
      </c>
      <c r="O5442">
        <v>52274</v>
      </c>
      <c r="P5442">
        <v>69117</v>
      </c>
      <c r="Q5442">
        <v>59508</v>
      </c>
      <c r="R5442">
        <v>62774</v>
      </c>
    </row>
    <row r="5443" spans="4:19" x14ac:dyDescent="0.25">
      <c r="D5443" t="s">
        <v>134</v>
      </c>
      <c r="E5443">
        <v>2014</v>
      </c>
      <c r="F5443" t="s">
        <v>26</v>
      </c>
      <c r="G5443">
        <v>68149</v>
      </c>
      <c r="H5443">
        <v>58029</v>
      </c>
      <c r="I5443">
        <v>56242</v>
      </c>
      <c r="J5443">
        <v>52881</v>
      </c>
      <c r="K5443">
        <v>46525</v>
      </c>
      <c r="L5443">
        <v>47154</v>
      </c>
      <c r="M5443">
        <v>59535</v>
      </c>
      <c r="N5443">
        <v>45555</v>
      </c>
      <c r="O5443">
        <v>53265</v>
      </c>
      <c r="P5443">
        <v>67765</v>
      </c>
      <c r="Q5443">
        <v>56991</v>
      </c>
      <c r="R5443">
        <v>55178</v>
      </c>
    </row>
    <row r="5444" spans="4:19" x14ac:dyDescent="0.25">
      <c r="D5444" t="s">
        <v>134</v>
      </c>
      <c r="E5444">
        <v>2015</v>
      </c>
      <c r="F5444" t="s">
        <v>26</v>
      </c>
      <c r="G5444">
        <v>77677</v>
      </c>
      <c r="H5444">
        <v>60012</v>
      </c>
      <c r="I5444">
        <v>61987</v>
      </c>
      <c r="J5444">
        <v>50824</v>
      </c>
      <c r="K5444">
        <v>51715</v>
      </c>
      <c r="L5444">
        <v>61082</v>
      </c>
      <c r="M5444">
        <v>57357</v>
      </c>
    </row>
    <row r="5445" spans="4:19" x14ac:dyDescent="0.25">
      <c r="D5445" t="s">
        <v>134</v>
      </c>
      <c r="E5445">
        <v>2013</v>
      </c>
      <c r="F5445" t="s">
        <v>27</v>
      </c>
      <c r="S5445">
        <v>606263</v>
      </c>
    </row>
    <row r="5446" spans="4:19" x14ac:dyDescent="0.25">
      <c r="D5446" t="s">
        <v>134</v>
      </c>
      <c r="E5446">
        <v>2014</v>
      </c>
      <c r="F5446" t="s">
        <v>27</v>
      </c>
      <c r="S5446">
        <v>652460</v>
      </c>
    </row>
    <row r="5447" spans="4:19" x14ac:dyDescent="0.25">
      <c r="D5447" t="s">
        <v>134</v>
      </c>
      <c r="E5447">
        <v>2015</v>
      </c>
      <c r="F5447" t="s">
        <v>27</v>
      </c>
      <c r="S5447">
        <v>743658</v>
      </c>
    </row>
    <row r="5448" spans="4:19" x14ac:dyDescent="0.25">
      <c r="D5448" t="s">
        <v>134</v>
      </c>
      <c r="E5448">
        <v>2013</v>
      </c>
      <c r="F5448" t="s">
        <v>28</v>
      </c>
      <c r="G5448">
        <v>93774</v>
      </c>
      <c r="H5448">
        <v>74122</v>
      </c>
      <c r="I5448">
        <v>94524</v>
      </c>
      <c r="J5448">
        <v>89114</v>
      </c>
      <c r="K5448">
        <v>74143</v>
      </c>
      <c r="L5448">
        <v>83578</v>
      </c>
      <c r="M5448">
        <v>97008</v>
      </c>
      <c r="N5448">
        <v>79996</v>
      </c>
      <c r="O5448">
        <v>88539</v>
      </c>
      <c r="P5448">
        <v>111644</v>
      </c>
      <c r="Q5448">
        <v>95684</v>
      </c>
      <c r="R5448">
        <v>112609</v>
      </c>
    </row>
    <row r="5449" spans="4:19" x14ac:dyDescent="0.25">
      <c r="D5449" t="s">
        <v>134</v>
      </c>
      <c r="E5449">
        <v>2014</v>
      </c>
      <c r="F5449" t="s">
        <v>28</v>
      </c>
      <c r="G5449">
        <v>109822</v>
      </c>
      <c r="H5449">
        <v>98557</v>
      </c>
      <c r="I5449">
        <v>98151</v>
      </c>
      <c r="J5449">
        <v>91197</v>
      </c>
      <c r="K5449">
        <v>76185</v>
      </c>
      <c r="L5449">
        <v>79874</v>
      </c>
      <c r="M5449">
        <v>98674</v>
      </c>
      <c r="N5449">
        <v>73884</v>
      </c>
      <c r="O5449">
        <v>89206</v>
      </c>
      <c r="P5449">
        <v>111004</v>
      </c>
      <c r="Q5449">
        <v>96092</v>
      </c>
      <c r="R5449">
        <v>97665</v>
      </c>
    </row>
    <row r="5450" spans="4:19" x14ac:dyDescent="0.25">
      <c r="D5450" t="s">
        <v>134</v>
      </c>
      <c r="E5450">
        <v>2015</v>
      </c>
      <c r="F5450" t="s">
        <v>28</v>
      </c>
      <c r="G5450">
        <v>125616</v>
      </c>
      <c r="H5450">
        <v>103132</v>
      </c>
      <c r="I5450">
        <v>117761</v>
      </c>
      <c r="J5450">
        <v>89769</v>
      </c>
      <c r="K5450">
        <v>89417</v>
      </c>
      <c r="L5450">
        <v>112364</v>
      </c>
      <c r="M5450">
        <v>105599</v>
      </c>
    </row>
    <row r="5451" spans="4:19" x14ac:dyDescent="0.25">
      <c r="D5451" t="s">
        <v>134</v>
      </c>
      <c r="E5451">
        <v>2013</v>
      </c>
      <c r="F5451" t="s">
        <v>29</v>
      </c>
      <c r="S5451">
        <v>37391</v>
      </c>
    </row>
    <row r="5452" spans="4:19" x14ac:dyDescent="0.25">
      <c r="D5452" t="s">
        <v>134</v>
      </c>
      <c r="E5452">
        <v>2014</v>
      </c>
      <c r="F5452" t="s">
        <v>29</v>
      </c>
      <c r="S5452">
        <v>23456</v>
      </c>
    </row>
    <row r="5453" spans="4:19" x14ac:dyDescent="0.25">
      <c r="D5453" t="s">
        <v>134</v>
      </c>
      <c r="E5453">
        <v>2015</v>
      </c>
      <c r="F5453" t="s">
        <v>29</v>
      </c>
      <c r="S5453">
        <v>34480</v>
      </c>
    </row>
    <row r="5454" spans="4:19" x14ac:dyDescent="0.25">
      <c r="D5454" t="s">
        <v>134</v>
      </c>
      <c r="E5454">
        <v>2013</v>
      </c>
      <c r="F5454" t="s">
        <v>30</v>
      </c>
      <c r="G5454">
        <v>6092</v>
      </c>
      <c r="H5454">
        <v>6314</v>
      </c>
      <c r="I5454">
        <v>11200</v>
      </c>
      <c r="J5454">
        <v>1599</v>
      </c>
      <c r="K5454">
        <v>4829</v>
      </c>
      <c r="L5454">
        <v>3530</v>
      </c>
      <c r="M5454">
        <v>3827</v>
      </c>
      <c r="N5454">
        <v>3086</v>
      </c>
      <c r="O5454">
        <v>4051</v>
      </c>
      <c r="P5454">
        <v>5738</v>
      </c>
      <c r="Q5454">
        <v>3807</v>
      </c>
      <c r="R5454">
        <v>2935</v>
      </c>
    </row>
    <row r="5455" spans="4:19" x14ac:dyDescent="0.25">
      <c r="D5455" t="s">
        <v>134</v>
      </c>
      <c r="E5455">
        <v>2014</v>
      </c>
      <c r="F5455" t="s">
        <v>30</v>
      </c>
      <c r="G5455">
        <v>3118</v>
      </c>
      <c r="H5455">
        <v>2577</v>
      </c>
      <c r="I5455">
        <v>3247</v>
      </c>
      <c r="J5455">
        <v>3414</v>
      </c>
      <c r="K5455">
        <v>3382</v>
      </c>
      <c r="L5455">
        <v>3860</v>
      </c>
      <c r="M5455">
        <v>3858</v>
      </c>
      <c r="N5455">
        <v>3420</v>
      </c>
      <c r="O5455">
        <v>4683</v>
      </c>
      <c r="P5455">
        <v>5250</v>
      </c>
      <c r="Q5455">
        <v>4335</v>
      </c>
      <c r="R5455">
        <v>4435</v>
      </c>
    </row>
    <row r="5456" spans="4:19" x14ac:dyDescent="0.25">
      <c r="D5456" t="s">
        <v>134</v>
      </c>
      <c r="E5456">
        <v>2015</v>
      </c>
      <c r="F5456" t="s">
        <v>30</v>
      </c>
      <c r="G5456">
        <v>6712</v>
      </c>
      <c r="H5456">
        <v>4909</v>
      </c>
      <c r="I5456">
        <v>3724</v>
      </c>
      <c r="J5456">
        <v>5321</v>
      </c>
      <c r="K5456">
        <v>4519</v>
      </c>
      <c r="L5456">
        <v>4915</v>
      </c>
      <c r="M5456">
        <v>4380</v>
      </c>
    </row>
    <row r="5457" spans="4:19" x14ac:dyDescent="0.25">
      <c r="D5457" t="s">
        <v>134</v>
      </c>
      <c r="E5457">
        <v>2013</v>
      </c>
      <c r="F5457" t="s">
        <v>31</v>
      </c>
      <c r="S5457">
        <v>0.56127334527246808</v>
      </c>
    </row>
    <row r="5458" spans="4:19" x14ac:dyDescent="0.25">
      <c r="D5458" t="s">
        <v>134</v>
      </c>
      <c r="E5458">
        <v>2014</v>
      </c>
      <c r="F5458" t="s">
        <v>31</v>
      </c>
      <c r="S5458">
        <v>0.87538868563910099</v>
      </c>
    </row>
    <row r="5459" spans="4:19" x14ac:dyDescent="0.25">
      <c r="D5459" t="s">
        <v>134</v>
      </c>
      <c r="E5459">
        <v>2015</v>
      </c>
      <c r="F5459" t="s">
        <v>31</v>
      </c>
      <c r="S5459">
        <v>0.87053401307997325</v>
      </c>
    </row>
    <row r="5460" spans="4:19" x14ac:dyDescent="0.25">
      <c r="D5460" t="s">
        <v>134</v>
      </c>
      <c r="E5460">
        <v>2013</v>
      </c>
      <c r="F5460" t="s">
        <v>32</v>
      </c>
      <c r="G5460">
        <v>0.66476846644169474</v>
      </c>
      <c r="H5460">
        <v>0.5442475850386852</v>
      </c>
      <c r="J5460">
        <v>0.63018039215686272</v>
      </c>
      <c r="K5460">
        <v>0.50511430471027463</v>
      </c>
      <c r="L5460">
        <v>0.4684932931267547</v>
      </c>
      <c r="M5460">
        <v>0.58997080366746912</v>
      </c>
      <c r="N5460">
        <v>0.61114105394926721</v>
      </c>
      <c r="O5460">
        <v>0.64361798485562116</v>
      </c>
      <c r="P5460">
        <v>0.64775182879003734</v>
      </c>
      <c r="Q5460">
        <v>0.53472393986863442</v>
      </c>
      <c r="R5460">
        <v>0.69052582132057194</v>
      </c>
    </row>
    <row r="5461" spans="4:19" x14ac:dyDescent="0.25">
      <c r="D5461" t="s">
        <v>134</v>
      </c>
      <c r="E5461">
        <v>2014</v>
      </c>
      <c r="F5461" t="s">
        <v>32</v>
      </c>
      <c r="G5461">
        <v>0.86866072284536477</v>
      </c>
      <c r="H5461">
        <v>0.89072088919324677</v>
      </c>
      <c r="I5461">
        <v>0.88622660469790226</v>
      </c>
      <c r="J5461">
        <v>0.97525110486139011</v>
      </c>
      <c r="K5461">
        <v>0.90851222005389831</v>
      </c>
      <c r="L5461">
        <v>0.75266507868327537</v>
      </c>
      <c r="M5461">
        <v>0.85007031334511229</v>
      </c>
      <c r="N5461">
        <v>0.86419076833187258</v>
      </c>
      <c r="O5461">
        <v>0.85765780639480493</v>
      </c>
      <c r="P5461">
        <v>0.87161610268378065</v>
      </c>
      <c r="Q5461">
        <v>0.8874878758486906</v>
      </c>
      <c r="R5461">
        <v>0.89654115884796082</v>
      </c>
    </row>
    <row r="5462" spans="4:19" x14ac:dyDescent="0.25">
      <c r="D5462" t="s">
        <v>134</v>
      </c>
      <c r="E5462">
        <v>2015</v>
      </c>
      <c r="F5462" t="s">
        <v>32</v>
      </c>
      <c r="G5462">
        <v>0.88404530744336574</v>
      </c>
      <c r="H5462">
        <v>0.882896983494593</v>
      </c>
      <c r="I5462">
        <v>0.85969729440128584</v>
      </c>
      <c r="J5462">
        <v>0.8373821320121464</v>
      </c>
      <c r="K5462">
        <v>0.87614361810271213</v>
      </c>
      <c r="L5462">
        <v>0.85461129516911938</v>
      </c>
      <c r="M5462">
        <v>0.89285353959979818</v>
      </c>
    </row>
    <row r="5463" spans="4:19" x14ac:dyDescent="0.25">
      <c r="D5463" t="s">
        <v>134</v>
      </c>
      <c r="E5463">
        <v>2013</v>
      </c>
      <c r="F5463" t="s">
        <v>33</v>
      </c>
      <c r="S5463">
        <v>0.33913903873783513</v>
      </c>
    </row>
    <row r="5464" spans="4:19" x14ac:dyDescent="0.25">
      <c r="D5464" t="s">
        <v>134</v>
      </c>
      <c r="E5464">
        <v>2014</v>
      </c>
      <c r="F5464" t="s">
        <v>33</v>
      </c>
      <c r="S5464">
        <v>0.88206648543356803</v>
      </c>
    </row>
    <row r="5465" spans="4:19" x14ac:dyDescent="0.25">
      <c r="D5465" t="s">
        <v>134</v>
      </c>
      <c r="E5465">
        <v>2015</v>
      </c>
      <c r="F5465" t="s">
        <v>33</v>
      </c>
      <c r="S5465">
        <v>0.94193926395967142</v>
      </c>
    </row>
    <row r="5466" spans="4:19" x14ac:dyDescent="0.25">
      <c r="D5466" t="s">
        <v>134</v>
      </c>
      <c r="E5466">
        <v>2013</v>
      </c>
      <c r="F5466" t="s">
        <v>34</v>
      </c>
      <c r="G5466">
        <v>0.51573496215642012</v>
      </c>
      <c r="H5466">
        <v>0.32177063379695175</v>
      </c>
      <c r="J5466">
        <v>0.46292890213737553</v>
      </c>
      <c r="K5466">
        <v>0.27355913684785577</v>
      </c>
      <c r="L5466">
        <v>0.24468119766722055</v>
      </c>
      <c r="M5466">
        <v>0.3027088521969068</v>
      </c>
      <c r="N5466">
        <v>0.30260983442985873</v>
      </c>
      <c r="O5466">
        <v>0.37157003673534578</v>
      </c>
      <c r="P5466">
        <v>0.36768001838974773</v>
      </c>
      <c r="Q5466">
        <v>0.22685238040872246</v>
      </c>
      <c r="R5466">
        <v>0.34362838195460632</v>
      </c>
    </row>
    <row r="5467" spans="4:19" x14ac:dyDescent="0.25">
      <c r="D5467" t="s">
        <v>134</v>
      </c>
      <c r="E5467">
        <v>2014</v>
      </c>
      <c r="F5467" t="s">
        <v>34</v>
      </c>
      <c r="G5467">
        <v>0.86389207493582387</v>
      </c>
      <c r="H5467">
        <v>0.78000452898550721</v>
      </c>
      <c r="I5467">
        <v>0.79686652606206687</v>
      </c>
      <c r="J5467">
        <v>0.96494644595910417</v>
      </c>
      <c r="K5467">
        <v>0.95579403367135962</v>
      </c>
      <c r="L5467">
        <v>0.97658785350023181</v>
      </c>
      <c r="M5467">
        <v>0.98083427282976321</v>
      </c>
      <c r="N5467">
        <v>0.97938537888910093</v>
      </c>
      <c r="O5467">
        <v>0.96134998419222262</v>
      </c>
      <c r="P5467">
        <v>0.97714054927302096</v>
      </c>
      <c r="Q5467">
        <v>0.97653378569409099</v>
      </c>
      <c r="R5467">
        <v>0.98484332425068122</v>
      </c>
    </row>
    <row r="5468" spans="4:19" x14ac:dyDescent="0.25">
      <c r="D5468" t="s">
        <v>134</v>
      </c>
      <c r="E5468">
        <v>2015</v>
      </c>
      <c r="F5468" t="s">
        <v>34</v>
      </c>
      <c r="G5468">
        <v>0.9464285714285714</v>
      </c>
      <c r="H5468">
        <v>0.94241096664782364</v>
      </c>
      <c r="I5468">
        <v>0.94184535412605586</v>
      </c>
      <c r="J5468">
        <v>0.94266381766381768</v>
      </c>
      <c r="K5468">
        <v>0.91998247151621382</v>
      </c>
      <c r="L5468">
        <v>0.96620677610897665</v>
      </c>
      <c r="M5468">
        <v>0.93303979396859682</v>
      </c>
    </row>
    <row r="5469" spans="4:19" x14ac:dyDescent="0.25">
      <c r="D5469" t="s">
        <v>135</v>
      </c>
      <c r="E5469">
        <v>2013</v>
      </c>
      <c r="F5469" t="s">
        <v>17</v>
      </c>
      <c r="S5469">
        <v>0.48750538157722328</v>
      </c>
    </row>
    <row r="5470" spans="4:19" x14ac:dyDescent="0.25">
      <c r="D5470" t="s">
        <v>135</v>
      </c>
      <c r="E5470">
        <v>2014</v>
      </c>
      <c r="F5470" t="s">
        <v>17</v>
      </c>
      <c r="S5470">
        <v>0.54984222604704536</v>
      </c>
    </row>
    <row r="5471" spans="4:19" x14ac:dyDescent="0.25">
      <c r="D5471" t="s">
        <v>135</v>
      </c>
      <c r="E5471">
        <v>2015</v>
      </c>
      <c r="F5471" t="s">
        <v>17</v>
      </c>
      <c r="S5471">
        <v>0.63024738507583666</v>
      </c>
    </row>
    <row r="5472" spans="4:19" x14ac:dyDescent="0.25">
      <c r="D5472" t="s">
        <v>135</v>
      </c>
      <c r="E5472">
        <v>2013</v>
      </c>
      <c r="F5472" t="s">
        <v>18</v>
      </c>
      <c r="G5472">
        <v>0.52073108817058722</v>
      </c>
      <c r="I5472">
        <v>0.53227158424140819</v>
      </c>
      <c r="J5472">
        <v>0.45772397094430994</v>
      </c>
      <c r="K5472">
        <v>0.42882172579938677</v>
      </c>
      <c r="L5472">
        <v>0.46710833255575257</v>
      </c>
      <c r="M5472">
        <v>0.75936599423631124</v>
      </c>
      <c r="N5472">
        <v>0.46950125583064228</v>
      </c>
      <c r="O5472">
        <v>0.47224442668087752</v>
      </c>
      <c r="P5472">
        <v>0.70560870710085144</v>
      </c>
      <c r="Q5472">
        <v>0.64183097196076488</v>
      </c>
      <c r="R5472">
        <v>0.65400843881856541</v>
      </c>
    </row>
    <row r="5473" spans="4:19" x14ac:dyDescent="0.25">
      <c r="D5473" t="s">
        <v>135</v>
      </c>
      <c r="E5473">
        <v>2014</v>
      </c>
      <c r="F5473" t="s">
        <v>18</v>
      </c>
      <c r="G5473">
        <v>0.57434186132740084</v>
      </c>
      <c r="H5473">
        <v>0.5163809352840858</v>
      </c>
      <c r="I5473">
        <v>0.47223939656238406</v>
      </c>
      <c r="J5473">
        <v>0.57644370585791438</v>
      </c>
      <c r="K5473">
        <v>0.92479999999999996</v>
      </c>
      <c r="L5473">
        <v>0.56150635930047699</v>
      </c>
      <c r="M5473">
        <v>0.55211794019933558</v>
      </c>
      <c r="N5473">
        <v>0.58616173742224165</v>
      </c>
      <c r="O5473">
        <v>0.63081147618596722</v>
      </c>
      <c r="P5473">
        <v>0.69705961694092256</v>
      </c>
      <c r="Q5473">
        <v>0.77388279368477386</v>
      </c>
      <c r="R5473">
        <v>0.59775233248515691</v>
      </c>
    </row>
    <row r="5474" spans="4:19" x14ac:dyDescent="0.25">
      <c r="D5474" t="s">
        <v>135</v>
      </c>
      <c r="E5474">
        <v>2015</v>
      </c>
      <c r="F5474" t="s">
        <v>18</v>
      </c>
      <c r="G5474">
        <v>0.62756454304505738</v>
      </c>
      <c r="H5474">
        <v>0.59793814432989689</v>
      </c>
      <c r="I5474">
        <v>0.63499327052489907</v>
      </c>
      <c r="J5474">
        <v>0.56136074607884701</v>
      </c>
      <c r="K5474">
        <v>0.60198588347888504</v>
      </c>
      <c r="L5474">
        <v>0.66609164420485178</v>
      </c>
      <c r="M5474">
        <v>0.73437705565057232</v>
      </c>
    </row>
    <row r="5475" spans="4:19" x14ac:dyDescent="0.25">
      <c r="D5475" t="s">
        <v>135</v>
      </c>
      <c r="E5475">
        <v>2013</v>
      </c>
      <c r="F5475" t="s">
        <v>19</v>
      </c>
      <c r="S5475">
        <v>0.43488211378465458</v>
      </c>
    </row>
    <row r="5476" spans="4:19" x14ac:dyDescent="0.25">
      <c r="D5476" t="s">
        <v>135</v>
      </c>
      <c r="E5476">
        <v>2014</v>
      </c>
      <c r="F5476" t="s">
        <v>19</v>
      </c>
      <c r="S5476">
        <v>0.71688293715105667</v>
      </c>
    </row>
    <row r="5477" spans="4:19" x14ac:dyDescent="0.25">
      <c r="D5477" t="s">
        <v>135</v>
      </c>
      <c r="E5477">
        <v>2015</v>
      </c>
      <c r="F5477" t="s">
        <v>19</v>
      </c>
      <c r="S5477">
        <v>0.84659498742011841</v>
      </c>
    </row>
    <row r="5478" spans="4:19" x14ac:dyDescent="0.25">
      <c r="D5478" t="s">
        <v>135</v>
      </c>
      <c r="E5478">
        <v>2013</v>
      </c>
      <c r="F5478" t="s">
        <v>20</v>
      </c>
      <c r="G5478">
        <v>0.34189432810983222</v>
      </c>
      <c r="H5478">
        <v>0.53534420847440234</v>
      </c>
      <c r="I5478">
        <v>0.45775915330271039</v>
      </c>
      <c r="J5478">
        <v>0.47369958021536779</v>
      </c>
      <c r="K5478">
        <v>0.40047744782435707</v>
      </c>
      <c r="L5478">
        <v>0.38037203335471453</v>
      </c>
      <c r="M5478">
        <v>0.50055839183152517</v>
      </c>
      <c r="N5478">
        <v>0.92919113468459935</v>
      </c>
      <c r="O5478">
        <v>0.67988072268023159</v>
      </c>
      <c r="P5478">
        <v>0.59853948791922107</v>
      </c>
      <c r="Q5478">
        <v>0.6361783865040922</v>
      </c>
      <c r="R5478">
        <v>0.6352682041979788</v>
      </c>
    </row>
    <row r="5479" spans="4:19" x14ac:dyDescent="0.25">
      <c r="D5479" t="s">
        <v>135</v>
      </c>
      <c r="E5479">
        <v>2014</v>
      </c>
      <c r="F5479" t="s">
        <v>20</v>
      </c>
      <c r="G5479">
        <v>0.58307310068154361</v>
      </c>
      <c r="H5479">
        <v>0.67305463256317133</v>
      </c>
      <c r="I5479">
        <v>0.70874958831924473</v>
      </c>
      <c r="J5479">
        <v>0.65490886169039242</v>
      </c>
      <c r="K5479">
        <v>0.51349733900442429</v>
      </c>
      <c r="L5479">
        <v>0.98807043580010845</v>
      </c>
      <c r="M5479">
        <v>0.9445564064669264</v>
      </c>
      <c r="N5479">
        <v>0.86682006190593586</v>
      </c>
      <c r="O5479">
        <v>0.95211762999492344</v>
      </c>
      <c r="P5479">
        <v>0.98286753222535606</v>
      </c>
      <c r="Q5479">
        <v>0.90963699445911661</v>
      </c>
      <c r="R5479">
        <v>0.77698258800951558</v>
      </c>
    </row>
    <row r="5480" spans="4:19" x14ac:dyDescent="0.25">
      <c r="D5480" t="s">
        <v>135</v>
      </c>
      <c r="E5480">
        <v>2015</v>
      </c>
      <c r="F5480" t="s">
        <v>20</v>
      </c>
      <c r="G5480">
        <v>0.83777054973296394</v>
      </c>
      <c r="H5480">
        <v>0.93940666452585031</v>
      </c>
      <c r="I5480">
        <v>0.86334994642523621</v>
      </c>
      <c r="J5480">
        <v>0.73341469270166448</v>
      </c>
      <c r="K5480">
        <v>0.81864095500459133</v>
      </c>
      <c r="L5480">
        <v>0.76290322580645165</v>
      </c>
      <c r="M5480">
        <v>0.98211485400083376</v>
      </c>
    </row>
    <row r="5481" spans="4:19" x14ac:dyDescent="0.25">
      <c r="D5481" t="s">
        <v>135</v>
      </c>
      <c r="E5481">
        <v>2013</v>
      </c>
      <c r="F5481" t="s">
        <v>21</v>
      </c>
      <c r="S5481">
        <v>0.969923416105825</v>
      </c>
    </row>
    <row r="5482" spans="4:19" x14ac:dyDescent="0.25">
      <c r="D5482" t="s">
        <v>135</v>
      </c>
      <c r="E5482">
        <v>2014</v>
      </c>
      <c r="F5482" t="s">
        <v>21</v>
      </c>
      <c r="S5482">
        <v>0.98393425631154219</v>
      </c>
    </row>
    <row r="5483" spans="4:19" x14ac:dyDescent="0.25">
      <c r="D5483" t="s">
        <v>135</v>
      </c>
      <c r="E5483">
        <v>2015</v>
      </c>
      <c r="F5483" t="s">
        <v>21</v>
      </c>
      <c r="S5483">
        <v>0.96757993987428259</v>
      </c>
    </row>
    <row r="5484" spans="4:19" x14ac:dyDescent="0.25">
      <c r="D5484" t="s">
        <v>135</v>
      </c>
      <c r="E5484">
        <v>2013</v>
      </c>
      <c r="F5484" t="s">
        <v>22</v>
      </c>
      <c r="G5484">
        <v>0.97994359135067377</v>
      </c>
      <c r="I5484">
        <v>0.96486928104575165</v>
      </c>
      <c r="J5484">
        <v>0.95595978937290571</v>
      </c>
      <c r="K5484">
        <v>0.93918709277071055</v>
      </c>
      <c r="L5484">
        <v>0.98937175247992437</v>
      </c>
      <c r="M5484">
        <v>0.99015425008204794</v>
      </c>
      <c r="N5484">
        <v>0.99392302498311946</v>
      </c>
      <c r="O5484">
        <v>0.98239339752407151</v>
      </c>
      <c r="P5484">
        <v>0.98244034218820353</v>
      </c>
      <c r="Q5484">
        <v>0.98548895899053623</v>
      </c>
      <c r="R5484">
        <v>0.98376330506945697</v>
      </c>
    </row>
    <row r="5485" spans="4:19" x14ac:dyDescent="0.25">
      <c r="D5485" t="s">
        <v>135</v>
      </c>
      <c r="E5485">
        <v>2014</v>
      </c>
      <c r="F5485" t="s">
        <v>22</v>
      </c>
      <c r="G5485">
        <v>0.99728462108121452</v>
      </c>
      <c r="H5485">
        <v>0.99699699699699695</v>
      </c>
      <c r="I5485">
        <v>0.99094807050976652</v>
      </c>
      <c r="J5485">
        <v>0.97559652928416485</v>
      </c>
      <c r="K5485">
        <v>0.95301804604853768</v>
      </c>
      <c r="L5485">
        <v>0.99792907067046333</v>
      </c>
      <c r="M5485">
        <v>0.97117823380216739</v>
      </c>
      <c r="N5485">
        <v>0.98683473389355747</v>
      </c>
      <c r="O5485">
        <v>0.99325551232166021</v>
      </c>
      <c r="P5485">
        <v>0.99766559673183541</v>
      </c>
      <c r="Q5485">
        <v>0.94502027940513744</v>
      </c>
      <c r="R5485">
        <v>0.9531984948259643</v>
      </c>
    </row>
    <row r="5486" spans="4:19" x14ac:dyDescent="0.25">
      <c r="D5486" t="s">
        <v>135</v>
      </c>
      <c r="E5486">
        <v>2015</v>
      </c>
      <c r="F5486" t="s">
        <v>22</v>
      </c>
      <c r="G5486">
        <v>0.99657900363480867</v>
      </c>
      <c r="H5486">
        <v>0.98514316585629391</v>
      </c>
      <c r="I5486">
        <v>0.96691568836712916</v>
      </c>
      <c r="J5486">
        <v>0.96160388821385179</v>
      </c>
      <c r="K5486">
        <v>0.96496266513497986</v>
      </c>
      <c r="L5486">
        <v>0.92325949367088611</v>
      </c>
      <c r="M5486">
        <v>0.98085485307212827</v>
      </c>
    </row>
    <row r="5487" spans="4:19" x14ac:dyDescent="0.25">
      <c r="D5487" t="s">
        <v>135</v>
      </c>
      <c r="E5487">
        <v>2013</v>
      </c>
      <c r="F5487" t="s">
        <v>23</v>
      </c>
      <c r="S5487">
        <v>124556</v>
      </c>
    </row>
    <row r="5488" spans="4:19" x14ac:dyDescent="0.25">
      <c r="D5488" t="s">
        <v>135</v>
      </c>
      <c r="E5488">
        <v>2014</v>
      </c>
      <c r="F5488" t="s">
        <v>23</v>
      </c>
      <c r="S5488">
        <v>84356</v>
      </c>
    </row>
    <row r="5489" spans="4:19" x14ac:dyDescent="0.25">
      <c r="D5489" t="s">
        <v>135</v>
      </c>
      <c r="E5489">
        <v>2015</v>
      </c>
      <c r="F5489" t="s">
        <v>23</v>
      </c>
      <c r="S5489">
        <v>64702</v>
      </c>
    </row>
    <row r="5490" spans="4:19" x14ac:dyDescent="0.25">
      <c r="D5490" t="s">
        <v>135</v>
      </c>
      <c r="E5490">
        <v>2013</v>
      </c>
      <c r="F5490" t="s">
        <v>24</v>
      </c>
      <c r="G5490">
        <v>14990</v>
      </c>
      <c r="H5490">
        <v>15668</v>
      </c>
      <c r="I5490">
        <v>14387</v>
      </c>
      <c r="J5490">
        <v>12332</v>
      </c>
      <c r="K5490">
        <v>14444</v>
      </c>
      <c r="L5490">
        <v>19626</v>
      </c>
      <c r="M5490">
        <v>33109</v>
      </c>
      <c r="N5490">
        <v>28000</v>
      </c>
      <c r="O5490">
        <v>20887</v>
      </c>
      <c r="P5490">
        <v>22483</v>
      </c>
      <c r="Q5490">
        <v>25886</v>
      </c>
      <c r="R5490">
        <v>24619</v>
      </c>
    </row>
    <row r="5491" spans="4:19" x14ac:dyDescent="0.25">
      <c r="D5491" t="s">
        <v>135</v>
      </c>
      <c r="E5491">
        <v>2014</v>
      </c>
      <c r="F5491" t="s">
        <v>24</v>
      </c>
      <c r="G5491">
        <v>13576</v>
      </c>
      <c r="H5491">
        <v>11168</v>
      </c>
      <c r="I5491">
        <v>11662</v>
      </c>
      <c r="J5491">
        <v>11581</v>
      </c>
      <c r="K5491">
        <v>14274</v>
      </c>
      <c r="L5491">
        <v>11306</v>
      </c>
      <c r="M5491">
        <v>10789</v>
      </c>
      <c r="N5491">
        <v>12008</v>
      </c>
      <c r="O5491">
        <v>11191</v>
      </c>
      <c r="P5491">
        <v>11071</v>
      </c>
      <c r="Q5491">
        <v>10425</v>
      </c>
      <c r="R5491">
        <v>12242</v>
      </c>
    </row>
    <row r="5492" spans="4:19" x14ac:dyDescent="0.25">
      <c r="D5492" t="s">
        <v>135</v>
      </c>
      <c r="E5492">
        <v>2015</v>
      </c>
      <c r="F5492" t="s">
        <v>24</v>
      </c>
      <c r="G5492">
        <v>9625</v>
      </c>
      <c r="H5492">
        <v>8959</v>
      </c>
      <c r="I5492">
        <v>9253</v>
      </c>
      <c r="J5492">
        <v>8644</v>
      </c>
      <c r="K5492">
        <v>7842</v>
      </c>
      <c r="L5492">
        <v>8905</v>
      </c>
      <c r="M5492">
        <v>11474</v>
      </c>
    </row>
    <row r="5493" spans="4:19" x14ac:dyDescent="0.25">
      <c r="D5493" t="s">
        <v>135</v>
      </c>
      <c r="E5493">
        <v>2013</v>
      </c>
      <c r="F5493" t="s">
        <v>25</v>
      </c>
      <c r="S5493">
        <v>202302</v>
      </c>
    </row>
    <row r="5494" spans="4:19" x14ac:dyDescent="0.25">
      <c r="D5494" t="s">
        <v>135</v>
      </c>
      <c r="E5494">
        <v>2014</v>
      </c>
      <c r="F5494" t="s">
        <v>25</v>
      </c>
      <c r="S5494">
        <v>235992</v>
      </c>
    </row>
    <row r="5495" spans="4:19" x14ac:dyDescent="0.25">
      <c r="D5495" t="s">
        <v>135</v>
      </c>
      <c r="E5495">
        <v>2015</v>
      </c>
      <c r="F5495" t="s">
        <v>25</v>
      </c>
      <c r="S5495">
        <v>274187</v>
      </c>
    </row>
    <row r="5496" spans="4:19" x14ac:dyDescent="0.25">
      <c r="D5496" t="s">
        <v>135</v>
      </c>
      <c r="E5496">
        <v>2013</v>
      </c>
      <c r="F5496" t="s">
        <v>26</v>
      </c>
      <c r="G5496">
        <v>27784</v>
      </c>
      <c r="H5496">
        <v>26061</v>
      </c>
      <c r="I5496">
        <v>35073</v>
      </c>
      <c r="J5496">
        <v>29889</v>
      </c>
      <c r="K5496">
        <v>24907</v>
      </c>
      <c r="L5496">
        <v>27543</v>
      </c>
      <c r="M5496">
        <v>31045</v>
      </c>
      <c r="N5496">
        <v>30671</v>
      </c>
      <c r="O5496">
        <v>34711</v>
      </c>
      <c r="P5496">
        <v>38024</v>
      </c>
      <c r="Q5496">
        <v>36594</v>
      </c>
      <c r="R5496">
        <v>35845</v>
      </c>
    </row>
    <row r="5497" spans="4:19" x14ac:dyDescent="0.25">
      <c r="D5497" t="s">
        <v>135</v>
      </c>
      <c r="E5497">
        <v>2014</v>
      </c>
      <c r="F5497" t="s">
        <v>26</v>
      </c>
      <c r="G5497">
        <v>36896</v>
      </c>
      <c r="H5497">
        <v>38043</v>
      </c>
      <c r="I5497">
        <v>29518</v>
      </c>
      <c r="J5497">
        <v>33711</v>
      </c>
      <c r="K5497">
        <v>27946</v>
      </c>
      <c r="L5497">
        <v>31134</v>
      </c>
      <c r="M5497">
        <v>38744</v>
      </c>
      <c r="N5497">
        <v>33958</v>
      </c>
      <c r="O5497">
        <v>36283</v>
      </c>
      <c r="P5497">
        <v>39704</v>
      </c>
      <c r="Q5497">
        <v>27765</v>
      </c>
      <c r="R5497">
        <v>40960</v>
      </c>
    </row>
    <row r="5498" spans="4:19" x14ac:dyDescent="0.25">
      <c r="D5498" t="s">
        <v>135</v>
      </c>
      <c r="E5498">
        <v>2015</v>
      </c>
      <c r="F5498" t="s">
        <v>26</v>
      </c>
      <c r="G5498">
        <v>50586</v>
      </c>
      <c r="H5498">
        <v>36406</v>
      </c>
      <c r="I5498">
        <v>37618</v>
      </c>
      <c r="J5498">
        <v>36665</v>
      </c>
      <c r="K5498">
        <v>33250</v>
      </c>
      <c r="L5498">
        <v>39713</v>
      </c>
      <c r="M5498">
        <v>39949</v>
      </c>
    </row>
    <row r="5499" spans="4:19" x14ac:dyDescent="0.25">
      <c r="D5499" t="s">
        <v>135</v>
      </c>
      <c r="E5499">
        <v>2013</v>
      </c>
      <c r="F5499" t="s">
        <v>27</v>
      </c>
      <c r="S5499">
        <v>297331</v>
      </c>
    </row>
    <row r="5500" spans="4:19" x14ac:dyDescent="0.25">
      <c r="D5500" t="s">
        <v>135</v>
      </c>
      <c r="E5500">
        <v>2014</v>
      </c>
      <c r="F5500" t="s">
        <v>27</v>
      </c>
      <c r="S5500">
        <v>399908</v>
      </c>
    </row>
    <row r="5501" spans="4:19" x14ac:dyDescent="0.25">
      <c r="D5501" t="s">
        <v>135</v>
      </c>
      <c r="E5501">
        <v>2015</v>
      </c>
      <c r="F5501" t="s">
        <v>27</v>
      </c>
      <c r="S5501">
        <v>474522</v>
      </c>
    </row>
    <row r="5502" spans="4:19" x14ac:dyDescent="0.25">
      <c r="D5502" t="s">
        <v>135</v>
      </c>
      <c r="E5502">
        <v>2013</v>
      </c>
      <c r="F5502" t="s">
        <v>28</v>
      </c>
      <c r="G5502">
        <v>46255</v>
      </c>
      <c r="I5502">
        <v>58893</v>
      </c>
      <c r="J5502">
        <v>49811</v>
      </c>
      <c r="K5502">
        <v>42222</v>
      </c>
      <c r="L5502">
        <v>48442</v>
      </c>
      <c r="M5502">
        <v>51708</v>
      </c>
      <c r="N5502">
        <v>52295</v>
      </c>
      <c r="O5502">
        <v>60142</v>
      </c>
      <c r="P5502">
        <v>64274</v>
      </c>
      <c r="Q5502">
        <v>61926</v>
      </c>
      <c r="R5502">
        <v>57780</v>
      </c>
    </row>
    <row r="5503" spans="4:19" x14ac:dyDescent="0.25">
      <c r="D5503" t="s">
        <v>135</v>
      </c>
      <c r="E5503">
        <v>2014</v>
      </c>
      <c r="F5503" t="s">
        <v>28</v>
      </c>
      <c r="G5503">
        <v>61842</v>
      </c>
      <c r="H5503">
        <v>64045</v>
      </c>
      <c r="I5503">
        <v>49269</v>
      </c>
      <c r="J5503">
        <v>56576</v>
      </c>
      <c r="K5503">
        <v>44649</v>
      </c>
      <c r="L5503">
        <v>54284</v>
      </c>
      <c r="M5503">
        <v>69243</v>
      </c>
      <c r="N5503">
        <v>55989</v>
      </c>
      <c r="O5503">
        <v>61361</v>
      </c>
      <c r="P5503">
        <v>66648</v>
      </c>
      <c r="Q5503">
        <v>42553</v>
      </c>
      <c r="R5503">
        <v>70510</v>
      </c>
    </row>
    <row r="5504" spans="4:19" x14ac:dyDescent="0.25">
      <c r="D5504" t="s">
        <v>135</v>
      </c>
      <c r="E5504">
        <v>2015</v>
      </c>
      <c r="F5504" t="s">
        <v>28</v>
      </c>
      <c r="G5504">
        <v>81890</v>
      </c>
      <c r="H5504">
        <v>62500</v>
      </c>
      <c r="I5504">
        <v>66760</v>
      </c>
      <c r="J5504">
        <v>64293</v>
      </c>
      <c r="K5504">
        <v>59033</v>
      </c>
      <c r="L5504">
        <v>69956</v>
      </c>
      <c r="M5504">
        <v>70090</v>
      </c>
    </row>
    <row r="5505" spans="4:19" x14ac:dyDescent="0.25">
      <c r="D5505" t="s">
        <v>135</v>
      </c>
      <c r="E5505">
        <v>2013</v>
      </c>
      <c r="F5505" t="s">
        <v>29</v>
      </c>
      <c r="S5505">
        <v>53423</v>
      </c>
    </row>
    <row r="5506" spans="4:19" x14ac:dyDescent="0.25">
      <c r="D5506" t="s">
        <v>135</v>
      </c>
      <c r="E5506">
        <v>2014</v>
      </c>
      <c r="F5506" t="s">
        <v>29</v>
      </c>
      <c r="S5506">
        <v>55776</v>
      </c>
    </row>
    <row r="5507" spans="4:19" x14ac:dyDescent="0.25">
      <c r="D5507" t="s">
        <v>135</v>
      </c>
      <c r="E5507">
        <v>2015</v>
      </c>
      <c r="F5507" t="s">
        <v>29</v>
      </c>
      <c r="S5507">
        <v>64151</v>
      </c>
    </row>
    <row r="5508" spans="4:19" x14ac:dyDescent="0.25">
      <c r="D5508" t="s">
        <v>135</v>
      </c>
      <c r="E5508">
        <v>2013</v>
      </c>
      <c r="F5508" t="s">
        <v>30</v>
      </c>
      <c r="G5508">
        <v>11818</v>
      </c>
      <c r="I5508">
        <v>10737</v>
      </c>
      <c r="J5508">
        <v>10325</v>
      </c>
      <c r="K5508">
        <v>9132</v>
      </c>
      <c r="L5508">
        <v>10717</v>
      </c>
      <c r="M5508">
        <v>694</v>
      </c>
      <c r="N5508">
        <v>5574</v>
      </c>
      <c r="O5508">
        <v>11259</v>
      </c>
      <c r="P5508">
        <v>11393</v>
      </c>
      <c r="Q5508">
        <v>10093</v>
      </c>
      <c r="R5508">
        <v>7821</v>
      </c>
    </row>
    <row r="5509" spans="4:19" x14ac:dyDescent="0.25">
      <c r="D5509" t="s">
        <v>135</v>
      </c>
      <c r="E5509">
        <v>2014</v>
      </c>
      <c r="F5509" t="s">
        <v>30</v>
      </c>
      <c r="G5509">
        <v>10788</v>
      </c>
      <c r="H5509">
        <v>11141</v>
      </c>
      <c r="I5509">
        <v>8087</v>
      </c>
      <c r="J5509">
        <v>4814</v>
      </c>
      <c r="K5509">
        <v>1250</v>
      </c>
      <c r="L5509">
        <v>10064</v>
      </c>
      <c r="M5509">
        <v>9632</v>
      </c>
      <c r="N5509">
        <v>9163</v>
      </c>
      <c r="O5509">
        <v>10561</v>
      </c>
      <c r="P5509">
        <v>11121</v>
      </c>
      <c r="Q5509">
        <v>3737</v>
      </c>
      <c r="R5509">
        <v>9432</v>
      </c>
    </row>
    <row r="5510" spans="4:19" x14ac:dyDescent="0.25">
      <c r="D5510" t="s">
        <v>135</v>
      </c>
      <c r="E5510">
        <v>2015</v>
      </c>
      <c r="F5510" t="s">
        <v>30</v>
      </c>
      <c r="G5510">
        <v>10187</v>
      </c>
      <c r="H5510">
        <v>8148</v>
      </c>
      <c r="I5510">
        <v>11145</v>
      </c>
      <c r="J5510">
        <v>9436</v>
      </c>
      <c r="K5510">
        <v>8359</v>
      </c>
      <c r="L5510">
        <v>9275</v>
      </c>
      <c r="M5510">
        <v>7601</v>
      </c>
    </row>
    <row r="5511" spans="4:19" x14ac:dyDescent="0.25">
      <c r="D5511" t="s">
        <v>135</v>
      </c>
      <c r="E5511">
        <v>2013</v>
      </c>
      <c r="F5511" t="s">
        <v>31</v>
      </c>
      <c r="S5511">
        <v>0.66900831754391599</v>
      </c>
    </row>
    <row r="5512" spans="4:19" x14ac:dyDescent="0.25">
      <c r="D5512" t="s">
        <v>135</v>
      </c>
      <c r="E5512">
        <v>2014</v>
      </c>
      <c r="F5512" t="s">
        <v>31</v>
      </c>
      <c r="S5512">
        <v>0.86868746740006642</v>
      </c>
    </row>
    <row r="5513" spans="4:19" x14ac:dyDescent="0.25">
      <c r="D5513" t="s">
        <v>135</v>
      </c>
      <c r="E5513">
        <v>2015</v>
      </c>
      <c r="F5513" t="s">
        <v>31</v>
      </c>
      <c r="S5513">
        <v>0.91448486909214555</v>
      </c>
    </row>
    <row r="5514" spans="4:19" x14ac:dyDescent="0.25">
      <c r="D5514" t="s">
        <v>135</v>
      </c>
      <c r="E5514">
        <v>2013</v>
      </c>
      <c r="F5514" t="s">
        <v>32</v>
      </c>
      <c r="G5514">
        <v>0.76477651767845234</v>
      </c>
      <c r="H5514">
        <v>0.67092162369160069</v>
      </c>
      <c r="I5514">
        <v>0.72224925279766461</v>
      </c>
      <c r="J5514">
        <v>0.73783652286733703</v>
      </c>
      <c r="K5514">
        <v>0.62884242592079753</v>
      </c>
      <c r="L5514">
        <v>0.63227351472536431</v>
      </c>
      <c r="M5514">
        <v>0.61527077229756255</v>
      </c>
      <c r="N5514">
        <v>0.67553571428571424</v>
      </c>
      <c r="O5514">
        <v>0.68205103652989896</v>
      </c>
      <c r="P5514">
        <v>0.71356135747008853</v>
      </c>
      <c r="Q5514">
        <v>0.60441937726956652</v>
      </c>
      <c r="R5514">
        <v>0.72123156911328645</v>
      </c>
    </row>
    <row r="5515" spans="4:19" x14ac:dyDescent="0.25">
      <c r="D5515" t="s">
        <v>135</v>
      </c>
      <c r="E5515">
        <v>2014</v>
      </c>
      <c r="F5515" t="s">
        <v>32</v>
      </c>
      <c r="G5515">
        <v>0.83411903358868589</v>
      </c>
      <c r="H5515">
        <v>0.84930157593123212</v>
      </c>
      <c r="I5515">
        <v>0.84479506088149547</v>
      </c>
      <c r="J5515">
        <v>0.90700284949486232</v>
      </c>
      <c r="K5515">
        <v>0.87852038671710808</v>
      </c>
      <c r="L5515">
        <v>0.86025119405625328</v>
      </c>
      <c r="M5515">
        <v>0.91278153675039397</v>
      </c>
      <c r="N5515">
        <v>0.91772151898734178</v>
      </c>
      <c r="O5515">
        <v>0.92467161111607543</v>
      </c>
      <c r="P5515">
        <v>0.93731370246590195</v>
      </c>
      <c r="Q5515">
        <v>0.93784172661870502</v>
      </c>
      <c r="R5515">
        <v>0.94870119261558572</v>
      </c>
    </row>
    <row r="5516" spans="4:19" x14ac:dyDescent="0.25">
      <c r="D5516" t="s">
        <v>135</v>
      </c>
      <c r="E5516">
        <v>2015</v>
      </c>
      <c r="F5516" t="s">
        <v>32</v>
      </c>
      <c r="G5516">
        <v>0.92342857142857138</v>
      </c>
      <c r="H5516">
        <v>0.92086170331510209</v>
      </c>
      <c r="I5516">
        <v>0.91300118880363124</v>
      </c>
      <c r="J5516">
        <v>0.91242480333179088</v>
      </c>
      <c r="K5516">
        <v>0.91392501912777357</v>
      </c>
      <c r="L5516">
        <v>0.92464907355418302</v>
      </c>
      <c r="M5516">
        <v>0.89724594735924701</v>
      </c>
    </row>
    <row r="5517" spans="4:19" x14ac:dyDescent="0.25">
      <c r="D5517" t="s">
        <v>135</v>
      </c>
      <c r="E5517">
        <v>2013</v>
      </c>
      <c r="F5517" t="s">
        <v>33</v>
      </c>
      <c r="S5517">
        <v>0.48758628245863922</v>
      </c>
    </row>
    <row r="5518" spans="4:19" x14ac:dyDescent="0.25">
      <c r="D5518" t="s">
        <v>135</v>
      </c>
      <c r="E5518">
        <v>2014</v>
      </c>
      <c r="F5518" t="s">
        <v>33</v>
      </c>
      <c r="S5518">
        <v>0.8071221191644613</v>
      </c>
    </row>
    <row r="5519" spans="4:19" x14ac:dyDescent="0.25">
      <c r="D5519" t="s">
        <v>135</v>
      </c>
      <c r="E5519">
        <v>2015</v>
      </c>
      <c r="F5519" t="s">
        <v>33</v>
      </c>
      <c r="S5519">
        <v>0.9190850243654084</v>
      </c>
    </row>
    <row r="5520" spans="4:19" x14ac:dyDescent="0.25">
      <c r="D5520" t="s">
        <v>135</v>
      </c>
      <c r="E5520">
        <v>2013</v>
      </c>
      <c r="F5520" t="s">
        <v>34</v>
      </c>
      <c r="G5520">
        <v>0.55297313613039545</v>
      </c>
      <c r="H5520">
        <v>0.35146149522203485</v>
      </c>
      <c r="I5520">
        <v>0.40993265993265993</v>
      </c>
      <c r="J5520">
        <v>0.5119889598067966</v>
      </c>
      <c r="K5520">
        <v>0.33292079207920794</v>
      </c>
      <c r="L5520">
        <v>0.61592879963486991</v>
      </c>
      <c r="M5520">
        <v>0.65431663138085161</v>
      </c>
      <c r="N5520">
        <v>0.64902745995423339</v>
      </c>
      <c r="O5520">
        <v>0.7140248962655602</v>
      </c>
      <c r="P5520">
        <v>0.73139265630168704</v>
      </c>
      <c r="Q5520">
        <v>0.49704142011834318</v>
      </c>
      <c r="R5520">
        <v>0.68526037069726387</v>
      </c>
    </row>
    <row r="5521" spans="4:19" x14ac:dyDescent="0.25">
      <c r="D5521" t="s">
        <v>135</v>
      </c>
      <c r="E5521">
        <v>2014</v>
      </c>
      <c r="F5521" t="s">
        <v>34</v>
      </c>
      <c r="G5521">
        <v>0.7501349163518618</v>
      </c>
      <c r="H5521">
        <v>0.72445972495088407</v>
      </c>
      <c r="I5521">
        <v>0.70008285004142501</v>
      </c>
      <c r="J5521">
        <v>0.82257001647446459</v>
      </c>
      <c r="K5521">
        <v>0.82461493751816328</v>
      </c>
      <c r="L5521">
        <v>0.94926004228329808</v>
      </c>
      <c r="M5521">
        <v>0.96882793017456359</v>
      </c>
      <c r="N5521">
        <v>0.96424725393064825</v>
      </c>
      <c r="O5521">
        <v>0.94283777677361047</v>
      </c>
      <c r="P5521">
        <v>0.95590516286284066</v>
      </c>
      <c r="Q5521">
        <v>0.95995728777362521</v>
      </c>
      <c r="R5521">
        <v>0.97815640017474881</v>
      </c>
    </row>
    <row r="5522" spans="4:19" x14ac:dyDescent="0.25">
      <c r="D5522" t="s">
        <v>135</v>
      </c>
      <c r="E5522">
        <v>2015</v>
      </c>
      <c r="F5522" t="s">
        <v>34</v>
      </c>
      <c r="G5522">
        <v>0.93304699343102582</v>
      </c>
      <c r="H5522">
        <v>0.92704854867711273</v>
      </c>
      <c r="I5522">
        <v>0.9259087751794397</v>
      </c>
      <c r="J5522">
        <v>0.91277836691410397</v>
      </c>
      <c r="K5522">
        <v>0.89745222929936308</v>
      </c>
      <c r="L5522">
        <v>0.93402954661232807</v>
      </c>
      <c r="M5522">
        <v>0.90066815144766144</v>
      </c>
    </row>
    <row r="5523" spans="4:19" x14ac:dyDescent="0.25">
      <c r="D5523" t="s">
        <v>136</v>
      </c>
      <c r="E5523">
        <v>2013</v>
      </c>
      <c r="F5523" t="s">
        <v>17</v>
      </c>
      <c r="S5523">
        <v>0.85846220916892291</v>
      </c>
    </row>
    <row r="5524" spans="4:19" x14ac:dyDescent="0.25">
      <c r="D5524" t="s">
        <v>136</v>
      </c>
      <c r="E5524">
        <v>2014</v>
      </c>
      <c r="F5524" t="s">
        <v>17</v>
      </c>
      <c r="S5524">
        <v>0.81854497817924243</v>
      </c>
    </row>
    <row r="5525" spans="4:19" x14ac:dyDescent="0.25">
      <c r="D5525" t="s">
        <v>136</v>
      </c>
      <c r="E5525">
        <v>2015</v>
      </c>
      <c r="F5525" t="s">
        <v>17</v>
      </c>
      <c r="S5525">
        <v>0.8855149343277432</v>
      </c>
    </row>
    <row r="5526" spans="4:19" x14ac:dyDescent="0.25">
      <c r="D5526" t="s">
        <v>136</v>
      </c>
      <c r="E5526">
        <v>2013</v>
      </c>
      <c r="F5526" t="s">
        <v>18</v>
      </c>
      <c r="G5526">
        <v>0.84862777547924428</v>
      </c>
      <c r="H5526">
        <v>0.89264855082398753</v>
      </c>
      <c r="I5526">
        <v>0.84840881743004171</v>
      </c>
      <c r="J5526">
        <v>0.84077778626148481</v>
      </c>
      <c r="K5526">
        <v>0.83563289099803728</v>
      </c>
      <c r="L5526">
        <v>0.87743441834912783</v>
      </c>
      <c r="M5526">
        <v>0.86563346373758654</v>
      </c>
      <c r="N5526">
        <v>0.8988724832214765</v>
      </c>
      <c r="O5526">
        <v>0.91558121176238405</v>
      </c>
      <c r="P5526">
        <v>0.90967348992399966</v>
      </c>
      <c r="Q5526">
        <v>0.8855956258029819</v>
      </c>
      <c r="R5526">
        <v>0.80495132449374585</v>
      </c>
    </row>
    <row r="5527" spans="4:19" x14ac:dyDescent="0.25">
      <c r="D5527" t="s">
        <v>136</v>
      </c>
      <c r="E5527">
        <v>2014</v>
      </c>
      <c r="F5527" t="s">
        <v>18</v>
      </c>
      <c r="G5527">
        <v>0.79745823881212619</v>
      </c>
      <c r="H5527">
        <v>0.78984607745779545</v>
      </c>
      <c r="I5527">
        <v>0.78915859112933284</v>
      </c>
      <c r="J5527">
        <v>0.83739225039752285</v>
      </c>
      <c r="K5527">
        <v>0.83348876642645187</v>
      </c>
      <c r="L5527">
        <v>0.86204246598736267</v>
      </c>
      <c r="M5527">
        <v>0.83323594717774918</v>
      </c>
      <c r="N5527">
        <v>0.83115757694350489</v>
      </c>
      <c r="O5527">
        <v>0.82188371166865792</v>
      </c>
      <c r="P5527">
        <v>0.91195072775982544</v>
      </c>
      <c r="Q5527">
        <v>0.86809278914542076</v>
      </c>
      <c r="R5527">
        <v>0.857579947633197</v>
      </c>
    </row>
    <row r="5528" spans="4:19" x14ac:dyDescent="0.25">
      <c r="D5528" t="s">
        <v>136</v>
      </c>
      <c r="E5528">
        <v>2015</v>
      </c>
      <c r="F5528" t="s">
        <v>18</v>
      </c>
      <c r="G5528">
        <v>0.849494363604267</v>
      </c>
      <c r="H5528">
        <v>0.86177902715727117</v>
      </c>
      <c r="I5528">
        <v>0.89008855056703429</v>
      </c>
      <c r="J5528">
        <v>0.88480748010918175</v>
      </c>
      <c r="K5528">
        <v>0.8733711994654193</v>
      </c>
      <c r="L5528">
        <v>0.9422991170962276</v>
      </c>
      <c r="M5528">
        <v>0.90701748797502624</v>
      </c>
    </row>
    <row r="5529" spans="4:19" x14ac:dyDescent="0.25">
      <c r="D5529" t="s">
        <v>136</v>
      </c>
      <c r="E5529">
        <v>2013</v>
      </c>
      <c r="F5529" t="s">
        <v>19</v>
      </c>
      <c r="S5529">
        <v>0.77692050479884345</v>
      </c>
    </row>
    <row r="5530" spans="4:19" x14ac:dyDescent="0.25">
      <c r="D5530" t="s">
        <v>136</v>
      </c>
      <c r="E5530">
        <v>2014</v>
      </c>
      <c r="F5530" t="s">
        <v>19</v>
      </c>
      <c r="S5530">
        <v>0.90733797680419315</v>
      </c>
    </row>
    <row r="5531" spans="4:19" x14ac:dyDescent="0.25">
      <c r="D5531" t="s">
        <v>136</v>
      </c>
      <c r="E5531">
        <v>2015</v>
      </c>
      <c r="F5531" t="s">
        <v>19</v>
      </c>
      <c r="S5531">
        <v>0.90190897686693139</v>
      </c>
    </row>
    <row r="5532" spans="4:19" x14ac:dyDescent="0.25">
      <c r="D5532" t="s">
        <v>136</v>
      </c>
      <c r="E5532">
        <v>2013</v>
      </c>
      <c r="F5532" t="s">
        <v>20</v>
      </c>
      <c r="G5532">
        <v>0.79949078862664824</v>
      </c>
      <c r="H5532">
        <v>0.75096911608093719</v>
      </c>
      <c r="I5532">
        <v>0.78079143442156751</v>
      </c>
      <c r="J5532">
        <v>0.68827099340275488</v>
      </c>
      <c r="K5532">
        <v>0.73468435273888477</v>
      </c>
      <c r="L5532">
        <v>0.79928386584334721</v>
      </c>
      <c r="M5532">
        <v>0.8725032978454077</v>
      </c>
      <c r="N5532">
        <v>0.87152066177292542</v>
      </c>
      <c r="O5532">
        <v>0.90566263904871502</v>
      </c>
      <c r="P5532">
        <v>0.91047955680120918</v>
      </c>
      <c r="Q5532">
        <v>0.87843039061382167</v>
      </c>
      <c r="R5532">
        <v>0.89972715380302748</v>
      </c>
    </row>
    <row r="5533" spans="4:19" x14ac:dyDescent="0.25">
      <c r="D5533" t="s">
        <v>136</v>
      </c>
      <c r="E5533">
        <v>2014</v>
      </c>
      <c r="F5533" t="s">
        <v>20</v>
      </c>
      <c r="G5533">
        <v>0.87914197479342293</v>
      </c>
      <c r="H5533">
        <v>0.89232934967634014</v>
      </c>
      <c r="I5533">
        <v>0.87247929288494741</v>
      </c>
      <c r="J5533">
        <v>0.92949604713998957</v>
      </c>
      <c r="K5533">
        <v>0.91892440385591068</v>
      </c>
      <c r="L5533">
        <v>0.91803116203465096</v>
      </c>
      <c r="M5533">
        <v>0.94138954351051762</v>
      </c>
      <c r="N5533">
        <v>0.94800486138929818</v>
      </c>
      <c r="O5533">
        <v>0.90841623805371163</v>
      </c>
      <c r="P5533">
        <v>0.90922570612274423</v>
      </c>
      <c r="Q5533">
        <v>0.87984230660007012</v>
      </c>
      <c r="R5533">
        <v>0.90484218957921525</v>
      </c>
    </row>
    <row r="5534" spans="4:19" x14ac:dyDescent="0.25">
      <c r="D5534" t="s">
        <v>136</v>
      </c>
      <c r="E5534">
        <v>2015</v>
      </c>
      <c r="F5534" t="s">
        <v>20</v>
      </c>
      <c r="G5534">
        <v>0.85344662809084437</v>
      </c>
      <c r="H5534">
        <v>0.83135609756097562</v>
      </c>
      <c r="I5534">
        <v>0.90422816384459825</v>
      </c>
      <c r="J5534">
        <v>0.92809641501261242</v>
      </c>
      <c r="K5534">
        <v>0.92500838532233176</v>
      </c>
      <c r="L5534">
        <v>0.92352166009510961</v>
      </c>
      <c r="M5534">
        <v>0.95525011986575037</v>
      </c>
    </row>
    <row r="5535" spans="4:19" x14ac:dyDescent="0.25">
      <c r="D5535" t="s">
        <v>136</v>
      </c>
      <c r="E5535">
        <v>2013</v>
      </c>
      <c r="F5535" t="s">
        <v>21</v>
      </c>
      <c r="S5535">
        <v>0.90901538430740592</v>
      </c>
    </row>
    <row r="5536" spans="4:19" x14ac:dyDescent="0.25">
      <c r="D5536" t="s">
        <v>136</v>
      </c>
      <c r="E5536">
        <v>2014</v>
      </c>
      <c r="F5536" t="s">
        <v>21</v>
      </c>
      <c r="S5536">
        <v>0.95366093036192112</v>
      </c>
    </row>
    <row r="5537" spans="4:19" x14ac:dyDescent="0.25">
      <c r="D5537" t="s">
        <v>136</v>
      </c>
      <c r="E5537">
        <v>2015</v>
      </c>
      <c r="F5537" t="s">
        <v>21</v>
      </c>
      <c r="S5537">
        <v>0.95145242650895812</v>
      </c>
    </row>
    <row r="5538" spans="4:19" x14ac:dyDescent="0.25">
      <c r="D5538" t="s">
        <v>136</v>
      </c>
      <c r="E5538">
        <v>2013</v>
      </c>
      <c r="F5538" t="s">
        <v>22</v>
      </c>
      <c r="G5538">
        <v>0.9035020286141362</v>
      </c>
      <c r="H5538">
        <v>0.90190417104132858</v>
      </c>
      <c r="I5538">
        <v>0.91980724349554843</v>
      </c>
      <c r="J5538">
        <v>0.86506170877694788</v>
      </c>
      <c r="K5538">
        <v>0.89362636227467585</v>
      </c>
      <c r="L5538">
        <v>0.92288861689106483</v>
      </c>
      <c r="M5538">
        <v>0.9471130303165205</v>
      </c>
      <c r="N5538">
        <v>0.938354122148785</v>
      </c>
      <c r="O5538">
        <v>0.96580524257918243</v>
      </c>
      <c r="P5538">
        <v>0.95365046175291868</v>
      </c>
      <c r="Q5538">
        <v>0.95401554404145072</v>
      </c>
      <c r="R5538">
        <v>0.94189333209767856</v>
      </c>
    </row>
    <row r="5539" spans="4:19" x14ac:dyDescent="0.25">
      <c r="D5539" t="s">
        <v>136</v>
      </c>
      <c r="E5539">
        <v>2014</v>
      </c>
      <c r="F5539" t="s">
        <v>22</v>
      </c>
      <c r="G5539">
        <v>0.94741413180586864</v>
      </c>
      <c r="H5539">
        <v>0.90106363706943404</v>
      </c>
      <c r="I5539">
        <v>0.93752710555989249</v>
      </c>
      <c r="J5539">
        <v>0.96647040594979861</v>
      </c>
      <c r="K5539">
        <v>0.96895885605169085</v>
      </c>
      <c r="L5539">
        <v>0.97612270342750951</v>
      </c>
      <c r="M5539">
        <v>0.97228827510517646</v>
      </c>
      <c r="N5539">
        <v>0.9718161050828098</v>
      </c>
      <c r="O5539">
        <v>0.96162210906004664</v>
      </c>
      <c r="P5539">
        <v>0.95530211801374232</v>
      </c>
      <c r="Q5539">
        <v>0.92644935462699629</v>
      </c>
      <c r="R5539">
        <v>0.94554559217421685</v>
      </c>
    </row>
    <row r="5540" spans="4:19" x14ac:dyDescent="0.25">
      <c r="D5540" t="s">
        <v>136</v>
      </c>
      <c r="E5540">
        <v>2015</v>
      </c>
      <c r="F5540" t="s">
        <v>22</v>
      </c>
      <c r="G5540">
        <v>0.93060340584703216</v>
      </c>
      <c r="H5540">
        <v>0.89933073619019077</v>
      </c>
      <c r="I5540">
        <v>0.95733430577080869</v>
      </c>
      <c r="J5540">
        <v>0.96928229875939265</v>
      </c>
      <c r="K5540">
        <v>0.96551649258430872</v>
      </c>
      <c r="L5540">
        <v>0.97016070419122991</v>
      </c>
      <c r="M5540">
        <v>0.97137590356454917</v>
      </c>
    </row>
    <row r="5541" spans="4:19" x14ac:dyDescent="0.25">
      <c r="D5541" t="s">
        <v>136</v>
      </c>
      <c r="E5541">
        <v>2013</v>
      </c>
      <c r="F5541" t="s">
        <v>23</v>
      </c>
      <c r="S5541">
        <v>1068680</v>
      </c>
    </row>
    <row r="5542" spans="4:19" x14ac:dyDescent="0.25">
      <c r="D5542" t="s">
        <v>136</v>
      </c>
      <c r="E5542">
        <v>2014</v>
      </c>
      <c r="F5542" t="s">
        <v>23</v>
      </c>
      <c r="S5542">
        <v>421783</v>
      </c>
    </row>
    <row r="5543" spans="4:19" x14ac:dyDescent="0.25">
      <c r="D5543" t="s">
        <v>136</v>
      </c>
      <c r="E5543">
        <v>2015</v>
      </c>
      <c r="F5543" t="s">
        <v>23</v>
      </c>
      <c r="S5543">
        <v>306981</v>
      </c>
    </row>
    <row r="5544" spans="4:19" x14ac:dyDescent="0.25">
      <c r="D5544" t="s">
        <v>136</v>
      </c>
      <c r="E5544">
        <v>2013</v>
      </c>
      <c r="F5544" t="s">
        <v>24</v>
      </c>
      <c r="G5544">
        <v>130900</v>
      </c>
      <c r="H5544">
        <v>185435</v>
      </c>
      <c r="I5544">
        <v>171105</v>
      </c>
      <c r="J5544">
        <v>182059</v>
      </c>
      <c r="K5544">
        <v>170200</v>
      </c>
      <c r="L5544">
        <v>131617</v>
      </c>
      <c r="M5544">
        <v>97364</v>
      </c>
      <c r="N5544">
        <v>120421</v>
      </c>
      <c r="O5544">
        <v>119048</v>
      </c>
      <c r="P5544">
        <v>86742</v>
      </c>
      <c r="Q5544">
        <v>89980</v>
      </c>
      <c r="R5544">
        <v>120346</v>
      </c>
    </row>
    <row r="5545" spans="4:19" x14ac:dyDescent="0.25">
      <c r="D5545" t="s">
        <v>136</v>
      </c>
      <c r="E5545">
        <v>2014</v>
      </c>
      <c r="F5545" t="s">
        <v>24</v>
      </c>
      <c r="G5545">
        <v>81452</v>
      </c>
      <c r="H5545">
        <v>81517</v>
      </c>
      <c r="I5545">
        <v>68241</v>
      </c>
      <c r="J5545">
        <v>53862</v>
      </c>
      <c r="K5545">
        <v>48650</v>
      </c>
      <c r="L5545">
        <v>43006</v>
      </c>
      <c r="M5545">
        <v>45055</v>
      </c>
      <c r="N5545">
        <v>48148</v>
      </c>
      <c r="O5545">
        <v>52080</v>
      </c>
      <c r="P5545">
        <v>44902</v>
      </c>
      <c r="Q5545">
        <v>44152</v>
      </c>
      <c r="R5545">
        <v>48734</v>
      </c>
    </row>
    <row r="5546" spans="4:19" x14ac:dyDescent="0.25">
      <c r="D5546" t="s">
        <v>136</v>
      </c>
      <c r="E5546">
        <v>2015</v>
      </c>
      <c r="F5546" t="s">
        <v>24</v>
      </c>
      <c r="G5546">
        <v>44431</v>
      </c>
      <c r="H5546">
        <v>45452</v>
      </c>
      <c r="I5546">
        <v>46492</v>
      </c>
      <c r="J5546">
        <v>41893</v>
      </c>
      <c r="K5546">
        <v>36827</v>
      </c>
      <c r="L5546">
        <v>43328</v>
      </c>
      <c r="M5546">
        <v>48558</v>
      </c>
    </row>
    <row r="5547" spans="4:19" x14ac:dyDescent="0.25">
      <c r="D5547" t="s">
        <v>136</v>
      </c>
      <c r="E5547">
        <v>2013</v>
      </c>
      <c r="F5547" t="s">
        <v>25</v>
      </c>
      <c r="S5547">
        <v>892993</v>
      </c>
    </row>
    <row r="5548" spans="4:19" x14ac:dyDescent="0.25">
      <c r="D5548" t="s">
        <v>136</v>
      </c>
      <c r="E5548">
        <v>2014</v>
      </c>
      <c r="F5548" t="s">
        <v>25</v>
      </c>
      <c r="S5548">
        <v>938539</v>
      </c>
    </row>
    <row r="5549" spans="4:19" x14ac:dyDescent="0.25">
      <c r="D5549" t="s">
        <v>136</v>
      </c>
      <c r="E5549">
        <v>2015</v>
      </c>
      <c r="F5549" t="s">
        <v>25</v>
      </c>
      <c r="S5549">
        <v>1059965</v>
      </c>
    </row>
    <row r="5550" spans="4:19" x14ac:dyDescent="0.25">
      <c r="D5550" t="s">
        <v>136</v>
      </c>
      <c r="E5550">
        <v>2013</v>
      </c>
      <c r="F5550" t="s">
        <v>26</v>
      </c>
      <c r="G5550">
        <v>147222</v>
      </c>
      <c r="H5550">
        <v>136141</v>
      </c>
      <c r="I5550">
        <v>129719</v>
      </c>
      <c r="J5550">
        <v>118231</v>
      </c>
      <c r="K5550">
        <v>112606</v>
      </c>
      <c r="L5550">
        <v>119910</v>
      </c>
      <c r="M5550">
        <v>129164</v>
      </c>
      <c r="N5550">
        <v>131354</v>
      </c>
      <c r="O5550">
        <v>154050</v>
      </c>
      <c r="P5550">
        <v>149916</v>
      </c>
      <c r="Q5550">
        <v>152008</v>
      </c>
      <c r="R5550">
        <v>146853</v>
      </c>
    </row>
    <row r="5551" spans="4:19" x14ac:dyDescent="0.25">
      <c r="D5551" t="s">
        <v>136</v>
      </c>
      <c r="E5551">
        <v>2014</v>
      </c>
      <c r="F5551" t="s">
        <v>26</v>
      </c>
      <c r="G5551">
        <v>142677</v>
      </c>
      <c r="H5551">
        <v>146454</v>
      </c>
      <c r="I5551">
        <v>132881</v>
      </c>
      <c r="J5551">
        <v>135168</v>
      </c>
      <c r="K5551">
        <v>117801</v>
      </c>
      <c r="L5551">
        <v>126841</v>
      </c>
      <c r="M5551">
        <v>136717</v>
      </c>
      <c r="N5551">
        <v>143288</v>
      </c>
      <c r="O5551">
        <v>153092</v>
      </c>
      <c r="P5551">
        <v>142466</v>
      </c>
      <c r="Q5551">
        <v>154821</v>
      </c>
      <c r="R5551">
        <v>162553</v>
      </c>
    </row>
    <row r="5552" spans="4:19" x14ac:dyDescent="0.25">
      <c r="D5552" t="s">
        <v>136</v>
      </c>
      <c r="E5552">
        <v>2015</v>
      </c>
      <c r="F5552" t="s">
        <v>26</v>
      </c>
      <c r="G5552">
        <v>189569</v>
      </c>
      <c r="H5552">
        <v>151640</v>
      </c>
      <c r="I5552">
        <v>146914</v>
      </c>
      <c r="J5552">
        <v>142577</v>
      </c>
      <c r="K5552">
        <v>125789</v>
      </c>
      <c r="L5552">
        <v>141359</v>
      </c>
      <c r="M5552">
        <v>162117</v>
      </c>
    </row>
    <row r="5553" spans="4:19" x14ac:dyDescent="0.25">
      <c r="D5553" t="s">
        <v>136</v>
      </c>
      <c r="E5553">
        <v>2013</v>
      </c>
      <c r="F5553" t="s">
        <v>27</v>
      </c>
      <c r="S5553">
        <v>1386569</v>
      </c>
    </row>
    <row r="5554" spans="4:19" x14ac:dyDescent="0.25">
      <c r="D5554" t="s">
        <v>136</v>
      </c>
      <c r="E5554">
        <v>2014</v>
      </c>
      <c r="F5554" t="s">
        <v>27</v>
      </c>
      <c r="S5554">
        <v>1454458</v>
      </c>
    </row>
    <row r="5555" spans="4:19" x14ac:dyDescent="0.25">
      <c r="D5555" t="s">
        <v>136</v>
      </c>
      <c r="E5555">
        <v>2015</v>
      </c>
      <c r="F5555" t="s">
        <v>27</v>
      </c>
      <c r="S5555">
        <v>1664081</v>
      </c>
    </row>
    <row r="5556" spans="4:19" x14ac:dyDescent="0.25">
      <c r="D5556" t="s">
        <v>136</v>
      </c>
      <c r="E5556">
        <v>2013</v>
      </c>
      <c r="F5556" t="s">
        <v>28</v>
      </c>
      <c r="G5556">
        <v>217186</v>
      </c>
      <c r="H5556">
        <v>212971</v>
      </c>
      <c r="I5556">
        <v>203130</v>
      </c>
      <c r="J5556">
        <v>181303</v>
      </c>
      <c r="K5556">
        <v>177337</v>
      </c>
      <c r="L5556">
        <v>189306</v>
      </c>
      <c r="M5556">
        <v>205336</v>
      </c>
      <c r="N5556">
        <v>198727</v>
      </c>
      <c r="O5556">
        <v>240703</v>
      </c>
      <c r="P5556">
        <v>231041</v>
      </c>
      <c r="Q5556">
        <v>217512</v>
      </c>
      <c r="R5556">
        <v>213888</v>
      </c>
    </row>
    <row r="5557" spans="4:19" x14ac:dyDescent="0.25">
      <c r="D5557" t="s">
        <v>136</v>
      </c>
      <c r="E5557">
        <v>2014</v>
      </c>
      <c r="F5557" t="s">
        <v>28</v>
      </c>
      <c r="G5557">
        <v>213566</v>
      </c>
      <c r="H5557">
        <v>232973</v>
      </c>
      <c r="I5557">
        <v>205874</v>
      </c>
      <c r="J5557">
        <v>213694</v>
      </c>
      <c r="K5557">
        <v>180893</v>
      </c>
      <c r="L5557">
        <v>196968</v>
      </c>
      <c r="M5557">
        <v>210490</v>
      </c>
      <c r="N5557">
        <v>212531</v>
      </c>
      <c r="O5557">
        <v>243423</v>
      </c>
      <c r="P5557">
        <v>217243</v>
      </c>
      <c r="Q5557">
        <v>225373</v>
      </c>
      <c r="R5557">
        <v>242378</v>
      </c>
    </row>
    <row r="5558" spans="4:19" x14ac:dyDescent="0.25">
      <c r="D5558" t="s">
        <v>136</v>
      </c>
      <c r="E5558">
        <v>2015</v>
      </c>
      <c r="F5558" t="s">
        <v>28</v>
      </c>
      <c r="G5558">
        <v>284736</v>
      </c>
      <c r="H5558">
        <v>238878</v>
      </c>
      <c r="I5558">
        <v>231348</v>
      </c>
      <c r="J5558">
        <v>226755</v>
      </c>
      <c r="K5558">
        <v>198997</v>
      </c>
      <c r="L5558">
        <v>225746</v>
      </c>
      <c r="M5558">
        <v>257621</v>
      </c>
    </row>
    <row r="5559" spans="4:19" x14ac:dyDescent="0.25">
      <c r="D5559" t="s">
        <v>136</v>
      </c>
      <c r="E5559">
        <v>2013</v>
      </c>
      <c r="F5559" t="s">
        <v>29</v>
      </c>
      <c r="S5559">
        <v>261492</v>
      </c>
    </row>
    <row r="5560" spans="4:19" x14ac:dyDescent="0.25">
      <c r="D5560" t="s">
        <v>136</v>
      </c>
      <c r="E5560">
        <v>2014</v>
      </c>
      <c r="F5560" t="s">
        <v>29</v>
      </c>
      <c r="S5560">
        <v>262594</v>
      </c>
    </row>
    <row r="5561" spans="4:19" x14ac:dyDescent="0.25">
      <c r="D5561" t="s">
        <v>136</v>
      </c>
      <c r="E5561">
        <v>2015</v>
      </c>
      <c r="F5561" t="s">
        <v>29</v>
      </c>
      <c r="S5561">
        <v>247517</v>
      </c>
    </row>
    <row r="5562" spans="4:19" x14ac:dyDescent="0.25">
      <c r="D5562" t="s">
        <v>136</v>
      </c>
      <c r="E5562">
        <v>2013</v>
      </c>
      <c r="F5562" t="s">
        <v>30</v>
      </c>
      <c r="G5562">
        <v>36255</v>
      </c>
      <c r="H5562">
        <v>36469</v>
      </c>
      <c r="I5562">
        <v>39059</v>
      </c>
      <c r="J5562">
        <v>39291</v>
      </c>
      <c r="K5562">
        <v>34137</v>
      </c>
      <c r="L5562">
        <v>36405</v>
      </c>
      <c r="M5562">
        <v>39876</v>
      </c>
      <c r="N5562">
        <v>37250</v>
      </c>
      <c r="O5562">
        <v>40536</v>
      </c>
      <c r="P5562">
        <v>37763</v>
      </c>
      <c r="Q5562">
        <v>33469</v>
      </c>
      <c r="R5562">
        <v>34617</v>
      </c>
    </row>
    <row r="5563" spans="4:19" x14ac:dyDescent="0.25">
      <c r="D5563" t="s">
        <v>136</v>
      </c>
      <c r="E5563">
        <v>2014</v>
      </c>
      <c r="F5563" t="s">
        <v>30</v>
      </c>
      <c r="G5563">
        <v>38792</v>
      </c>
      <c r="H5563">
        <v>40280</v>
      </c>
      <c r="I5563">
        <v>42928</v>
      </c>
      <c r="J5563">
        <v>35847</v>
      </c>
      <c r="K5563">
        <v>35385</v>
      </c>
      <c r="L5563">
        <v>35134</v>
      </c>
      <c r="M5563">
        <v>34228</v>
      </c>
      <c r="N5563">
        <v>35773</v>
      </c>
      <c r="O5563">
        <v>40176</v>
      </c>
      <c r="P5563">
        <v>36207</v>
      </c>
      <c r="Q5563">
        <v>36556</v>
      </c>
      <c r="R5563">
        <v>33991</v>
      </c>
    </row>
    <row r="5564" spans="4:19" x14ac:dyDescent="0.25">
      <c r="D5564" t="s">
        <v>136</v>
      </c>
      <c r="E5564">
        <v>2015</v>
      </c>
      <c r="F5564" t="s">
        <v>30</v>
      </c>
      <c r="G5564">
        <v>39653</v>
      </c>
      <c r="H5564">
        <v>39842</v>
      </c>
      <c r="I5564">
        <v>38622</v>
      </c>
      <c r="J5564">
        <v>34438</v>
      </c>
      <c r="K5564">
        <v>29930</v>
      </c>
      <c r="L5564">
        <v>33639</v>
      </c>
      <c r="M5564">
        <v>31393</v>
      </c>
    </row>
    <row r="5565" spans="4:19" x14ac:dyDescent="0.25">
      <c r="D5565" t="s">
        <v>136</v>
      </c>
      <c r="E5565">
        <v>2013</v>
      </c>
      <c r="F5565" t="s">
        <v>31</v>
      </c>
      <c r="S5565">
        <v>0.83611464610547592</v>
      </c>
    </row>
    <row r="5566" spans="4:19" x14ac:dyDescent="0.25">
      <c r="D5566" t="s">
        <v>136</v>
      </c>
      <c r="E5566">
        <v>2014</v>
      </c>
      <c r="F5566" t="s">
        <v>31</v>
      </c>
      <c r="S5566">
        <v>0.76117577047913265</v>
      </c>
    </row>
    <row r="5567" spans="4:19" x14ac:dyDescent="0.25">
      <c r="D5567" t="s">
        <v>136</v>
      </c>
      <c r="E5567">
        <v>2015</v>
      </c>
      <c r="F5567" t="s">
        <v>31</v>
      </c>
      <c r="S5567">
        <v>0.83813004713646777</v>
      </c>
    </row>
    <row r="5568" spans="4:19" x14ac:dyDescent="0.25">
      <c r="D5568" t="s">
        <v>136</v>
      </c>
      <c r="E5568">
        <v>2013</v>
      </c>
      <c r="F5568" t="s">
        <v>32</v>
      </c>
      <c r="G5568">
        <v>0.88737967914438498</v>
      </c>
      <c r="H5568">
        <v>0.84086607166931804</v>
      </c>
      <c r="I5568">
        <v>0.82035592180240202</v>
      </c>
      <c r="J5568">
        <v>0.81894330958645278</v>
      </c>
      <c r="K5568">
        <v>0.79353701527614573</v>
      </c>
      <c r="L5568">
        <v>0.83689796910733416</v>
      </c>
      <c r="M5568">
        <v>0.89131506511647018</v>
      </c>
      <c r="N5568">
        <v>0.80322369022014428</v>
      </c>
      <c r="O5568">
        <v>0.76948793763859957</v>
      </c>
      <c r="P5568">
        <v>0.83902838302091254</v>
      </c>
      <c r="Q5568">
        <v>0.79678817515003331</v>
      </c>
      <c r="R5568">
        <v>0.8929835640569691</v>
      </c>
    </row>
    <row r="5569" spans="4:19" x14ac:dyDescent="0.25">
      <c r="D5569" t="s">
        <v>136</v>
      </c>
      <c r="E5569">
        <v>2014</v>
      </c>
      <c r="F5569" t="s">
        <v>32</v>
      </c>
      <c r="G5569">
        <v>0.76429062515346458</v>
      </c>
      <c r="H5569">
        <v>0.68140387894549603</v>
      </c>
      <c r="I5569">
        <v>0.67904925191600363</v>
      </c>
      <c r="J5569">
        <v>0.74947087000111401</v>
      </c>
      <c r="K5569">
        <v>0.79362795477903392</v>
      </c>
      <c r="L5569">
        <v>0.89150351113798076</v>
      </c>
      <c r="M5569">
        <v>0.87881478193319273</v>
      </c>
      <c r="N5569">
        <v>0.88371271911605886</v>
      </c>
      <c r="O5569">
        <v>0.81474654377880185</v>
      </c>
      <c r="P5569">
        <v>0.87390316689679748</v>
      </c>
      <c r="Q5569">
        <v>0.87923536872621855</v>
      </c>
      <c r="R5569">
        <v>0.90975499651167557</v>
      </c>
    </row>
    <row r="5570" spans="4:19" x14ac:dyDescent="0.25">
      <c r="D5570" t="s">
        <v>136</v>
      </c>
      <c r="E5570">
        <v>2015</v>
      </c>
      <c r="F5570" t="s">
        <v>32</v>
      </c>
      <c r="G5570">
        <v>0.82933087258895821</v>
      </c>
      <c r="H5570">
        <v>0.85608994103669811</v>
      </c>
      <c r="I5570">
        <v>0.79796524133184199</v>
      </c>
      <c r="J5570">
        <v>0.82892129950110993</v>
      </c>
      <c r="K5570">
        <v>0.84511363944931706</v>
      </c>
      <c r="L5570">
        <v>0.81676975627769577</v>
      </c>
      <c r="M5570">
        <v>0.88953416532806129</v>
      </c>
    </row>
    <row r="5571" spans="4:19" x14ac:dyDescent="0.25">
      <c r="D5571" t="s">
        <v>136</v>
      </c>
      <c r="E5571">
        <v>2013</v>
      </c>
      <c r="F5571" t="s">
        <v>33</v>
      </c>
      <c r="S5571">
        <v>0.64555160142348755</v>
      </c>
    </row>
    <row r="5572" spans="4:19" x14ac:dyDescent="0.25">
      <c r="D5572" t="s">
        <v>136</v>
      </c>
      <c r="E5572">
        <v>2014</v>
      </c>
      <c r="F5572" t="s">
        <v>33</v>
      </c>
      <c r="S5572">
        <v>0.59047533922399853</v>
      </c>
    </row>
    <row r="5573" spans="4:19" x14ac:dyDescent="0.25">
      <c r="D5573" t="s">
        <v>136</v>
      </c>
      <c r="E5573">
        <v>2015</v>
      </c>
      <c r="F5573" t="s">
        <v>33</v>
      </c>
      <c r="S5573">
        <v>0.79877545997169408</v>
      </c>
    </row>
    <row r="5574" spans="4:19" x14ac:dyDescent="0.25">
      <c r="D5574" t="s">
        <v>136</v>
      </c>
      <c r="E5574">
        <v>2013</v>
      </c>
      <c r="F5574" t="s">
        <v>34</v>
      </c>
      <c r="G5574">
        <v>0.81263283396402464</v>
      </c>
      <c r="H5574">
        <v>0.66713659417175275</v>
      </c>
      <c r="I5574">
        <v>0.58891502389486261</v>
      </c>
      <c r="J5574">
        <v>0.60737695631767197</v>
      </c>
      <c r="K5574">
        <v>0.51535512076256007</v>
      </c>
      <c r="L5574">
        <v>0.64748361567948565</v>
      </c>
      <c r="M5574">
        <v>0.76725449602155094</v>
      </c>
      <c r="N5574">
        <v>0.55413389530726676</v>
      </c>
      <c r="O5574">
        <v>0.54498424805173273</v>
      </c>
      <c r="P5574">
        <v>0.61157783465005011</v>
      </c>
      <c r="Q5574">
        <v>0.50796512566600294</v>
      </c>
      <c r="R5574">
        <v>0.66338212232096183</v>
      </c>
    </row>
    <row r="5575" spans="4:19" x14ac:dyDescent="0.25">
      <c r="D5575" t="s">
        <v>136</v>
      </c>
      <c r="E5575">
        <v>2014</v>
      </c>
      <c r="F5575" t="s">
        <v>34</v>
      </c>
      <c r="G5575">
        <v>0.56785288225628561</v>
      </c>
      <c r="H5575">
        <v>0.48900125924759957</v>
      </c>
      <c r="I5575">
        <v>0.46813987372510929</v>
      </c>
      <c r="J5575">
        <v>0.56171235546316745</v>
      </c>
      <c r="K5575">
        <v>0.62637689788627571</v>
      </c>
      <c r="L5575">
        <v>0.8461251862891207</v>
      </c>
      <c r="M5575">
        <v>0.88099045653856078</v>
      </c>
      <c r="N5575">
        <v>0.88594189762915609</v>
      </c>
      <c r="O5575">
        <v>0.69540737005756548</v>
      </c>
      <c r="P5575">
        <v>0.84662165397691902</v>
      </c>
      <c r="Q5575">
        <v>0.82049041278980106</v>
      </c>
      <c r="R5575">
        <v>0.88238263503281167</v>
      </c>
    </row>
    <row r="5576" spans="4:19" x14ac:dyDescent="0.25">
      <c r="D5576" t="s">
        <v>136</v>
      </c>
      <c r="E5576">
        <v>2015</v>
      </c>
      <c r="F5576" t="s">
        <v>34</v>
      </c>
      <c r="G5576">
        <v>0.75391450631928569</v>
      </c>
      <c r="H5576">
        <v>0.82517537328055801</v>
      </c>
      <c r="I5576">
        <v>0.78266579120157587</v>
      </c>
      <c r="J5576">
        <v>0.77689084895259097</v>
      </c>
      <c r="K5576">
        <v>0.78427271776639129</v>
      </c>
      <c r="L5576">
        <v>0.76256528096929188</v>
      </c>
      <c r="M5576">
        <v>0.89998312663460722</v>
      </c>
    </row>
  </sheetData>
  <autoFilter ref="AD14:AS68" xr:uid="{F33F61B5-C5C3-4C1E-94B6-A960A523C26A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19D89-67E7-4FB2-B6E9-DE323FD08FF2}">
  <dimension ref="C1:AB959"/>
  <sheetViews>
    <sheetView showGridLines="0" tabSelected="1" view="pageBreakPreview" topLeftCell="C26" zoomScale="98" zoomScaleNormal="98" zoomScaleSheetLayoutView="98" workbookViewId="0">
      <selection activeCell="G735" sqref="G735:H735"/>
    </sheetView>
  </sheetViews>
  <sheetFormatPr baseColWidth="10" defaultRowHeight="15" x14ac:dyDescent="0.25"/>
  <cols>
    <col min="3" max="3" width="11.42578125" style="9"/>
    <col min="4" max="4" width="5.140625" bestFit="1" customWidth="1"/>
    <col min="5" max="5" width="5.140625" customWidth="1"/>
    <col min="6" max="6" width="7.140625" bestFit="1" customWidth="1"/>
    <col min="18" max="18" width="13" customWidth="1"/>
    <col min="20" max="28" width="11.42578125" style="9"/>
  </cols>
  <sheetData>
    <row r="1" spans="3:19" ht="33.75" x14ac:dyDescent="0.25">
      <c r="C1" s="9">
        <v>2</v>
      </c>
      <c r="D1" s="13" t="str">
        <f>"Résultats de la CAF "&amp;VLOOKUP(C1,'Base de donnée'!W15:X117,2)</f>
        <v>Résultats de la CAF 01a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3:19" x14ac:dyDescent="0.25"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3:19" x14ac:dyDescent="0.25"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3:19" x14ac:dyDescent="0.25"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3:19" x14ac:dyDescent="0.25"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3:19" x14ac:dyDescent="0.25"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3:19" x14ac:dyDescent="0.25"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pans="3:19" x14ac:dyDescent="0.25"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3:19" x14ac:dyDescent="0.25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pans="3:19" x14ac:dyDescent="0.25"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pans="3:19" x14ac:dyDescent="0.25"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pans="3:19" x14ac:dyDescent="0.25"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3:19" x14ac:dyDescent="0.25"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3:19" x14ac:dyDescent="0.25"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pans="3:19" x14ac:dyDescent="0.25"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3:19" x14ac:dyDescent="0.25"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4:19" x14ac:dyDescent="0.25"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4:19" x14ac:dyDescent="0.25"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spans="4:19" x14ac:dyDescent="0.25"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4:19" x14ac:dyDescent="0.25"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pans="4:19" ht="33.75" x14ac:dyDescent="0.25">
      <c r="D21" s="14" t="s">
        <v>185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spans="4:19" x14ac:dyDescent="0.25"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pans="4:19" x14ac:dyDescent="0.25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  <row r="24" spans="4:19" x14ac:dyDescent="0.25"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 spans="4:19" x14ac:dyDescent="0.25"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 spans="4:19" x14ac:dyDescent="0.25"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 spans="4:19" x14ac:dyDescent="0.25"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</row>
    <row r="28" spans="4:19" x14ac:dyDescent="0.25"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 spans="4:19" x14ac:dyDescent="0.25"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spans="4:19" x14ac:dyDescent="0.25"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 spans="4:19" x14ac:dyDescent="0.25"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spans="4:19" x14ac:dyDescent="0.25"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</row>
    <row r="33" spans="4:19" x14ac:dyDescent="0.25"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spans="4:19" x14ac:dyDescent="0.25"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 spans="4:19" x14ac:dyDescent="0.25"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spans="4:19" x14ac:dyDescent="0.25"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 spans="4:19" x14ac:dyDescent="0.25"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spans="4:19" x14ac:dyDescent="0.25"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 spans="4:19" x14ac:dyDescent="0.25"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spans="4:19" x14ac:dyDescent="0.25"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 spans="4:19" x14ac:dyDescent="0.25"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spans="4:19" x14ac:dyDescent="0.25"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 spans="4:19" x14ac:dyDescent="0.25"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 spans="4:19" x14ac:dyDescent="0.25"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 spans="4:19" x14ac:dyDescent="0.25"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 spans="4:19" x14ac:dyDescent="0.25"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 spans="4:19" x14ac:dyDescent="0.25"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 spans="4:19" x14ac:dyDescent="0.25"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 spans="4:19" ht="46.5" x14ac:dyDescent="0.25">
      <c r="D49" s="11"/>
      <c r="E49" s="11"/>
      <c r="F49" s="11"/>
      <c r="G49" s="11"/>
      <c r="H49" s="11"/>
      <c r="I49" s="11"/>
      <c r="J49" s="32"/>
      <c r="K49" s="11"/>
      <c r="L49" s="33" t="str">
        <f ca="1">VLOOKUP(COUNT('Base de donnée'!AG32:AR32),'Base de donnée'!AV10:AW21,2,0)&amp;" " &amp;'Base de donnée'!AE17</f>
        <v>Juillet 2015</v>
      </c>
      <c r="M49" s="11"/>
      <c r="N49" s="11"/>
      <c r="O49" s="11"/>
      <c r="P49" s="11"/>
      <c r="Q49" s="11"/>
      <c r="R49" s="11"/>
      <c r="S49" s="11"/>
    </row>
    <row r="50" spans="4:19" x14ac:dyDescent="0.25"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 spans="4:19" x14ac:dyDescent="0.25"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 spans="4:19" x14ac:dyDescent="0.25"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 spans="4:19" x14ac:dyDescent="0.25"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 spans="4:19" x14ac:dyDescent="0.25"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 spans="4:19" x14ac:dyDescent="0.25"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 spans="4:19" x14ac:dyDescent="0.25"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 spans="4:19" x14ac:dyDescent="0.25"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</row>
    <row r="58" spans="4:19" x14ac:dyDescent="0.25"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 spans="4:19" x14ac:dyDescent="0.25"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</row>
    <row r="60" spans="4:19" x14ac:dyDescent="0.25"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</row>
    <row r="61" spans="4:19" x14ac:dyDescent="0.25"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</row>
    <row r="62" spans="4:19" x14ac:dyDescent="0.25"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</row>
    <row r="63" spans="4:19" x14ac:dyDescent="0.25"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</row>
    <row r="64" spans="4:19" x14ac:dyDescent="0.25"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</row>
    <row r="65" spans="4:19" x14ac:dyDescent="0.25"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</row>
    <row r="66" spans="4:19" x14ac:dyDescent="0.25"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</row>
    <row r="67" spans="4:19" x14ac:dyDescent="0.25"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</row>
    <row r="68" spans="4:19" x14ac:dyDescent="0.25"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</row>
    <row r="69" spans="4:19" x14ac:dyDescent="0.25"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</row>
    <row r="70" spans="4:19" x14ac:dyDescent="0.25"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</row>
    <row r="71" spans="4:19" x14ac:dyDescent="0.25"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</row>
    <row r="72" spans="4:19" x14ac:dyDescent="0.25"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</row>
    <row r="73" spans="4:19" x14ac:dyDescent="0.25"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</row>
    <row r="74" spans="4:19" x14ac:dyDescent="0.25"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</row>
    <row r="75" spans="4:19" x14ac:dyDescent="0.25"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</row>
    <row r="76" spans="4:19" x14ac:dyDescent="0.25"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</row>
    <row r="77" spans="4:19" x14ac:dyDescent="0.25"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</row>
    <row r="78" spans="4:19" x14ac:dyDescent="0.25"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</row>
    <row r="79" spans="4:19" x14ac:dyDescent="0.25"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 spans="4:19" x14ac:dyDescent="0.25"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</row>
    <row r="81" spans="4:19" x14ac:dyDescent="0.25"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</row>
    <row r="82" spans="4:19" x14ac:dyDescent="0.25"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 spans="4:19" x14ac:dyDescent="0.25"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 spans="4:19" x14ac:dyDescent="0.25"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 spans="4:19" x14ac:dyDescent="0.25"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</row>
    <row r="86" spans="4:19" x14ac:dyDescent="0.25"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</row>
    <row r="87" spans="4:19" x14ac:dyDescent="0.25"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</row>
    <row r="88" spans="4:19" x14ac:dyDescent="0.25"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>
        <v>1</v>
      </c>
      <c r="S88" s="11"/>
    </row>
    <row r="89" spans="4:19" x14ac:dyDescent="0.25"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 spans="4:19" ht="28.5" x14ac:dyDescent="0.45">
      <c r="F90" s="23"/>
      <c r="G90" s="23"/>
      <c r="H90" s="23"/>
      <c r="I90" s="23"/>
      <c r="J90" s="23"/>
      <c r="K90" s="24" t="s">
        <v>215</v>
      </c>
      <c r="L90" s="23"/>
      <c r="M90" s="23"/>
      <c r="N90" s="23"/>
      <c r="O90" s="23"/>
      <c r="P90" s="23"/>
      <c r="Q90" s="23"/>
      <c r="R90" s="23"/>
    </row>
    <row r="97" spans="6:18" ht="18.75" x14ac:dyDescent="0.3">
      <c r="F97" s="25" t="s">
        <v>223</v>
      </c>
      <c r="R97">
        <v>3</v>
      </c>
    </row>
    <row r="99" spans="6:18" ht="15.75" x14ac:dyDescent="0.25">
      <c r="F99" s="16" t="s">
        <v>224</v>
      </c>
      <c r="R99">
        <v>3</v>
      </c>
    </row>
    <row r="100" spans="6:18" x14ac:dyDescent="0.25">
      <c r="G100" t="s">
        <v>225</v>
      </c>
    </row>
    <row r="101" spans="6:18" x14ac:dyDescent="0.25">
      <c r="G101" t="s">
        <v>226</v>
      </c>
    </row>
    <row r="102" spans="6:18" x14ac:dyDescent="0.25">
      <c r="G102" t="s">
        <v>227</v>
      </c>
    </row>
    <row r="105" spans="6:18" ht="15.75" x14ac:dyDescent="0.25">
      <c r="F105" s="16" t="s">
        <v>228</v>
      </c>
      <c r="R105">
        <v>4</v>
      </c>
    </row>
    <row r="106" spans="6:18" x14ac:dyDescent="0.25">
      <c r="G106" t="s">
        <v>230</v>
      </c>
    </row>
    <row r="107" spans="6:18" x14ac:dyDescent="0.25">
      <c r="G107" t="s">
        <v>229</v>
      </c>
    </row>
    <row r="108" spans="6:18" x14ac:dyDescent="0.25">
      <c r="G108" t="s">
        <v>206</v>
      </c>
    </row>
    <row r="109" spans="6:18" x14ac:dyDescent="0.25">
      <c r="G109" t="s">
        <v>231</v>
      </c>
      <c r="R109">
        <v>5</v>
      </c>
    </row>
    <row r="110" spans="6:18" x14ac:dyDescent="0.25">
      <c r="G110" t="s">
        <v>232</v>
      </c>
    </row>
    <row r="113" spans="6:18" ht="15.75" x14ac:dyDescent="0.25">
      <c r="F113" s="16" t="s">
        <v>233</v>
      </c>
      <c r="R113">
        <v>6</v>
      </c>
    </row>
    <row r="114" spans="6:18" x14ac:dyDescent="0.25">
      <c r="G114" t="s">
        <v>234</v>
      </c>
    </row>
    <row r="115" spans="6:18" x14ac:dyDescent="0.25">
      <c r="G115" t="s">
        <v>235</v>
      </c>
    </row>
    <row r="120" spans="6:18" ht="18.75" x14ac:dyDescent="0.3">
      <c r="F120" s="25" t="s">
        <v>236</v>
      </c>
      <c r="R120">
        <v>7</v>
      </c>
    </row>
    <row r="122" spans="6:18" ht="15.75" x14ac:dyDescent="0.25">
      <c r="F122" s="16" t="s">
        <v>238</v>
      </c>
      <c r="R122">
        <v>7</v>
      </c>
    </row>
    <row r="123" spans="6:18" x14ac:dyDescent="0.25">
      <c r="G123" t="s">
        <v>237</v>
      </c>
    </row>
    <row r="124" spans="6:18" x14ac:dyDescent="0.25">
      <c r="G124" t="s">
        <v>239</v>
      </c>
    </row>
    <row r="127" spans="6:18" ht="15.75" x14ac:dyDescent="0.25">
      <c r="F127" s="16" t="s">
        <v>240</v>
      </c>
      <c r="R127">
        <v>8</v>
      </c>
    </row>
    <row r="128" spans="6:18" x14ac:dyDescent="0.25">
      <c r="G128" t="s">
        <v>241</v>
      </c>
    </row>
    <row r="129" spans="7:7" x14ac:dyDescent="0.25">
      <c r="G129" s="29" t="s">
        <v>222</v>
      </c>
    </row>
    <row r="147" spans="6:6" x14ac:dyDescent="0.25">
      <c r="F147" s="30" t="s">
        <v>244</v>
      </c>
    </row>
    <row r="148" spans="6:6" x14ac:dyDescent="0.25">
      <c r="F148" s="31" t="s">
        <v>242</v>
      </c>
    </row>
    <row r="151" spans="6:6" x14ac:dyDescent="0.25">
      <c r="F151" s="30" t="s">
        <v>245</v>
      </c>
    </row>
    <row r="152" spans="6:6" x14ac:dyDescent="0.25">
      <c r="F152" s="30" t="s">
        <v>243</v>
      </c>
    </row>
    <row r="180" spans="4:18" x14ac:dyDescent="0.25">
      <c r="R180">
        <v>2</v>
      </c>
    </row>
    <row r="182" spans="4:18" ht="28.5" x14ac:dyDescent="0.45">
      <c r="F182" s="23"/>
      <c r="G182" s="23"/>
      <c r="H182" s="23"/>
      <c r="I182" s="23"/>
      <c r="J182" s="24" t="s">
        <v>214</v>
      </c>
      <c r="K182" s="24"/>
      <c r="L182" s="23"/>
      <c r="M182" s="23"/>
      <c r="N182" s="23"/>
      <c r="O182" s="23"/>
      <c r="P182" s="23"/>
      <c r="Q182" s="23"/>
      <c r="R182" s="23"/>
    </row>
    <row r="183" spans="4:18" ht="21" x14ac:dyDescent="0.35">
      <c r="D183" s="17"/>
    </row>
    <row r="185" spans="4:18" ht="21" x14ac:dyDescent="0.35">
      <c r="F185" s="27" t="s">
        <v>216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</row>
    <row r="188" spans="4:18" ht="21" x14ac:dyDescent="0.35">
      <c r="D188" s="17"/>
      <c r="F188" s="25" t="s">
        <v>269</v>
      </c>
    </row>
    <row r="220" spans="6:18" x14ac:dyDescent="0.25">
      <c r="G220" s="8" t="s">
        <v>172</v>
      </c>
      <c r="H220" s="8" t="s">
        <v>173</v>
      </c>
      <c r="I220" s="8" t="s">
        <v>159</v>
      </c>
      <c r="J220" s="8" t="s">
        <v>174</v>
      </c>
      <c r="K220" s="8" t="s">
        <v>161</v>
      </c>
      <c r="L220" s="8" t="s">
        <v>162</v>
      </c>
      <c r="M220" s="8" t="s">
        <v>175</v>
      </c>
      <c r="N220" s="8" t="s">
        <v>164</v>
      </c>
      <c r="O220" s="8" t="s">
        <v>176</v>
      </c>
      <c r="P220" s="8" t="s">
        <v>177</v>
      </c>
      <c r="Q220" s="8" t="s">
        <v>178</v>
      </c>
      <c r="R220" s="8" t="s">
        <v>179</v>
      </c>
    </row>
    <row r="221" spans="6:18" x14ac:dyDescent="0.25">
      <c r="F221" s="8" t="str">
        <f>"Evo"&amp;'Base de donnée'!AD122 &amp; "/" &amp; 'Base de donnée'!AD124</f>
        <v>Evo/</v>
      </c>
      <c r="G221" s="6">
        <f ca="1">IFERROR(('Base de donnée'!AG56-'Base de donnée'!AG55)/'Base de donnée'!AG55,"")</f>
        <v>-0.7171598892910368</v>
      </c>
      <c r="H221" s="6">
        <f ca="1">IFERROR(('Base de donnée'!AH56-'Base de donnée'!AH55)/'Base de donnée'!AH55,"")</f>
        <v>-0.77209416985085666</v>
      </c>
      <c r="I221" s="6">
        <f ca="1">IFERROR(('Base de donnée'!AI56-'Base de donnée'!AI55)/'Base de donnée'!AI55,"")</f>
        <v>-0.72750790457027881</v>
      </c>
      <c r="J221" s="6">
        <f ca="1">IFERROR(('Base de donnée'!AJ56-'Base de donnée'!AJ55)/'Base de donnée'!AJ55,"")</f>
        <v>-0.74542635658914724</v>
      </c>
      <c r="K221" s="6">
        <f ca="1">IFERROR(('Base de donnée'!AK56-'Base de donnée'!AK55)/'Base de donnée'!AK55,"")</f>
        <v>-0.60568065506653024</v>
      </c>
      <c r="L221" s="6">
        <f ca="1">IFERROR(('Base de donnée'!AL56-'Base de donnée'!AL55)/'Base de donnée'!AL55,"")</f>
        <v>-0.552734375</v>
      </c>
      <c r="M221" s="6">
        <f ca="1">IFERROR(('Base de donnée'!AM56-'Base de donnée'!AM55)/'Base de donnée'!AM55,"")</f>
        <v>-0.61538461538461542</v>
      </c>
      <c r="N221" s="6" t="str">
        <f ca="1">IFERROR(('Base de donnée'!AN56-'Base de donnée'!AN55)/'Base de donnée'!AN55,"")</f>
        <v/>
      </c>
      <c r="O221" s="6" t="str">
        <f ca="1">IFERROR(('Base de donnée'!AO56-'Base de donnée'!AO55)/'Base de donnée'!AO55,"")</f>
        <v/>
      </c>
      <c r="P221" s="6" t="str">
        <f ca="1">IFERROR(('Base de donnée'!AP56-'Base de donnée'!AP55)/'Base de donnée'!AP55,"")</f>
        <v/>
      </c>
      <c r="Q221" s="6" t="str">
        <f ca="1">IFERROR(('Base de donnée'!AQ56-'Base de donnée'!AQ55)/'Base de donnée'!AQ55,"")</f>
        <v/>
      </c>
      <c r="R221" s="6" t="str">
        <f ca="1">IFERROR(('Base de donnée'!AR56-'Base de donnée'!AR55)/'Base de donnée'!AR55,"")</f>
        <v/>
      </c>
    </row>
    <row r="222" spans="6:18" x14ac:dyDescent="0.25">
      <c r="F222" s="8" t="s">
        <v>170</v>
      </c>
      <c r="G222" s="6">
        <f ca="1">IFERROR((SUM('Base de donnée'!$AG56:AG56)-SUM('Base de donnée'!$AG55:AG55))/SUM('Base de donnée'!$AG55:AG55),"")</f>
        <v>-0.7171598892910368</v>
      </c>
      <c r="H222" s="6">
        <f ca="1">IFERROR((SUM('Base de donnée'!$AG56:AH56)-SUM('Base de donnée'!$AG55:AH55))/SUM('Base de donnée'!$AG55:AH55),"")</f>
        <v>-0.74261723881875819</v>
      </c>
      <c r="I222" s="6">
        <f ca="1">IFERROR((SUM('Base de donnée'!$AG56:AI56)-SUM('Base de donnée'!$AG55:AI55))/SUM('Base de donnée'!$AG55:AI55),"")</f>
        <v>-0.73832004904966275</v>
      </c>
      <c r="J222" s="6">
        <f ca="1">IFERROR((SUM('Base de donnée'!$AG56:AJ56)-SUM('Base de donnée'!$AG55:AJ55))/SUM('Base de donnée'!$AG55:AJ55),"")</f>
        <v>-0.73980268478085076</v>
      </c>
      <c r="K222" s="6">
        <f ca="1">IFERROR((SUM('Base de donnée'!$AG56:AK56)-SUM('Base de donnée'!$AG55:AK55))/SUM('Base de donnée'!$AG55:AK55),"")</f>
        <v>-0.72475088303707325</v>
      </c>
      <c r="L222" s="6">
        <f ca="1">IFERROR((SUM('Base de donnée'!$AG56:AL56)-SUM('Base de donnée'!$AG55:AL55))/SUM('Base de donnée'!$AG55:AL55),"")</f>
        <v>-0.70664713892957165</v>
      </c>
      <c r="M222" s="6">
        <f ca="1">IFERROR((SUM('Base de donnée'!$AG56:AM56)-SUM('Base de donnée'!$AG55:AM55))/SUM('Base de donnée'!$AG55:AM55),"")</f>
        <v>-0.69948382819529287</v>
      </c>
      <c r="N222" s="6" t="str">
        <f ca="1">IFERROR((SUM('Base de donnée'!$AG56:AN56)-SUM('Base de donnée'!$AG55:AN55))/SUM('Base de donnée'!$AG55:AN55),"")</f>
        <v/>
      </c>
      <c r="O222" s="6" t="str">
        <f ca="1">IFERROR((SUM('Base de donnée'!$AG56:AO56)-SUM('Base de donnée'!$AG55:AO55))/SUM('Base de donnée'!$AG55:AO55),"")</f>
        <v/>
      </c>
      <c r="P222" s="6" t="str">
        <f ca="1">IFERROR((SUM('Base de donnée'!$AG56:AP56)-SUM('Base de donnée'!$AG55:AP55))/SUM('Base de donnée'!$AG55:AP55),"")</f>
        <v/>
      </c>
      <c r="Q222" s="6" t="str">
        <f ca="1">IFERROR((SUM('Base de donnée'!$AG56:AQ56)-SUM('Base de donnée'!$AG55:AQ55))/SUM('Base de donnée'!$AG55:AQ55),"")</f>
        <v/>
      </c>
      <c r="R222" s="6" t="str">
        <f ca="1">IFERROR((SUM('Base de donnée'!$AG56:AR56)-SUM('Base de donnée'!$AG55:AR55))/SUM('Base de donnée'!$AG55:AR55),"")</f>
        <v/>
      </c>
    </row>
    <row r="223" spans="6:18" x14ac:dyDescent="0.25">
      <c r="F223" s="8" t="s">
        <v>171</v>
      </c>
      <c r="G223" s="6">
        <f ca="1">IFERROR((SUM('Base de donnée'!$AG56:AG56,'Base de donnée'!AH55:$AR55)-SUM('Base de donnée'!$AG55:AG55,'Base de donnée'!AH54:$AR54))/SUM('Base de donnée'!$AG55:AG55,'Base de donnée'!AH54:$AR54),"")</f>
        <v>-0.40427054613715024</v>
      </c>
      <c r="H223" s="6">
        <f ca="1">IFERROR((SUM('Base de donnée'!$AG56:AH56,'Base de donnée'!AI55:$AR55)-SUM('Base de donnée'!$AG55:AH55,'Base de donnée'!AI54:$AR54))/SUM('Base de donnée'!$AG55:AH55,'Base de donnée'!AI54:$AR54),"")</f>
        <v>-0.48056479374525934</v>
      </c>
      <c r="I223" s="6">
        <f ca="1">IFERROR((SUM('Base de donnée'!$AG56:AI56,'Base de donnée'!AJ55:$AR55)-SUM('Base de donnée'!$AG55:AI55,'Base de donnée'!AJ54:$AR54))/SUM('Base de donnée'!$AG55:AI55,'Base de donnée'!AJ54:$AR54),"")</f>
        <v>-0.5371339403041111</v>
      </c>
      <c r="J223" s="6">
        <f ca="1">IFERROR((SUM('Base de donnée'!$AG56:AJ56,'Base de donnée'!AK55:$AR55)-SUM('Base de donnée'!$AG55:AJ55,'Base de donnée'!AK54:$AR54))/SUM('Base de donnée'!$AG55:AJ55,'Base de donnée'!AK54:$AR54),"")</f>
        <v>-0.59443924139545778</v>
      </c>
      <c r="K223" s="6">
        <f ca="1">IFERROR((SUM('Base de donnée'!$AG56:AK56,'Base de donnée'!AL55:$AR55)-SUM('Base de donnée'!$AG55:AK55,'Base de donnée'!AL54:$AR54))/SUM('Base de donnée'!$AG55:AK55,'Base de donnée'!AL54:$AR54),"")</f>
        <v>-0.60682178097210382</v>
      </c>
      <c r="L223" s="6">
        <f ca="1">IFERROR((SUM('Base de donnée'!$AG56:AL56,'Base de donnée'!AM55:$AR55)-SUM('Base de donnée'!$AG55:AL55,'Base de donnée'!AM54:$AR54))/SUM('Base de donnée'!$AG55:AL55,'Base de donnée'!AM54:$AR54),"")</f>
        <v>-0.62419704236110241</v>
      </c>
      <c r="M223" s="6">
        <f ca="1">IFERROR((SUM('Base de donnée'!$AG56:AM56,'Base de donnée'!AN55:$AR55)-SUM('Base de donnée'!$AG55:AM55,'Base de donnée'!AN54:$AR54))/SUM('Base de donnée'!$AG55:AM55,'Base de donnée'!AN54:$AR54),"")</f>
        <v>-0.63565790501992858</v>
      </c>
      <c r="N223" s="6" t="str">
        <f ca="1">IFERROR((SUM('Base de donnée'!$AG56:AN56,'Base de donnée'!AO55:$AR55)-SUM('Base de donnée'!$AG55:AN55,'Base de donnée'!AO54:$AR54))/SUM('Base de donnée'!$AG55:AN55,'Base de donnée'!AO54:$AR54),"")</f>
        <v/>
      </c>
      <c r="O223" s="6" t="str">
        <f ca="1">IFERROR((SUM('Base de donnée'!$AG56:AO56,'Base de donnée'!AP55:$AR55)-SUM('Base de donnée'!$AG55:AO55,'Base de donnée'!AP54:$AR54))/SUM('Base de donnée'!$AG55:AO55,'Base de donnée'!AP54:$AR54),"")</f>
        <v/>
      </c>
      <c r="P223" s="6" t="str">
        <f ca="1">IFERROR((SUM('Base de donnée'!$AG56:AP56,'Base de donnée'!AQ55:$AR55)-SUM('Base de donnée'!$AG55:AP55,'Base de donnée'!AQ54:$AR54))/SUM('Base de donnée'!$AG55:AP55,'Base de donnée'!AQ54:$AR54),"")</f>
        <v/>
      </c>
      <c r="Q223" s="6" t="str">
        <f ca="1">IFERROR((SUM('Base de donnée'!$AG56:AQ56,'Base de donnée'!AR55:$AR55)-SUM('Base de donnée'!$AG55:AQ55,'Base de donnée'!AR54:$AR54))/SUM('Base de donnée'!$AG55:AQ55,'Base de donnée'!AR54:$AR54),"")</f>
        <v/>
      </c>
      <c r="R223" s="6" t="str">
        <f ca="1">IFERROR((SUM('Base de donnée'!$AG56:AR56,'Base de donnée'!$AR55:AS55)-SUM('Base de donnée'!$AG55:AR55,'Base de donnée'!$AR54:AS54))/SUM('Base de donnée'!$AG55:AR55,'Base de donnée'!$AR54:AS54),"")</f>
        <v/>
      </c>
    </row>
    <row r="228" spans="4:6" ht="18.75" x14ac:dyDescent="0.3">
      <c r="F228" s="25" t="s">
        <v>201</v>
      </c>
    </row>
    <row r="229" spans="4:6" ht="18.75" x14ac:dyDescent="0.3">
      <c r="D229" s="25"/>
    </row>
    <row r="246" spans="4:4" ht="21" x14ac:dyDescent="0.35">
      <c r="D246" s="17"/>
    </row>
    <row r="258" spans="4:18" x14ac:dyDescent="0.25">
      <c r="G258" s="8" t="s">
        <v>172</v>
      </c>
      <c r="H258" s="8" t="s">
        <v>173</v>
      </c>
      <c r="I258" s="8" t="s">
        <v>159</v>
      </c>
      <c r="J258" s="8" t="s">
        <v>174</v>
      </c>
      <c r="K258" s="8" t="s">
        <v>161</v>
      </c>
      <c r="L258" s="8" t="s">
        <v>162</v>
      </c>
      <c r="M258" s="8" t="s">
        <v>175</v>
      </c>
      <c r="N258" s="8" t="s">
        <v>164</v>
      </c>
      <c r="O258" s="8" t="s">
        <v>176</v>
      </c>
      <c r="P258" s="8" t="s">
        <v>177</v>
      </c>
      <c r="Q258" s="8" t="s">
        <v>178</v>
      </c>
      <c r="R258" s="8" t="s">
        <v>179</v>
      </c>
    </row>
    <row r="259" spans="4:18" x14ac:dyDescent="0.25">
      <c r="F259" s="8" t="str">
        <f>"Evo"&amp;'Base de donnée'!AD160 &amp; "/" &amp; 'Base de donnée'!AD162</f>
        <v>Evo/</v>
      </c>
      <c r="G259" s="6">
        <f ca="1">IFERROR(('Base de donnée'!AG20-'Base de donnée'!AG19)/'Base de donnée'!AG19,"")</f>
        <v>0.37208830712345026</v>
      </c>
      <c r="H259" s="6">
        <f ca="1">IFERROR(('Base de donnée'!AH20-'Base de donnée'!AH19)/'Base de donnée'!AH19,"")</f>
        <v>0.29807131328702907</v>
      </c>
      <c r="I259" s="6">
        <f ca="1">IFERROR(('Base de donnée'!AI20-'Base de donnée'!AI19)/'Base de donnée'!AI19,"")</f>
        <v>0.30921835343429627</v>
      </c>
      <c r="J259" s="6">
        <f ca="1">IFERROR(('Base de donnée'!AJ20-'Base de donnée'!AJ19)/'Base de donnée'!AJ19,"")</f>
        <v>0.22712071443307108</v>
      </c>
      <c r="K259" s="6">
        <f ca="1">IFERROR(('Base de donnée'!AK20-'Base de donnée'!AK19)/'Base de donnée'!AK19,"")</f>
        <v>0.12273804066698125</v>
      </c>
      <c r="L259" s="6">
        <f ca="1">IFERROR(('Base de donnée'!AL20-'Base de donnée'!AL19)/'Base de donnée'!AL19,"")</f>
        <v>1.9734232989152348E-2</v>
      </c>
      <c r="M259" s="6">
        <f ca="1">IFERROR(('Base de donnée'!AM20-'Base de donnée'!AM19)/'Base de donnée'!AM19,"")</f>
        <v>-1.0899182561308531E-3</v>
      </c>
      <c r="N259" s="6" t="str">
        <f ca="1">IFERROR(('Base de donnée'!AN20-'Base de donnée'!AN19)/'Base de donnée'!AN19,"")</f>
        <v/>
      </c>
      <c r="O259" s="6" t="str">
        <f ca="1">IFERROR(('Base de donnée'!AO20-'Base de donnée'!AO19)/'Base de donnée'!AO19,"")</f>
        <v/>
      </c>
      <c r="P259" s="6" t="str">
        <f ca="1">IFERROR(('Base de donnée'!AP20-'Base de donnée'!AP19)/'Base de donnée'!AP19,"")</f>
        <v/>
      </c>
      <c r="Q259" s="6" t="str">
        <f ca="1">IFERROR(('Base de donnée'!AQ20-'Base de donnée'!AQ19)/'Base de donnée'!AQ19,"")</f>
        <v/>
      </c>
      <c r="R259" s="6" t="str">
        <f ca="1">IFERROR(('Base de donnée'!AR20-'Base de donnée'!AR19)/'Base de donnée'!AR19,"")</f>
        <v/>
      </c>
    </row>
    <row r="260" spans="4:18" x14ac:dyDescent="0.25">
      <c r="F260" s="8" t="s">
        <v>170</v>
      </c>
      <c r="G260" s="6">
        <f ca="1">IFERROR((SUM('Base de donnée'!$AG20:AG20)-SUM('Base de donnée'!$AG19:AG19))/SUM('Base de donnée'!$AG19:AG19),"")</f>
        <v>0.37208830712345026</v>
      </c>
      <c r="H260" s="6">
        <f ca="1">IFERROR((SUM('Base de donnée'!$AG20:AH20)-SUM('Base de donnée'!$AG19:AH19))/SUM('Base de donnée'!$AG19:AH19),"")</f>
        <v>0.33404341722857733</v>
      </c>
      <c r="I260" s="6">
        <f ca="1">IFERROR((SUM('Base de donnée'!$AG20:AI20)-SUM('Base de donnée'!$AG19:AI19))/SUM('Base de donnée'!$AG19:AI19),"")</f>
        <v>0.32565933094174609</v>
      </c>
      <c r="J260" s="6">
        <f ca="1">IFERROR((SUM('Base de donnée'!$AG20:AJ20)-SUM('Base de donnée'!$AG19:AJ19))/SUM('Base de donnée'!$AG19:AJ19),"")</f>
        <v>0.2995577260835201</v>
      </c>
      <c r="K260" s="6">
        <f ca="1">IFERROR((SUM('Base de donnée'!$AG20:AK20)-SUM('Base de donnée'!$AG19:AK19))/SUM('Base de donnée'!$AG19:AK19),"")</f>
        <v>0.25980648915409654</v>
      </c>
      <c r="L260" s="6">
        <f ca="1">IFERROR((SUM('Base de donnée'!$AG20:AL20)-SUM('Base de donnée'!$AG19:AL19))/SUM('Base de donnée'!$AG19:AL19),"")</f>
        <v>0.2122872654426074</v>
      </c>
      <c r="M260" s="6">
        <f ca="1">IFERROR((SUM('Base de donnée'!$AG20:AM20)-SUM('Base de donnée'!$AG19:AM19))/SUM('Base de donnée'!$AG19:AM19),"")</f>
        <v>0.17641295298149379</v>
      </c>
      <c r="N260" s="6" t="str">
        <f ca="1">IFERROR((SUM('Base de donnée'!$AG20:AN20)-SUM('Base de donnée'!$AG19:AN19))/SUM('Base de donnée'!$AG19:AN19),"")</f>
        <v/>
      </c>
      <c r="O260" s="6" t="str">
        <f ca="1">IFERROR((SUM('Base de donnée'!$AG20:AO20)-SUM('Base de donnée'!$AG19:AO19))/SUM('Base de donnée'!$AG19:AO19),"")</f>
        <v/>
      </c>
      <c r="P260" s="6" t="str">
        <f ca="1">IFERROR((SUM('Base de donnée'!$AG20:AP20)-SUM('Base de donnée'!$AG19:AP19))/SUM('Base de donnée'!$AG19:AP19),"")</f>
        <v/>
      </c>
      <c r="Q260" s="6" t="str">
        <f ca="1">IFERROR((SUM('Base de donnée'!$AG20:AQ20)-SUM('Base de donnée'!$AG19:AQ19))/SUM('Base de donnée'!$AG19:AQ19),"")</f>
        <v/>
      </c>
      <c r="R260" s="6" t="str">
        <f ca="1">IFERROR((SUM('Base de donnée'!$AG20:AR20)-SUM('Base de donnée'!$AG19:AR19))/SUM('Base de donnée'!$AG19:AR19),"")</f>
        <v/>
      </c>
    </row>
    <row r="261" spans="4:18" x14ac:dyDescent="0.25">
      <c r="F261" s="8" t="s">
        <v>171</v>
      </c>
      <c r="G261" s="6">
        <f ca="1">IFERROR((SUM('Base de donnée'!$AG20:AG20,'Base de donnée'!AH19:$AR19)-SUM('Base de donnée'!$AG19:AG19,'Base de donnée'!AH18:$AR18))/SUM('Base de donnée'!$AG19:AG19,'Base de donnée'!AH18:$AR18),"")</f>
        <v>0.12257461740383783</v>
      </c>
      <c r="H261" s="6">
        <f ca="1">IFERROR((SUM('Base de donnée'!$AG20:AH20,'Base de donnée'!AI19:$AR19)-SUM('Base de donnée'!$AG19:AH19,'Base de donnée'!AI18:$AR18))/SUM('Base de donnée'!$AG19:AH19,'Base de donnée'!AI18:$AR18),"")</f>
        <v>0.15178176202672158</v>
      </c>
      <c r="I261" s="6">
        <f ca="1">IFERROR((SUM('Base de donnée'!$AG20:AI20,'Base de donnée'!AJ19:$AR19)-SUM('Base de donnée'!$AG19:AI19,'Base de donnée'!AJ18:$AR18))/SUM('Base de donnée'!$AG19:AI19,'Base de donnée'!AJ18:$AR18),"")</f>
        <v>0.18387316476885215</v>
      </c>
      <c r="J261" s="6">
        <f ca="1">IFERROR((SUM('Base de donnée'!$AG20:AJ20,'Base de donnée'!AK19:$AR19)-SUM('Base de donnée'!$AG19:AJ19,'Base de donnée'!AK18:$AR18))/SUM('Base de donnée'!$AG19:AJ19,'Base de donnée'!AK18:$AR18),"")</f>
        <v>0.20408155217791885</v>
      </c>
      <c r="K261" s="6">
        <f ca="1">IFERROR((SUM('Base de donnée'!$AG20:AK20,'Base de donnée'!AL19:$AR19)-SUM('Base de donnée'!$AG19:AK19,'Base de donnée'!AL18:$AR18))/SUM('Base de donnée'!$AG19:AK19,'Base de donnée'!AL18:$AR18),"")</f>
        <v>0.20726789429183246</v>
      </c>
      <c r="L261" s="6">
        <f ca="1">IFERROR((SUM('Base de donnée'!$AG20:AL20,'Base de donnée'!AM19:$AR19)-SUM('Base de donnée'!$AG19:AL19,'Base de donnée'!AM18:$AR18))/SUM('Base de donnée'!$AG19:AL19,'Base de donnée'!AM18:$AR18),"")</f>
        <v>0.19938370413754403</v>
      </c>
      <c r="M261" s="6">
        <f ca="1">IFERROR((SUM('Base de donnée'!$AG20:AM20,'Base de donnée'!AN19:$AR19)-SUM('Base de donnée'!$AG19:AM19,'Base de donnée'!AN18:$AR18))/SUM('Base de donnée'!$AG19:AM19,'Base de donnée'!AN18:$AR18),"")</f>
        <v>0.18889984666859608</v>
      </c>
      <c r="N261" s="6" t="str">
        <f ca="1">IFERROR((SUM('Base de donnée'!$AG20:AN20,'Base de donnée'!AO19:$AR19)-SUM('Base de donnée'!$AG19:AN19,'Base de donnée'!AO18:$AR18))/SUM('Base de donnée'!$AG19:AN19,'Base de donnée'!AO18:$AR18),"")</f>
        <v/>
      </c>
      <c r="O261" s="6" t="str">
        <f ca="1">IFERROR((SUM('Base de donnée'!$AG20:AO20,'Base de donnée'!AP19:$AR19)-SUM('Base de donnée'!$AG19:AO19,'Base de donnée'!AP18:$AR18))/SUM('Base de donnée'!$AG19:AO19,'Base de donnée'!AP18:$AR18),"")</f>
        <v/>
      </c>
      <c r="P261" s="6" t="str">
        <f ca="1">IFERROR((SUM('Base de donnée'!$AG20:AP20,'Base de donnée'!AQ19:$AR19)-SUM('Base de donnée'!$AG19:AP19,'Base de donnée'!AQ18:$AR18))/SUM('Base de donnée'!$AG19:AP19,'Base de donnée'!AQ18:$AR18),"")</f>
        <v/>
      </c>
      <c r="Q261" s="6" t="str">
        <f ca="1">IFERROR((SUM('Base de donnée'!$AG20:AQ20,'Base de donnée'!AR19:$AR19)-SUM('Base de donnée'!$AG19:AQ19,'Base de donnée'!AR18:$AR18))/SUM('Base de donnée'!$AG19:AQ19,'Base de donnée'!AR18:$AR18),"")</f>
        <v/>
      </c>
      <c r="R261" s="6" t="str">
        <f ca="1">IFERROR((SUM('Base de donnée'!$AG20:AR20,'Base de donnée'!$AR19:AS19)-SUM('Base de donnée'!$AG19:AR19,'Base de donnée'!$AR18:AS18))/SUM('Base de donnée'!$AG19:AR19,'Base de donnée'!$AR18:AS18),"")</f>
        <v/>
      </c>
    </row>
    <row r="267" spans="4:18" ht="21" x14ac:dyDescent="0.35">
      <c r="D267" s="17"/>
      <c r="F267" s="25" t="s">
        <v>205</v>
      </c>
    </row>
    <row r="304" spans="4:18" ht="21" x14ac:dyDescent="0.35">
      <c r="D304" s="17"/>
      <c r="R304">
        <v>3</v>
      </c>
    </row>
    <row r="309" spans="5:18" ht="18.75" x14ac:dyDescent="0.3">
      <c r="F309" s="26" t="s">
        <v>217</v>
      </c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</row>
    <row r="311" spans="5:18" ht="21" x14ac:dyDescent="0.35">
      <c r="E311" s="17"/>
    </row>
    <row r="312" spans="5:18" ht="18.75" x14ac:dyDescent="0.3">
      <c r="F312" s="25" t="s">
        <v>202</v>
      </c>
    </row>
    <row r="314" spans="5:18" ht="21" x14ac:dyDescent="0.35">
      <c r="E314" s="17"/>
    </row>
    <row r="341" spans="6:18" x14ac:dyDescent="0.25">
      <c r="G341" s="8" t="s">
        <v>172</v>
      </c>
      <c r="H341" s="8" t="s">
        <v>173</v>
      </c>
      <c r="I341" s="8" t="s">
        <v>159</v>
      </c>
      <c r="J341" s="8" t="s">
        <v>174</v>
      </c>
      <c r="K341" s="8" t="s">
        <v>161</v>
      </c>
      <c r="L341" s="8" t="s">
        <v>162</v>
      </c>
      <c r="M341" s="8" t="s">
        <v>175</v>
      </c>
      <c r="N341" s="8" t="s">
        <v>164</v>
      </c>
      <c r="O341" s="8" t="s">
        <v>176</v>
      </c>
      <c r="P341" s="8" t="s">
        <v>177</v>
      </c>
      <c r="Q341" s="8" t="s">
        <v>178</v>
      </c>
      <c r="R341" s="8" t="s">
        <v>179</v>
      </c>
    </row>
    <row r="342" spans="6:18" x14ac:dyDescent="0.25">
      <c r="F342" s="8" t="str">
        <f>"Evo"&amp;'Base de donnée'!AD250 &amp; "/" &amp; 'Base de donnée'!AD252</f>
        <v>Evo/</v>
      </c>
      <c r="G342" s="6">
        <f ca="1">IFERROR(('Base de donnée'!AG38-'Base de donnée'!AG37)/'Base de donnée'!AG37,"")</f>
        <v>-6.0972450125226701E-2</v>
      </c>
      <c r="H342" s="6">
        <f ca="1">IFERROR(('Base de donnée'!AH38-'Base de donnée'!AH37)/'Base de donnée'!AH37,"")</f>
        <v>-7.5165714762162841E-2</v>
      </c>
      <c r="I342" s="6">
        <f ca="1">IFERROR(('Base de donnée'!AI38-'Base de donnée'!AI37)/'Base de donnée'!AI37,"")</f>
        <v>0.20699185415050428</v>
      </c>
      <c r="J342" s="6">
        <f ca="1">IFERROR(('Base de donnée'!AJ38-'Base de donnée'!AJ37)/'Base de donnée'!AJ37,"")</f>
        <v>0.18752150475972015</v>
      </c>
      <c r="K342" s="6">
        <f ca="1">IFERROR(('Base de donnée'!AK38-'Base de donnée'!AK37)/'Base de donnée'!AK37,"")</f>
        <v>6.0836043850138535E-2</v>
      </c>
      <c r="L342" s="6">
        <f ca="1">IFERROR(('Base de donnée'!AL38-'Base de donnée'!AL37)/'Base de donnée'!AL37,"")</f>
        <v>0.13930199088510434</v>
      </c>
      <c r="M342" s="6">
        <f ca="1">IFERROR(('Base de donnée'!AM38-'Base de donnée'!AM37)/'Base de donnée'!AM37,"")</f>
        <v>-2.6257877363208962E-2</v>
      </c>
      <c r="N342" s="6" t="str">
        <f ca="1">IFERROR(('Base de donnée'!AN38-'Base de donnée'!AN37)/'Base de donnée'!AN37,"")</f>
        <v/>
      </c>
      <c r="O342" s="6" t="str">
        <f ca="1">IFERROR(('Base de donnée'!AO38-'Base de donnée'!AO37)/'Base de donnée'!AO37,"")</f>
        <v/>
      </c>
      <c r="P342" s="6" t="str">
        <f ca="1">IFERROR(('Base de donnée'!AP38-'Base de donnée'!AP37)/'Base de donnée'!AP37,"")</f>
        <v/>
      </c>
      <c r="Q342" s="6" t="str">
        <f ca="1">IFERROR(('Base de donnée'!AQ38-'Base de donnée'!AQ37)/'Base de donnée'!AQ37,"")</f>
        <v/>
      </c>
      <c r="R342" s="6" t="str">
        <f ca="1">IFERROR(('Base de donnée'!AR38-'Base de donnée'!AR37)/'Base de donnée'!AR37,"")</f>
        <v/>
      </c>
    </row>
    <row r="343" spans="6:18" x14ac:dyDescent="0.25">
      <c r="F343" s="8" t="s">
        <v>170</v>
      </c>
      <c r="G343" s="6">
        <f ca="1">IFERROR((SUM('Base de donnée'!$AG38:AG38)-SUM('Base de donnée'!$AG37:AG37))/SUM('Base de donnée'!$AG37:AG37),"")</f>
        <v>-6.0972450125226701E-2</v>
      </c>
      <c r="H343" s="6">
        <f ca="1">IFERROR((SUM('Base de donnée'!$AG38:AH38)-SUM('Base de donnée'!$AG37:AH37))/SUM('Base de donnée'!$AG37:AH37),"")</f>
        <v>-6.8193869975607169E-2</v>
      </c>
      <c r="I343" s="6">
        <f ca="1">IFERROR((SUM('Base de donnée'!$AG38:AI38)-SUM('Base de donnée'!$AG37:AI37))/SUM('Base de donnée'!$AG37:AI37),"")</f>
        <v>1.5552833891602355E-2</v>
      </c>
      <c r="J343" s="6">
        <f ca="1">IFERROR((SUM('Base de donnée'!$AG38:AJ38)-SUM('Base de donnée'!$AG37:AJ37))/SUM('Base de donnée'!$AG37:AJ37),"")</f>
        <v>5.0747004354102364E-2</v>
      </c>
      <c r="K343" s="6">
        <f ca="1">IFERROR((SUM('Base de donnée'!$AG38:AK38)-SUM('Base de donnée'!$AG37:AK37))/SUM('Base de donnée'!$AG37:AK37),"")</f>
        <v>5.2392224655973443E-2</v>
      </c>
      <c r="L343" s="6">
        <f ca="1">IFERROR((SUM('Base de donnée'!$AG38:AL38)-SUM('Base de donnée'!$AG37:AL37))/SUM('Base de donnée'!$AG37:AL37),"")</f>
        <v>6.4624214035531924E-2</v>
      </c>
      <c r="M343" s="6">
        <f ca="1">IFERROR((SUM('Base de donnée'!$AG38:AM38)-SUM('Base de donnée'!$AG37:AM37))/SUM('Base de donnée'!$AG37:AM37),"")</f>
        <v>5.1502393864773718E-2</v>
      </c>
      <c r="N343" s="6" t="str">
        <f ca="1">IFERROR((SUM('Base de donnée'!$AG38:AN38)-SUM('Base de donnée'!$AG37:AN37))/SUM('Base de donnée'!$AG37:AN37),"")</f>
        <v/>
      </c>
      <c r="O343" s="6" t="str">
        <f ca="1">IFERROR((SUM('Base de donnée'!$AG38:AO38)-SUM('Base de donnée'!$AG37:AO37))/SUM('Base de donnée'!$AG37:AO37),"")</f>
        <v/>
      </c>
      <c r="P343" s="6" t="str">
        <f ca="1">IFERROR((SUM('Base de donnée'!$AG38:AP38)-SUM('Base de donnée'!$AG37:AP37))/SUM('Base de donnée'!$AG37:AP37),"")</f>
        <v/>
      </c>
      <c r="Q343" s="6" t="str">
        <f ca="1">IFERROR((SUM('Base de donnée'!$AG38:AQ38)-SUM('Base de donnée'!$AG37:AQ37))/SUM('Base de donnée'!$AG37:AQ37),"")</f>
        <v/>
      </c>
      <c r="R343" s="6" t="str">
        <f ca="1">IFERROR((SUM('Base de donnée'!$AG38:AR38)-SUM('Base de donnée'!$AG37:AR37))/SUM('Base de donnée'!$AG37:AR37),"")</f>
        <v/>
      </c>
    </row>
    <row r="344" spans="6:18" x14ac:dyDescent="0.25">
      <c r="F344" s="8" t="s">
        <v>171</v>
      </c>
      <c r="G344" s="6">
        <f ca="1">IFERROR((SUM('Base de donnée'!$AG38:AG38,'Base de donnée'!AH37:$AR37)-SUM('Base de donnée'!$AG37:AG37,'Base de donnée'!AH36:$AR36))/SUM('Base de donnée'!$AG37:AG37,'Base de donnée'!AH36:$AR36),"")</f>
        <v>5.503717902256066E-2</v>
      </c>
      <c r="H344" s="6">
        <f ca="1">IFERROR((SUM('Base de donnée'!$AG38:AH38,'Base de donnée'!AI37:$AR37)-SUM('Base de donnée'!$AG37:AH37,'Base de donnée'!AI36:$AR36))/SUM('Base de donnée'!$AG37:AH37,'Base de donnée'!AI36:$AR36),"")</f>
        <v>4.9975045312458957E-2</v>
      </c>
      <c r="I344" s="6">
        <f ca="1">IFERROR((SUM('Base de donnée'!$AG38:AI38,'Base de donnée'!AJ37:$AR37)-SUM('Base de donnée'!$AG37:AI37,'Base de donnée'!AJ36:$AR36))/SUM('Base de donnée'!$AG37:AI37,'Base de donnée'!AJ36:$AR36),"")</f>
        <v>7.3713380839271578E-2</v>
      </c>
      <c r="J344" s="6">
        <f ca="1">IFERROR((SUM('Base de donnée'!$AG38:AJ38,'Base de donnée'!AK37:$AR37)-SUM('Base de donnée'!$AG37:AJ37,'Base de donnée'!AK36:$AR36))/SUM('Base de donnée'!$AG37:AJ37,'Base de donnée'!AK36:$AR36),"")</f>
        <v>9.4001671730506428E-2</v>
      </c>
      <c r="K344" s="6">
        <f ca="1">IFERROR((SUM('Base de donnée'!$AG38:AK38,'Base de donnée'!AL37:$AR37)-SUM('Base de donnée'!$AG37:AK37,'Base de donnée'!AL36:$AR36))/SUM('Base de donnée'!$AG37:AK37,'Base de donnée'!AL36:$AR36),"")</f>
        <v>0.10361773409521101</v>
      </c>
      <c r="L344" s="6">
        <f ca="1">IFERROR((SUM('Base de donnée'!$AG38:AL38,'Base de donnée'!AM37:$AR37)-SUM('Base de donnée'!$AG37:AL37,'Base de donnée'!AM36:$AR36))/SUM('Base de donnée'!$AG37:AL37,'Base de donnée'!AM36:$AR36),"")</f>
        <v>0.10616884119679314</v>
      </c>
      <c r="M344" s="6">
        <f ca="1">IFERROR((SUM('Base de donnée'!$AG38:AM38,'Base de donnée'!AN37:$AR37)-SUM('Base de donnée'!$AG37:AM37,'Base de donnée'!AN36:$AR36))/SUM('Base de donnée'!$AG37:AM37,'Base de donnée'!AN36:$AR36),"")</f>
        <v>9.0319543956906015E-2</v>
      </c>
      <c r="N344" s="6" t="str">
        <f ca="1">IFERROR((SUM('Base de donnée'!$AG38:AN38,'Base de donnée'!AO37:$AR37)-SUM('Base de donnée'!$AG37:AN37,'Base de donnée'!AO36:$AR36))/SUM('Base de donnée'!$AG37:AN37,'Base de donnée'!AO36:$AR36),"")</f>
        <v/>
      </c>
      <c r="O344" s="6" t="str">
        <f ca="1">IFERROR((SUM('Base de donnée'!$AG38:AO38,'Base de donnée'!AP37:$AR37)-SUM('Base de donnée'!$AG37:AO37,'Base de donnée'!AP36:$AR36))/SUM('Base de donnée'!$AG37:AO37,'Base de donnée'!AP36:$AR36),"")</f>
        <v/>
      </c>
      <c r="P344" s="6" t="str">
        <f ca="1">IFERROR((SUM('Base de donnée'!$AG38:AP38,'Base de donnée'!AQ37:$AR37)-SUM('Base de donnée'!$AG37:AP37,'Base de donnée'!AQ36:$AR36))/SUM('Base de donnée'!$AG37:AP37,'Base de donnée'!AQ36:$AR36),"")</f>
        <v/>
      </c>
      <c r="Q344" s="6" t="str">
        <f ca="1">IFERROR((SUM('Base de donnée'!$AG38:AQ38,'Base de donnée'!AR37:$AR37)-SUM('Base de donnée'!$AG37:AQ37,'Base de donnée'!AR36:$AR36))/SUM('Base de donnée'!$AG37:AQ37,'Base de donnée'!AR36:$AR36),"")</f>
        <v/>
      </c>
      <c r="R344" s="6" t="str">
        <f ca="1">IFERROR((SUM('Base de donnée'!$AG38:AR38,'Base de donnée'!$AR37:AS37)-SUM('Base de donnée'!$AG37:AR37,'Base de donnée'!$AR36:AS36))/SUM('Base de donnée'!$AG37:AR37,'Base de donnée'!$AR36:AS36),"")</f>
        <v/>
      </c>
    </row>
    <row r="355" spans="4:4" ht="21" x14ac:dyDescent="0.35">
      <c r="D355" s="17" t="s">
        <v>203</v>
      </c>
    </row>
    <row r="389" spans="6:18" x14ac:dyDescent="0.25">
      <c r="G389" s="8" t="s">
        <v>172</v>
      </c>
      <c r="H389" s="8" t="s">
        <v>173</v>
      </c>
      <c r="I389" s="8" t="s">
        <v>159</v>
      </c>
      <c r="J389" s="8" t="s">
        <v>174</v>
      </c>
      <c r="K389" s="8" t="s">
        <v>161</v>
      </c>
      <c r="L389" s="8" t="s">
        <v>162</v>
      </c>
      <c r="M389" s="8" t="s">
        <v>175</v>
      </c>
      <c r="N389" s="8" t="s">
        <v>164</v>
      </c>
      <c r="O389" s="8" t="s">
        <v>176</v>
      </c>
      <c r="P389" s="8" t="s">
        <v>177</v>
      </c>
      <c r="Q389" s="8" t="s">
        <v>178</v>
      </c>
      <c r="R389" s="8" t="s">
        <v>179</v>
      </c>
    </row>
    <row r="390" spans="6:18" x14ac:dyDescent="0.25">
      <c r="F390" s="8" t="str">
        <f>"Evo"&amp;'Base de donnée'!AD298 &amp; "/" &amp; 'Base de donnée'!AD300</f>
        <v>Evo/</v>
      </c>
      <c r="G390" s="6">
        <f ca="1">IFERROR(('Base de donnée'!AG62-'Base de donnée'!AG61)/'Base de donnée'!AG61,"")</f>
        <v>-1.9889513233146059E-2</v>
      </c>
      <c r="H390" s="6">
        <f ca="1">IFERROR(('Base de donnée'!AH62-'Base de donnée'!AH61)/'Base de donnée'!AH61,"")</f>
        <v>-1.4189195861707544E-2</v>
      </c>
      <c r="I390" s="6">
        <f ca="1">IFERROR(('Base de donnée'!AI62-'Base de donnée'!AI61)/'Base de donnée'!AI61,"")</f>
        <v>-1.3079188445429091E-2</v>
      </c>
      <c r="J390" s="6">
        <f ca="1">IFERROR(('Base de donnée'!AJ62-'Base de donnée'!AJ61)/'Base de donnée'!AJ61,"")</f>
        <v>-4.2608743218859782E-2</v>
      </c>
      <c r="K390" s="6">
        <f ca="1">IFERROR(('Base de donnée'!AK62-'Base de donnée'!AK61)/'Base de donnée'!AK61,"")</f>
        <v>-2.7373818942283062E-2</v>
      </c>
      <c r="L390" s="6">
        <f ca="1">IFERROR(('Base de donnée'!AL62-'Base de donnée'!AL61)/'Base de donnée'!AL61,"")</f>
        <v>-6.493401159843119E-3</v>
      </c>
      <c r="M390" s="6">
        <f ca="1">IFERROR(('Base de donnée'!AM62-'Base de donnée'!AM61)/'Base de donnée'!AM61,"")</f>
        <v>-2.6837745990331546E-2</v>
      </c>
      <c r="N390" s="6" t="str">
        <f ca="1">IFERROR(('Base de donnée'!AN62-'Base de donnée'!AN61)/'Base de donnée'!AN61,"")</f>
        <v/>
      </c>
      <c r="O390" s="6" t="str">
        <f ca="1">IFERROR(('Base de donnée'!AO62-'Base de donnée'!AO61)/'Base de donnée'!AO61,"")</f>
        <v/>
      </c>
      <c r="P390" s="6" t="str">
        <f ca="1">IFERROR(('Base de donnée'!AP62-'Base de donnée'!AP61)/'Base de donnée'!AP61,"")</f>
        <v/>
      </c>
      <c r="Q390" s="6" t="str">
        <f ca="1">IFERROR(('Base de donnée'!AQ62-'Base de donnée'!AQ61)/'Base de donnée'!AQ61,"")</f>
        <v/>
      </c>
      <c r="R390" s="6" t="str">
        <f ca="1">IFERROR(('Base de donnée'!AR62-'Base de donnée'!AR61)/'Base de donnée'!AR61,"")</f>
        <v/>
      </c>
    </row>
    <row r="391" spans="6:18" x14ac:dyDescent="0.25">
      <c r="F391" s="8" t="s">
        <v>170</v>
      </c>
      <c r="G391" s="6">
        <f ca="1">IFERROR((SUM('Base de donnée'!$AG62:AG62)-SUM('Base de donnée'!$AG61:AG61))/SUM('Base de donnée'!$AG61:AG61),"")</f>
        <v>-1.9889513233146059E-2</v>
      </c>
      <c r="H391" s="6">
        <f ca="1">IFERROR((SUM('Base de donnée'!$AG62:AH62)-SUM('Base de donnée'!$AG61:AH61))/SUM('Base de donnée'!$AG61:AH61),"")</f>
        <v>-1.7072010396345906E-2</v>
      </c>
      <c r="I391" s="6">
        <f ca="1">IFERROR((SUM('Base de donnée'!$AG62:AI62)-SUM('Base de donnée'!$AG61:AI61))/SUM('Base de donnée'!$AG61:AI61),"")</f>
        <v>-1.5738733736118161E-2</v>
      </c>
      <c r="J391" s="6">
        <f ca="1">IFERROR((SUM('Base de donnée'!$AG62:AJ62)-SUM('Base de donnée'!$AG61:AJ61))/SUM('Base de donnée'!$AG61:AJ61),"")</f>
        <v>-2.2539494307164822E-2</v>
      </c>
      <c r="K391" s="6">
        <f ca="1">IFERROR((SUM('Base de donnée'!$AG62:AK62)-SUM('Base de donnée'!$AG61:AK61))/SUM('Base de donnée'!$AG61:AK61),"")</f>
        <v>-2.3506432290075416E-2</v>
      </c>
      <c r="L391" s="6">
        <f ca="1">IFERROR((SUM('Base de donnée'!$AG62:AL62)-SUM('Base de donnée'!$AG61:AL61))/SUM('Base de donnée'!$AG61:AL61),"")</f>
        <v>-2.0726698848718028E-2</v>
      </c>
      <c r="M391" s="6">
        <f ca="1">IFERROR((SUM('Base de donnée'!$AG62:AM62)-SUM('Base de donnée'!$AG61:AM61))/SUM('Base de donnée'!$AG61:AM61),"")</f>
        <v>-2.1577252274688451E-2</v>
      </c>
      <c r="N391" s="6" t="str">
        <f ca="1">IFERROR((SUM('Base de donnée'!$AG62:AN62)-SUM('Base de donnée'!$AG61:AN61))/SUM('Base de donnée'!$AG61:AN61),"")</f>
        <v/>
      </c>
      <c r="O391" s="6" t="str">
        <f ca="1">IFERROR((SUM('Base de donnée'!$AG62:AO62)-SUM('Base de donnée'!$AG61:AO61))/SUM('Base de donnée'!$AG61:AO61),"")</f>
        <v/>
      </c>
      <c r="P391" s="6" t="str">
        <f ca="1">IFERROR((SUM('Base de donnée'!$AG62:AP62)-SUM('Base de donnée'!$AG61:AP61))/SUM('Base de donnée'!$AG61:AP61),"")</f>
        <v/>
      </c>
      <c r="Q391" s="6" t="str">
        <f ca="1">IFERROR((SUM('Base de donnée'!$AG62:AQ62)-SUM('Base de donnée'!$AG61:AQ61))/SUM('Base de donnée'!$AG61:AQ61),"")</f>
        <v/>
      </c>
      <c r="R391" s="6" t="str">
        <f ca="1">IFERROR((SUM('Base de donnée'!$AG62:AR62)-SUM('Base de donnée'!$AG61:AR61))/SUM('Base de donnée'!$AG61:AR61),"")</f>
        <v/>
      </c>
    </row>
    <row r="392" spans="6:18" x14ac:dyDescent="0.25">
      <c r="F392" s="8" t="s">
        <v>171</v>
      </c>
      <c r="G392" s="19">
        <f ca="1">IFERROR((SUM('Base de donnée'!$AG62:AG62,'Base de donnée'!AH61:$AR61)-SUM('Base de donnée'!$AG61:AG61,'Base de donnée'!AH60:$AR60))/SUM('Base de donnée'!$AG61:AG61,'Base de donnée'!AH60:$AR60),"")</f>
        <v>3.4094021026161762E-2</v>
      </c>
      <c r="H392" s="19">
        <f ca="1">IFERROR((SUM('Base de donnée'!$AG62:AH62,'Base de donnée'!AI61:$AR61)-SUM('Base de donnée'!$AG61:AH61,'Base de donnée'!AI60:$AR60))/SUM('Base de donnée'!$AG61:AH61,'Base de donnée'!AI60:$AR60),"")</f>
        <v>1.5537456302854797E-2</v>
      </c>
      <c r="I392" s="19">
        <f ca="1">IFERROR((SUM('Base de donnée'!$AG62:AI62,'Base de donnée'!AJ61:$AR61)-SUM('Base de donnée'!$AG61:AI61,'Base de donnée'!AJ60:$AR60))/SUM('Base de donnée'!$AG61:AI61,'Base de donnée'!AJ60:$AR60),"")</f>
        <v>3.3918555066195639E-4</v>
      </c>
      <c r="J392" s="19">
        <f ca="1">IFERROR((SUM('Base de donnée'!$AG62:AJ62,'Base de donnée'!AK61:$AR61)-SUM('Base de donnée'!$AG61:AJ61,'Base de donnée'!AK60:$AR60))/SUM('Base de donnée'!$AG61:AJ61,'Base de donnée'!AK60:$AR60),"")</f>
        <v>-1.2779092038818151E-2</v>
      </c>
      <c r="K392" s="19">
        <f ca="1">IFERROR((SUM('Base de donnée'!$AG62:AK62,'Base de donnée'!AL61:$AR61)-SUM('Base de donnée'!$AG61:AK61,'Base de donnée'!AL60:$AR60))/SUM('Base de donnée'!$AG61:AK61,'Base de donnée'!AL60:$AR60),"")</f>
        <v>-2.3028897312576038E-2</v>
      </c>
      <c r="L392" s="19">
        <f ca="1">IFERROR((SUM('Base de donnée'!$AG62:AL62,'Base de donnée'!AM61:$AR61)-SUM('Base de donnée'!$AG61:AL61,'Base de donnée'!AM60:$AR60))/SUM('Base de donnée'!$AG61:AL61,'Base de donnée'!AM60:$AR60),"")</f>
        <v>-2.5551257069230511E-2</v>
      </c>
      <c r="M392" s="19">
        <f ca="1">IFERROR((SUM('Base de donnée'!$AG62:AM62,'Base de donnée'!AN61:$AR61)-SUM('Base de donnée'!$AG61:AM61,'Base de donnée'!AN60:$AR60))/SUM('Base de donnée'!$AG61:AM61,'Base de donnée'!AN60:$AR60),"")</f>
        <v>-2.4452670034656135E-2</v>
      </c>
      <c r="N392" s="19" t="str">
        <f ca="1">IFERROR((SUM('Base de donnée'!$AG62:AN62,'Base de donnée'!AO61:$AR61)-SUM('Base de donnée'!$AG61:AN61,'Base de donnée'!AO60:$AR60))/SUM('Base de donnée'!$AG61:AN61,'Base de donnée'!AO60:$AR60),"")</f>
        <v/>
      </c>
      <c r="O392" s="19" t="str">
        <f ca="1">IFERROR((SUM('Base de donnée'!$AG62:AO62,'Base de donnée'!AP61:$AR61)-SUM('Base de donnée'!$AG61:AO61,'Base de donnée'!AP60:$AR60))/SUM('Base de donnée'!$AG61:AO61,'Base de donnée'!AP60:$AR60),"")</f>
        <v/>
      </c>
      <c r="P392" s="19" t="str">
        <f ca="1">IFERROR((SUM('Base de donnée'!$AG62:AP62,'Base de donnée'!AQ61:$AR61)-SUM('Base de donnée'!$AG61:AP61,'Base de donnée'!AQ60:$AR60))/SUM('Base de donnée'!$AG61:AP61,'Base de donnée'!AQ60:$AR60),"")</f>
        <v/>
      </c>
      <c r="Q392" s="19" t="str">
        <f ca="1">IFERROR((SUM('Base de donnée'!$AG62:AQ62,'Base de donnée'!AR61:$AR61)-SUM('Base de donnée'!$AG61:AQ61,'Base de donnée'!AR60:$AR60))/SUM('Base de donnée'!$AG61:AQ61,'Base de donnée'!AR60:$AR60),"")</f>
        <v/>
      </c>
      <c r="R392" s="19" t="str">
        <f ca="1">IFERROR((SUM('Base de donnée'!$AG62:AR62,'Base de donnée'!$AR61:AS61)-SUM('Base de donnée'!$AG61:AR61,'Base de donnée'!$AR60:AS60))/SUM('Base de donnée'!$AG61:AR61,'Base de donnée'!$AR60:AS60),"")</f>
        <v/>
      </c>
    </row>
    <row r="401" spans="5:5" ht="21" x14ac:dyDescent="0.35">
      <c r="E401" s="20" t="s">
        <v>206</v>
      </c>
    </row>
    <row r="432" spans="4:4" ht="21" x14ac:dyDescent="0.35">
      <c r="D432" s="17"/>
    </row>
    <row r="434" spans="5:18" x14ac:dyDescent="0.25">
      <c r="R434">
        <v>4</v>
      </c>
    </row>
    <row r="443" spans="5:18" ht="21" x14ac:dyDescent="0.35">
      <c r="E443" s="17" t="s">
        <v>204</v>
      </c>
    </row>
    <row r="472" spans="6:18" x14ac:dyDescent="0.25">
      <c r="G472" s="8" t="s">
        <v>172</v>
      </c>
      <c r="H472" s="8" t="s">
        <v>173</v>
      </c>
      <c r="I472" s="8" t="s">
        <v>159</v>
      </c>
      <c r="J472" s="8" t="s">
        <v>174</v>
      </c>
      <c r="K472" s="8" t="s">
        <v>161</v>
      </c>
      <c r="L472" s="8" t="s">
        <v>162</v>
      </c>
      <c r="M472" s="8" t="s">
        <v>175</v>
      </c>
      <c r="N472" s="8" t="s">
        <v>164</v>
      </c>
      <c r="O472" s="8" t="s">
        <v>176</v>
      </c>
      <c r="P472" s="8" t="s">
        <v>177</v>
      </c>
      <c r="Q472" s="8" t="s">
        <v>178</v>
      </c>
      <c r="R472" s="8" t="s">
        <v>179</v>
      </c>
    </row>
    <row r="473" spans="6:18" x14ac:dyDescent="0.25">
      <c r="F473" s="8" t="str">
        <f>"Evo"&amp;'Base de donnée'!AD377 &amp; "/" &amp; 'Base de donnée'!AD379</f>
        <v>Evo/</v>
      </c>
      <c r="G473" s="6">
        <f ca="1">IFERROR(('Base de donnée'!AG68-'Base de donnée'!AG67)/'Base de donnée'!AG67,"")</f>
        <v>1.9672960479862403E-2</v>
      </c>
      <c r="H473" s="6">
        <f ca="1">IFERROR(('Base de donnée'!AH68-'Base de donnée'!AH67)/'Base de donnée'!AH67,"")</f>
        <v>3.727909831474456E-2</v>
      </c>
      <c r="I473" s="6">
        <f ca="1">IFERROR(('Base de donnée'!AI68-'Base de donnée'!AI67)/'Base de donnée'!AI67,"")</f>
        <v>2.3813769095113138E-2</v>
      </c>
      <c r="J473" s="6">
        <f ca="1">IFERROR(('Base de donnée'!AJ68-'Base de donnée'!AJ67)/'Base de donnée'!AJ67,"")</f>
        <v>-3.354241698172282E-2</v>
      </c>
      <c r="K473" s="6">
        <f ca="1">IFERROR(('Base de donnée'!AK68-'Base de donnée'!AK67)/'Base de donnée'!AK67,"")</f>
        <v>1.0641744701277114E-4</v>
      </c>
      <c r="L473" s="6">
        <f ca="1">IFERROR(('Base de donnée'!AL68-'Base de donnée'!AL67)/'Base de donnée'!AL67,"")</f>
        <v>1.101910022526616E-2</v>
      </c>
      <c r="M473" s="6">
        <f ca="1">IFERROR(('Base de donnée'!AM68-'Base de donnée'!AM67)/'Base de donnée'!AM67,"")</f>
        <v>-8.7512491368177722E-2</v>
      </c>
      <c r="N473" s="6" t="str">
        <f ca="1">IFERROR(('Base de donnée'!AN68-'Base de donnée'!AN67)/'Base de donnée'!AN67,"")</f>
        <v/>
      </c>
      <c r="O473" s="6" t="str">
        <f ca="1">IFERROR(('Base de donnée'!AO68-'Base de donnée'!AO67)/'Base de donnée'!AO67,"")</f>
        <v/>
      </c>
      <c r="P473" s="6" t="str">
        <f ca="1">IFERROR(('Base de donnée'!AP68-'Base de donnée'!AP67)/'Base de donnée'!AP67,"")</f>
        <v/>
      </c>
      <c r="Q473" s="6" t="str">
        <f ca="1">IFERROR(('Base de donnée'!AQ68-'Base de donnée'!AQ67)/'Base de donnée'!AQ67,"")</f>
        <v/>
      </c>
      <c r="R473" s="6" t="str">
        <f ca="1">IFERROR(('Base de donnée'!AR68-'Base de donnée'!AR67)/'Base de donnée'!AR67,"")</f>
        <v/>
      </c>
    </row>
    <row r="474" spans="6:18" x14ac:dyDescent="0.25">
      <c r="F474" s="8" t="s">
        <v>170</v>
      </c>
      <c r="G474" s="6">
        <f ca="1">IFERROR((SUM('Base de donnée'!$AG68:AG68)-SUM('Base de donnée'!$AG67:AG67))/SUM('Base de donnée'!$AG67:AG67),"")</f>
        <v>1.9672960479862403E-2</v>
      </c>
      <c r="H474" s="6">
        <f ca="1">IFERROR((SUM('Base de donnée'!$AG68:AH68)-SUM('Base de donnée'!$AG67:AH67))/SUM('Base de donnée'!$AG67:AH67),"")</f>
        <v>2.8261043312133249E-2</v>
      </c>
      <c r="I474" s="6">
        <f ca="1">IFERROR((SUM('Base de donnée'!$AG68:AI68)-SUM('Base de donnée'!$AG67:AI67))/SUM('Base de donnée'!$AG67:AI67),"")</f>
        <v>2.6772430763229743E-2</v>
      </c>
      <c r="J474" s="6">
        <f ca="1">IFERROR((SUM('Base de donnée'!$AG68:AJ68)-SUM('Base de donnée'!$AG67:AJ67))/SUM('Base de donnée'!$AG67:AJ67),"")</f>
        <v>1.1341909704480513E-2</v>
      </c>
      <c r="K474" s="6">
        <f ca="1">IFERROR((SUM('Base de donnée'!$AG68:AK68)-SUM('Base de donnée'!$AG67:AK67))/SUM('Base de donnée'!$AG67:AK67),"")</f>
        <v>9.0965374239003263E-3</v>
      </c>
      <c r="L474" s="6">
        <f ca="1">IFERROR((SUM('Base de donnée'!$AG68:AL68)-SUM('Base de donnée'!$AG67:AL67))/SUM('Base de donnée'!$AG67:AL67),"")</f>
        <v>9.4182455121729885E-3</v>
      </c>
      <c r="M474" s="6">
        <f ca="1">IFERROR((SUM('Base de donnée'!$AG68:AM68)-SUM('Base de donnée'!$AG67:AM67))/SUM('Base de donnée'!$AG67:AM67),"")</f>
        <v>-5.2197864856358914E-3</v>
      </c>
      <c r="N474" s="6" t="str">
        <f ca="1">IFERROR((SUM('Base de donnée'!$AG68:AN68)-SUM('Base de donnée'!$AG67:AN67))/SUM('Base de donnée'!$AG67:AN67),"")</f>
        <v/>
      </c>
      <c r="O474" s="6" t="str">
        <f ca="1">IFERROR((SUM('Base de donnée'!$AG68:AO68)-SUM('Base de donnée'!$AG67:AO67))/SUM('Base de donnée'!$AG67:AO67),"")</f>
        <v/>
      </c>
      <c r="P474" s="6" t="str">
        <f ca="1">IFERROR((SUM('Base de donnée'!$AG68:AP68)-SUM('Base de donnée'!$AG67:AP67))/SUM('Base de donnée'!$AG67:AP67),"")</f>
        <v/>
      </c>
      <c r="Q474" s="6" t="str">
        <f ca="1">IFERROR((SUM('Base de donnée'!$AG68:AQ68)-SUM('Base de donnée'!$AG67:AQ67))/SUM('Base de donnée'!$AG67:AQ67),"")</f>
        <v/>
      </c>
      <c r="R474" s="6" t="str">
        <f ca="1">IFERROR((SUM('Base de donnée'!$AG68:AR68)-SUM('Base de donnée'!$AG67:AR67))/SUM('Base de donnée'!$AG67:AR67),"")</f>
        <v/>
      </c>
    </row>
    <row r="475" spans="6:18" x14ac:dyDescent="0.25">
      <c r="F475" s="8" t="s">
        <v>171</v>
      </c>
      <c r="G475" s="19">
        <f ca="1">IFERROR((SUM('Base de donnée'!$AG62:AG62,'Base de donnée'!AH61:$AR61)-SUM('Base de donnée'!$AG61:AG61,'Base de donnée'!AH60:$AR60))/SUM('Base de donnée'!$AG61:AG61,'Base de donnée'!AH60:$AR60),"")</f>
        <v>3.4094021026161762E-2</v>
      </c>
      <c r="H475" s="19">
        <f ca="1">IFERROR((SUM('Base de donnée'!$AG62:AH62,'Base de donnée'!AI61:$AR61)-SUM('Base de donnée'!$AG61:AH61,'Base de donnée'!AI60:$AR60))/SUM('Base de donnée'!$AG61:AH61,'Base de donnée'!AI60:$AR60),"")</f>
        <v>1.5537456302854797E-2</v>
      </c>
      <c r="I475" s="19">
        <f ca="1">IFERROR((SUM('Base de donnée'!$AG62:AI62,'Base de donnée'!AJ61:$AR61)-SUM('Base de donnée'!$AG61:AI61,'Base de donnée'!AJ60:$AR60))/SUM('Base de donnée'!$AG61:AI61,'Base de donnée'!AJ60:$AR60),"")</f>
        <v>3.3918555066195639E-4</v>
      </c>
      <c r="J475" s="19">
        <f ca="1">IFERROR((SUM('Base de donnée'!$AG62:AJ62,'Base de donnée'!AK61:$AR61)-SUM('Base de donnée'!$AG61:AJ61,'Base de donnée'!AK60:$AR60))/SUM('Base de donnée'!$AG61:AJ61,'Base de donnée'!AK60:$AR60),"")</f>
        <v>-1.2779092038818151E-2</v>
      </c>
      <c r="K475" s="19">
        <f ca="1">IFERROR((SUM('Base de donnée'!$AG62:AK62,'Base de donnée'!AL61:$AR61)-SUM('Base de donnée'!$AG61:AK61,'Base de donnée'!AL60:$AR60))/SUM('Base de donnée'!$AG61:AK61,'Base de donnée'!AL60:$AR60),"")</f>
        <v>-2.3028897312576038E-2</v>
      </c>
      <c r="L475" s="19">
        <f ca="1">IFERROR((SUM('Base de donnée'!$AG62:AL62,'Base de donnée'!AM61:$AR61)-SUM('Base de donnée'!$AG61:AL61,'Base de donnée'!AM60:$AR60))/SUM('Base de donnée'!$AG61:AL61,'Base de donnée'!AM60:$AR60),"")</f>
        <v>-2.5551257069230511E-2</v>
      </c>
      <c r="M475" s="19">
        <f ca="1">IFERROR((SUM('Base de donnée'!$AG62:AM62,'Base de donnée'!AN61:$AR61)-SUM('Base de donnée'!$AG61:AM61,'Base de donnée'!AN60:$AR60))/SUM('Base de donnée'!$AG61:AM61,'Base de donnée'!AN60:$AR60),"")</f>
        <v>-2.4452670034656135E-2</v>
      </c>
      <c r="N475" s="19" t="str">
        <f ca="1">IFERROR((SUM('Base de donnée'!$AG62:AN62,'Base de donnée'!AO61:$AR61)-SUM('Base de donnée'!$AG61:AN61,'Base de donnée'!AO60:$AR60))/SUM('Base de donnée'!$AG61:AN61,'Base de donnée'!AO60:$AR60),"")</f>
        <v/>
      </c>
      <c r="O475" s="19" t="str">
        <f ca="1">IFERROR((SUM('Base de donnée'!$AG62:AO62,'Base de donnée'!AP61:$AR61)-SUM('Base de donnée'!$AG61:AO61,'Base de donnée'!AP60:$AR60))/SUM('Base de donnée'!$AG61:AO61,'Base de donnée'!AP60:$AR60),"")</f>
        <v/>
      </c>
      <c r="P475" s="19" t="str">
        <f ca="1">IFERROR((SUM('Base de donnée'!$AG62:AP62,'Base de donnée'!AQ61:$AR61)-SUM('Base de donnée'!$AG61:AP61,'Base de donnée'!AQ60:$AR60))/SUM('Base de donnée'!$AG61:AP61,'Base de donnée'!AQ60:$AR60),"")</f>
        <v/>
      </c>
      <c r="Q475" s="19" t="str">
        <f ca="1">IFERROR((SUM('Base de donnée'!$AG62:AQ62,'Base de donnée'!AR61:$AR61)-SUM('Base de donnée'!$AG61:AQ61,'Base de donnée'!AR60:$AR60))/SUM('Base de donnée'!$AG61:AQ61,'Base de donnée'!AR60:$AR60),"")</f>
        <v/>
      </c>
      <c r="R475" s="19" t="str">
        <f ca="1">IFERROR((SUM('Base de donnée'!$AG62:AR62,'Base de donnée'!$AR61:AS61)-SUM('Base de donnée'!$AG61:AR61,'Base de donnée'!$AR60:AS60))/SUM('Base de donnée'!$AG61:AR61,'Base de donnée'!$AR60:AS60),"")</f>
        <v/>
      </c>
    </row>
    <row r="482" spans="6:6" ht="21" x14ac:dyDescent="0.35">
      <c r="F482" s="17" t="s">
        <v>207</v>
      </c>
    </row>
    <row r="566" spans="6:18" x14ac:dyDescent="0.25">
      <c r="R566">
        <v>5</v>
      </c>
    </row>
    <row r="571" spans="6:18" ht="18.75" x14ac:dyDescent="0.3">
      <c r="F571" s="26" t="s">
        <v>218</v>
      </c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</row>
    <row r="575" spans="6:18" ht="18.75" x14ac:dyDescent="0.3">
      <c r="F575" s="25" t="s">
        <v>208</v>
      </c>
    </row>
    <row r="579" spans="6:6" ht="21" x14ac:dyDescent="0.35">
      <c r="F579" s="17"/>
    </row>
    <row r="611" spans="6:18" x14ac:dyDescent="0.25">
      <c r="G611" s="8" t="s">
        <v>172</v>
      </c>
      <c r="H611" s="8" t="s">
        <v>173</v>
      </c>
      <c r="I611" s="8" t="s">
        <v>159</v>
      </c>
      <c r="J611" s="8" t="s">
        <v>174</v>
      </c>
      <c r="K611" s="8" t="s">
        <v>161</v>
      </c>
      <c r="L611" s="8" t="s">
        <v>162</v>
      </c>
      <c r="M611" s="8" t="s">
        <v>175</v>
      </c>
      <c r="N611" s="8" t="s">
        <v>164</v>
      </c>
      <c r="O611" s="8" t="s">
        <v>176</v>
      </c>
      <c r="P611" s="8" t="s">
        <v>177</v>
      </c>
      <c r="Q611" s="8" t="s">
        <v>178</v>
      </c>
      <c r="R611" s="8" t="s">
        <v>179</v>
      </c>
    </row>
    <row r="612" spans="6:18" x14ac:dyDescent="0.25">
      <c r="F612" s="8" t="str">
        <f>"Evo"&amp;'Base de donnée'!AD513 &amp; "/" &amp; 'Base de donnée'!AD515</f>
        <v>Evo/</v>
      </c>
      <c r="G612" s="6">
        <f ca="1">IFERROR(('Base de donnée'!AG44-'Base de donnée'!AG43)/'Base de donnée'!AG43,"")</f>
        <v>6.8534901728199808E-3</v>
      </c>
      <c r="H612" s="6">
        <f ca="1">IFERROR(('Base de donnée'!AH44-'Base de donnée'!AH43)/'Base de donnée'!AH43,"")</f>
        <v>-3.095433977786919E-2</v>
      </c>
      <c r="I612" s="6">
        <f ca="1">IFERROR(('Base de donnée'!AI44-'Base de donnée'!AI43)/'Base de donnée'!AI43,"")</f>
        <v>0.20941250789639923</v>
      </c>
      <c r="J612" s="6">
        <f ca="1">IFERROR(('Base de donnée'!AJ44-'Base de donnée'!AJ43)/'Base de donnée'!AJ43,"")</f>
        <v>9.6621386276558696E-2</v>
      </c>
      <c r="K612" s="6">
        <f ca="1">IFERROR(('Base de donnée'!AK44-'Base de donnée'!AK43)/'Base de donnée'!AK43,"")</f>
        <v>8.3172824374015061E-2</v>
      </c>
      <c r="L612" s="6">
        <f ca="1">IFERROR(('Base de donnée'!AL44-'Base de donnée'!AL43)/'Base de donnée'!AL43,"")</f>
        <v>0.21980413492927095</v>
      </c>
      <c r="M612" s="6">
        <f ca="1">IFERROR(('Base de donnée'!AM44-'Base de donnée'!AM43)/'Base de donnée'!AM43,"")</f>
        <v>0.18431740763385449</v>
      </c>
      <c r="N612" s="6" t="str">
        <f ca="1">IFERROR(('Base de donnée'!AN44-'Base de donnée'!AN43)/'Base de donnée'!AN43,"")</f>
        <v/>
      </c>
      <c r="O612" s="6" t="str">
        <f ca="1">IFERROR(('Base de donnée'!AO44-'Base de donnée'!AO43)/'Base de donnée'!AO43,"")</f>
        <v/>
      </c>
      <c r="P612" s="6" t="str">
        <f ca="1">IFERROR(('Base de donnée'!AP44-'Base de donnée'!AP43)/'Base de donnée'!AP43,"")</f>
        <v/>
      </c>
      <c r="Q612" s="6" t="str">
        <f ca="1">IFERROR(('Base de donnée'!AQ44-'Base de donnée'!AQ43)/'Base de donnée'!AQ43,"")</f>
        <v/>
      </c>
      <c r="R612" s="6" t="str">
        <f ca="1">IFERROR(('Base de donnée'!AR44-'Base de donnée'!AR43)/'Base de donnée'!AR43,"")</f>
        <v/>
      </c>
    </row>
    <row r="613" spans="6:18" x14ac:dyDescent="0.25">
      <c r="F613" s="8" t="s">
        <v>170</v>
      </c>
      <c r="G613" s="6">
        <f ca="1">IFERROR((SUM('Base de donnée'!$AG44:AG44)-SUM('Base de donnée'!$AG43:AG43))/SUM('Base de donnée'!$AG43:AG43),"")</f>
        <v>6.8534901728199808E-3</v>
      </c>
      <c r="H613" s="6">
        <f ca="1">IFERROR((SUM('Base de donnée'!$AG44:AH44)-SUM('Base de donnée'!$AG43:AH43))/SUM('Base de donnée'!$AG43:AH43),"")</f>
        <v>-9.9616718045353499E-3</v>
      </c>
      <c r="I613" s="6">
        <f ca="1">IFERROR((SUM('Base de donnée'!$AG44:AI44)-SUM('Base de donnée'!$AG43:AI43))/SUM('Base de donnée'!$AG43:AI43),"")</f>
        <v>5.3324915550985078E-2</v>
      </c>
      <c r="J613" s="6">
        <f ca="1">IFERROR((SUM('Base de donnée'!$AG44:AJ44)-SUM('Base de donnée'!$AG43:AJ43))/SUM('Base de donnée'!$AG43:AJ43),"")</f>
        <v>6.2803749720397747E-2</v>
      </c>
      <c r="K613" s="6">
        <f ca="1">IFERROR((SUM('Base de donnée'!$AG44:AK44)-SUM('Base de donnée'!$AG43:AK43))/SUM('Base de donnée'!$AG43:AK43),"")</f>
        <v>6.6244164184464591E-2</v>
      </c>
      <c r="L613" s="6">
        <f ca="1">IFERROR((SUM('Base de donnée'!$AG44:AL44)-SUM('Base de donnée'!$AG43:AL43))/SUM('Base de donnée'!$AG43:AL43),"")</f>
        <v>8.9942760774337396E-2</v>
      </c>
      <c r="M613" s="6">
        <f ca="1">IFERROR((SUM('Base de donnée'!$AG44:AM44)-SUM('Base de donnée'!$AG43:AM43))/SUM('Base de donnée'!$AG43:AM43),"")</f>
        <v>0.1032136430909437</v>
      </c>
      <c r="N613" s="6" t="str">
        <f ca="1">IFERROR((SUM('Base de donnée'!$AG44:AN44)-SUM('Base de donnée'!$AG43:AN43))/SUM('Base de donnée'!$AG43:AN43),"")</f>
        <v/>
      </c>
      <c r="O613" s="6" t="str">
        <f ca="1">IFERROR((SUM('Base de donnée'!$AG44:AO44)-SUM('Base de donnée'!$AG43:AO43))/SUM('Base de donnée'!$AG43:AO43),"")</f>
        <v/>
      </c>
      <c r="P613" s="6" t="str">
        <f ca="1">IFERROR((SUM('Base de donnée'!$AG44:AP44)-SUM('Base de donnée'!$AG43:AP43))/SUM('Base de donnée'!$AG43:AP43),"")</f>
        <v/>
      </c>
      <c r="Q613" s="6" t="str">
        <f ca="1">IFERROR((SUM('Base de donnée'!$AG44:AQ44)-SUM('Base de donnée'!$AG43:AQ43))/SUM('Base de donnée'!$AG43:AQ43),"")</f>
        <v/>
      </c>
      <c r="R613" s="6" t="str">
        <f ca="1">IFERROR((SUM('Base de donnée'!$AG44:AR44)-SUM('Base de donnée'!$AG43:AR43))/SUM('Base de donnée'!$AG43:AR43),"")</f>
        <v/>
      </c>
    </row>
    <row r="614" spans="6:18" x14ac:dyDescent="0.25">
      <c r="F614" s="8" t="s">
        <v>171</v>
      </c>
      <c r="G614" s="6">
        <f ca="1">IFERROR((SUM('Base de donnée'!$AG44:AG44,'Base de donnée'!AH43:$AR43)-SUM('Base de donnée'!$AG43:AG43,'Base de donnée'!AH42:$AR42))/SUM('Base de donnée'!$AG43:AG43,'Base de donnée'!AH42:$AR42),"")</f>
        <v>-6.5645108554594142E-3</v>
      </c>
      <c r="H614" s="6">
        <f ca="1">IFERROR((SUM('Base de donnée'!$AG44:AH44,'Base de donnée'!AI43:$AR43)-SUM('Base de donnée'!$AG43:AH43,'Base de donnée'!AI42:$AR42))/SUM('Base de donnée'!$AG43:AH43,'Base de donnée'!AI42:$AR42),"")</f>
        <v>-4.3234913081397807E-3</v>
      </c>
      <c r="I614" s="6">
        <f ca="1">IFERROR((SUM('Base de donnée'!$AG44:AI44,'Base de donnée'!AJ43:$AR43)-SUM('Base de donnée'!$AG43:AI43,'Base de donnée'!AJ42:$AR42))/SUM('Base de donnée'!$AG43:AI43,'Base de donnée'!AJ42:$AR42),"")</f>
        <v>1.550228104749646E-2</v>
      </c>
      <c r="J614" s="6">
        <f ca="1">IFERROR((SUM('Base de donnée'!$AG44:AJ44,'Base de donnée'!AK43:$AR43)-SUM('Base de donnée'!$AG43:AJ43,'Base de donnée'!AK42:$AR42))/SUM('Base de donnée'!$AG43:AJ43,'Base de donnée'!AK42:$AR42),"")</f>
        <v>2.3977401784087599E-2</v>
      </c>
      <c r="K614" s="6">
        <f ca="1">IFERROR((SUM('Base de donnée'!$AG44:AK44,'Base de donnée'!AL43:$AR43)-SUM('Base de donnée'!$AG43:AK43,'Base de donnée'!AL42:$AR42))/SUM('Base de donnée'!$AG43:AK43,'Base de donnée'!AL42:$AR42),"")</f>
        <v>3.8075292259626116E-2</v>
      </c>
      <c r="L614" s="6">
        <f ca="1">IFERROR((SUM('Base de donnée'!$AG44:AL44,'Base de donnée'!AM43:$AR43)-SUM('Base de donnée'!$AG43:AL43,'Base de donnée'!AM42:$AR42))/SUM('Base de donnée'!$AG43:AL43,'Base de donnée'!AM42:$AR42),"")</f>
        <v>6.1626479993086167E-2</v>
      </c>
      <c r="M614" s="6">
        <f ca="1">IFERROR((SUM('Base de donnée'!$AG44:AM44,'Base de donnée'!AN43:$AR43)-SUM('Base de donnée'!$AG43:AM43,'Base de donnée'!AN42:$AR42))/SUM('Base de donnée'!$AG43:AM43,'Base de donnée'!AN42:$AR42),"")</f>
        <v>7.8907377661334904E-2</v>
      </c>
      <c r="N614" s="6" t="str">
        <f ca="1">IFERROR((SUM('Base de donnée'!$AG44:AN44,'Base de donnée'!AO43:$AR43)-SUM('Base de donnée'!$AG43:AN43,'Base de donnée'!AO42:$AR42))/SUM('Base de donnée'!$AG43:AN43,'Base de donnée'!AO42:$AR42),"")</f>
        <v/>
      </c>
      <c r="O614" s="6" t="str">
        <f ca="1">IFERROR((SUM('Base de donnée'!$AG44:AO44,'Base de donnée'!AP43:$AR43)-SUM('Base de donnée'!$AG43:AO43,'Base de donnée'!AP42:$AR42))/SUM('Base de donnée'!$AG43:AO43,'Base de donnée'!AP42:$AR42),"")</f>
        <v/>
      </c>
      <c r="P614" s="6" t="str">
        <f ca="1">IFERROR((SUM('Base de donnée'!$AG44:AP44,'Base de donnée'!AQ43:$AR43)-SUM('Base de donnée'!$AG43:AP43,'Base de donnée'!AQ42:$AR42))/SUM('Base de donnée'!$AG43:AP43,'Base de donnée'!AQ42:$AR42),"")</f>
        <v/>
      </c>
      <c r="Q614" s="6" t="str">
        <f ca="1">IFERROR((SUM('Base de donnée'!$AG44:AQ44,'Base de donnée'!AR43:$AR43)-SUM('Base de donnée'!$AG43:AQ43,'Base de donnée'!AR42:$AR42))/SUM('Base de donnée'!$AG43:AQ43,'Base de donnée'!AR42:$AR42),"")</f>
        <v/>
      </c>
      <c r="R614" s="6" t="str">
        <f ca="1">IFERROR((SUM('Base de donnée'!$AG44:AR44,'Base de donnée'!$AR43:AS43)-SUM('Base de donnée'!$AG43:AR43,'Base de donnée'!$AR42:AS42))/SUM('Base de donnée'!$AG43:AR43,'Base de donnée'!$AR42:AS42),"")</f>
        <v/>
      </c>
    </row>
    <row r="621" spans="6:18" ht="18.75" x14ac:dyDescent="0.3">
      <c r="F621" s="25" t="s">
        <v>209</v>
      </c>
    </row>
    <row r="652" spans="6:18" x14ac:dyDescent="0.25">
      <c r="G652" s="8" t="s">
        <v>172</v>
      </c>
      <c r="H652" s="8" t="s">
        <v>173</v>
      </c>
      <c r="I652" s="8" t="s">
        <v>159</v>
      </c>
      <c r="J652" s="8" t="s">
        <v>174</v>
      </c>
      <c r="K652" s="8" t="s">
        <v>161</v>
      </c>
      <c r="L652" s="8" t="s">
        <v>162</v>
      </c>
      <c r="M652" s="8" t="s">
        <v>175</v>
      </c>
      <c r="N652" s="8" t="s">
        <v>164</v>
      </c>
      <c r="O652" s="8" t="s">
        <v>176</v>
      </c>
      <c r="P652" s="8" t="s">
        <v>177</v>
      </c>
      <c r="Q652" s="8" t="s">
        <v>178</v>
      </c>
      <c r="R652" s="8" t="s">
        <v>179</v>
      </c>
    </row>
    <row r="653" spans="6:18" x14ac:dyDescent="0.25">
      <c r="F653" s="8" t="str">
        <f>"Evo"&amp;'Base de donnée'!AD554 &amp; "/" &amp; 'Base de donnée'!AD556</f>
        <v>Evo/</v>
      </c>
      <c r="G653" s="6">
        <f ca="1">IFERROR(('Base de donnée'!AG50-'Base de donnée'!AG49)/'Base de donnée'!AG49,"")</f>
        <v>7.4442174732872405E-3</v>
      </c>
      <c r="H653" s="6">
        <f ca="1">IFERROR(('Base de donnée'!AH50-'Base de donnée'!AH49)/'Base de donnée'!AH49,"")</f>
        <v>-7.2568265339349675E-3</v>
      </c>
      <c r="I653" s="6">
        <f ca="1">IFERROR(('Base de donnée'!AI50-'Base de donnée'!AI49)/'Base de donnée'!AI49,"")</f>
        <v>0.26004014763970729</v>
      </c>
      <c r="J653" s="6">
        <f ca="1">IFERROR(('Base de donnée'!AJ50-'Base de donnée'!AJ49)/'Base de donnée'!AJ49,"")</f>
        <v>0.11440775959406331</v>
      </c>
      <c r="K653" s="6">
        <f ca="1">IFERROR(('Base de donnée'!AK50-'Base de donnée'!AK49)/'Base de donnée'!AK49,"")</f>
        <v>6.853428890597571E-2</v>
      </c>
      <c r="L653" s="6">
        <f ca="1">IFERROR(('Base de donnée'!AL50-'Base de donnée'!AL49)/'Base de donnée'!AL49,"")</f>
        <v>0.23120057708273789</v>
      </c>
      <c r="M653" s="6">
        <f ca="1">IFERROR(('Base de donnée'!AM50-'Base de donnée'!AM49)/'Base de donnée'!AM49,"")</f>
        <v>0.22248978885888004</v>
      </c>
      <c r="N653" s="6" t="str">
        <f ca="1">IFERROR(('Base de donnée'!AN50-'Base de donnée'!AN49)/'Base de donnée'!AN49,"")</f>
        <v/>
      </c>
      <c r="O653" s="6" t="str">
        <f ca="1">IFERROR(('Base de donnée'!AO50-'Base de donnée'!AO49)/'Base de donnée'!AO49,"")</f>
        <v/>
      </c>
      <c r="P653" s="6" t="str">
        <f ca="1">IFERROR(('Base de donnée'!AP50-'Base de donnée'!AP49)/'Base de donnée'!AP49,"")</f>
        <v/>
      </c>
      <c r="Q653" s="6" t="str">
        <f ca="1">IFERROR(('Base de donnée'!AQ50-'Base de donnée'!AQ49)/'Base de donnée'!AQ49,"")</f>
        <v/>
      </c>
      <c r="R653" s="6" t="str">
        <f ca="1">IFERROR(('Base de donnée'!AR50-'Base de donnée'!AR49)/'Base de donnée'!AR49,"")</f>
        <v/>
      </c>
    </row>
    <row r="654" spans="6:18" x14ac:dyDescent="0.25">
      <c r="F654" s="8" t="s">
        <v>170</v>
      </c>
      <c r="G654" s="6">
        <f ca="1">IFERROR((SUM('Base de donnée'!$AG50:AG50)-SUM('Base de donnée'!$AG49:AG49))/SUM('Base de donnée'!$AG49:AG49),"")</f>
        <v>7.4442174732872405E-3</v>
      </c>
      <c r="H654" s="6">
        <f ca="1">IFERROR((SUM('Base de donnée'!$AG50:AH50)-SUM('Base de donnée'!$AG49:AH49))/SUM('Base de donnée'!$AG49:AH49),"")</f>
        <v>7.1347943688369225E-4</v>
      </c>
      <c r="I654" s="6">
        <f ca="1">IFERROR((SUM('Base de donnée'!$AG50:AI50)-SUM('Base de donnée'!$AG49:AI49))/SUM('Base de donnée'!$AG49:AI49),"")</f>
        <v>7.6267701026687854E-2</v>
      </c>
      <c r="J654" s="6">
        <f ca="1">IFERROR((SUM('Base de donnée'!$AG50:AJ50)-SUM('Base de donnée'!$AG49:AJ49))/SUM('Base de donnée'!$AG49:AJ49),"")</f>
        <v>8.4549353687643269E-2</v>
      </c>
      <c r="K654" s="6">
        <f ca="1">IFERROR((SUM('Base de donnée'!$AG50:AK50)-SUM('Base de donnée'!$AG49:AK49))/SUM('Base de donnée'!$AG49:AK49),"")</f>
        <v>8.1840158050384693E-2</v>
      </c>
      <c r="L654" s="6">
        <f ca="1">IFERROR((SUM('Base de donnée'!$AG50:AL50)-SUM('Base de donnée'!$AG49:AL49))/SUM('Base de donnée'!$AG49:AL49),"")</f>
        <v>0.10465798086239807</v>
      </c>
      <c r="M654" s="6">
        <f ca="1">IFERROR((SUM('Base de donnée'!$AG50:AM50)-SUM('Base de donnée'!$AG49:AM49))/SUM('Base de donnée'!$AG49:AM49),"")</f>
        <v>0.12058421042220747</v>
      </c>
      <c r="N654" s="6" t="str">
        <f ca="1">IFERROR((SUM('Base de donnée'!$AG50:AN50)-SUM('Base de donnée'!$AG49:AN49))/SUM('Base de donnée'!$AG49:AN49),"")</f>
        <v/>
      </c>
      <c r="O654" s="6" t="str">
        <f ca="1">IFERROR((SUM('Base de donnée'!$AG50:AO50)-SUM('Base de donnée'!$AG49:AO49))/SUM('Base de donnée'!$AG49:AO49),"")</f>
        <v/>
      </c>
      <c r="P654" s="6" t="str">
        <f ca="1">IFERROR((SUM('Base de donnée'!$AG50:AP50)-SUM('Base de donnée'!$AG49:AP49))/SUM('Base de donnée'!$AG49:AP49),"")</f>
        <v/>
      </c>
      <c r="Q654" s="6" t="str">
        <f ca="1">IFERROR((SUM('Base de donnée'!$AG50:AQ50)-SUM('Base de donnée'!$AG49:AQ49))/SUM('Base de donnée'!$AG49:AQ49),"")</f>
        <v/>
      </c>
      <c r="R654" s="6" t="str">
        <f ca="1">IFERROR((SUM('Base de donnée'!$AG50:AR50)-SUM('Base de donnée'!$AG49:AR49))/SUM('Base de donnée'!$AG49:AR49),"")</f>
        <v/>
      </c>
    </row>
    <row r="655" spans="6:18" x14ac:dyDescent="0.25">
      <c r="F655" s="8" t="s">
        <v>171</v>
      </c>
      <c r="G655" s="6">
        <f ca="1">IFERROR((SUM('Base de donnée'!$AG50:AG50,'Base de donnée'!AH49:$AR49)-SUM('Base de donnée'!$AG49:AG49,'Base de donnée'!AH48:$AR48))/SUM('Base de donnée'!$AG49:AG49,'Base de donnée'!AH48:$AR48),"")</f>
        <v>-3.6880891768211924E-2</v>
      </c>
      <c r="H655" s="6">
        <f ca="1">IFERROR((SUM('Base de donnée'!$AG50:AH50,'Base de donnée'!AI49:$AR49)-SUM('Base de donnée'!$AG49:AH49,'Base de donnée'!AI48:$AR48))/SUM('Base de donnée'!$AG49:AH49,'Base de donnée'!AI48:$AR48),"")</f>
        <v>-3.0857977463144122E-2</v>
      </c>
      <c r="I655" s="6">
        <f ca="1">IFERROR((SUM('Base de donnée'!$AG50:AI50,'Base de donnée'!AJ49:$AR49)-SUM('Base de donnée'!$AG49:AI49,'Base de donnée'!AJ48:$AR48))/SUM('Base de donnée'!$AG49:AI49,'Base de donnée'!AJ48:$AR48),"")</f>
        <v>-2.1633114130828459E-3</v>
      </c>
      <c r="J655" s="6">
        <f ca="1">IFERROR((SUM('Base de donnée'!$AG50:AJ50,'Base de donnée'!AK49:$AR49)-SUM('Base de donnée'!$AG49:AJ49,'Base de donnée'!AK48:$AR48))/SUM('Base de donnée'!$AG49:AJ49,'Base de donnée'!AK48:$AR48),"")</f>
        <v>1.03981006778378E-2</v>
      </c>
      <c r="K655" s="6">
        <f ca="1">IFERROR((SUM('Base de donnée'!$AG50:AK50,'Base de donnée'!AL49:$AR49)-SUM('Base de donnée'!$AG49:AK49,'Base de donnée'!AL48:$AR48))/SUM('Base de donnée'!$AG49:AK49,'Base de donnée'!AL48:$AR48),"")</f>
        <v>2.8068854822585719E-2</v>
      </c>
      <c r="L655" s="6">
        <f ca="1">IFERROR((SUM('Base de donnée'!$AG50:AL50,'Base de donnée'!AM49:$AR49)-SUM('Base de donnée'!$AG49:AL49,'Base de donnée'!AM48:$AR48))/SUM('Base de donnée'!$AG49:AL49,'Base de donnée'!AM48:$AR48),"")</f>
        <v>6.4510043179127952E-2</v>
      </c>
      <c r="M655" s="6">
        <f ca="1">IFERROR((SUM('Base de donnée'!$AG50:AM50,'Base de donnée'!AN49:$AR49)-SUM('Base de donnée'!$AG49:AM49,'Base de donnée'!AN48:$AR48))/SUM('Base de donnée'!$AG49:AM49,'Base de donnée'!AN48:$AR48),"")</f>
        <v>9.3908288318790167E-2</v>
      </c>
      <c r="N655" s="6" t="str">
        <f ca="1">IFERROR((SUM('Base de donnée'!$AG50:AN50,'Base de donnée'!AO49:$AR49)-SUM('Base de donnée'!$AG49:AN49,'Base de donnée'!AO48:$AR48))/SUM('Base de donnée'!$AG49:AN49,'Base de donnée'!AO48:$AR48),"")</f>
        <v/>
      </c>
      <c r="O655" s="6" t="str">
        <f ca="1">IFERROR((SUM('Base de donnée'!$AG50:AO50,'Base de donnée'!AP49:$AR49)-SUM('Base de donnée'!$AG49:AO49,'Base de donnée'!AP48:$AR48))/SUM('Base de donnée'!$AG49:AO49,'Base de donnée'!AP48:$AR48),"")</f>
        <v/>
      </c>
      <c r="P655" s="6" t="str">
        <f ca="1">IFERROR((SUM('Base de donnée'!$AG50:AP50,'Base de donnée'!AQ49:$AR49)-SUM('Base de donnée'!$AG49:AP49,'Base de donnée'!AQ48:$AR48))/SUM('Base de donnée'!$AG49:AP49,'Base de donnée'!AQ48:$AR48),"")</f>
        <v/>
      </c>
      <c r="Q655" s="6" t="str">
        <f ca="1">IFERROR((SUM('Base de donnée'!$AG50:AQ50,'Base de donnée'!AR49:$AR49)-SUM('Base de donnée'!$AG49:AQ49,'Base de donnée'!AR48:$AR48))/SUM('Base de donnée'!$AG49:AQ49,'Base de donnée'!AR48:$AR48),"")</f>
        <v/>
      </c>
      <c r="R655" s="6" t="str">
        <f ca="1">IFERROR((SUM('Base de donnée'!$AG50:AR50,'Base de donnée'!$AR49:AS49)-SUM('Base de donnée'!$AG49:AR49,'Base de donnée'!$AR48:AS48))/SUM('Base de donnée'!$AG49:AR49,'Base de donnée'!$AR48:AS48),"")</f>
        <v/>
      </c>
    </row>
    <row r="663" spans="5:5" ht="21" x14ac:dyDescent="0.35">
      <c r="E663" s="17"/>
    </row>
    <row r="697" spans="6:18" x14ac:dyDescent="0.25">
      <c r="R697">
        <v>6</v>
      </c>
    </row>
    <row r="699" spans="6:18" ht="28.5" x14ac:dyDescent="0.45">
      <c r="F699" s="23"/>
      <c r="G699" s="23"/>
      <c r="H699" s="23"/>
      <c r="I699" s="24" t="s">
        <v>219</v>
      </c>
      <c r="J699" s="24"/>
      <c r="K699" s="23"/>
      <c r="L699" s="23"/>
      <c r="M699" s="23"/>
      <c r="N699" s="23"/>
      <c r="O699" s="23"/>
      <c r="P699" s="23"/>
      <c r="Q699" s="23"/>
      <c r="R699" s="23"/>
    </row>
    <row r="702" spans="6:18" ht="18.75" x14ac:dyDescent="0.3">
      <c r="F702" s="26" t="s">
        <v>220</v>
      </c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</row>
    <row r="705" spans="5:5" ht="18.75" x14ac:dyDescent="0.3">
      <c r="E705" s="25" t="s">
        <v>210</v>
      </c>
    </row>
    <row r="740" spans="5:18" x14ac:dyDescent="0.25">
      <c r="G740" s="8" t="s">
        <v>172</v>
      </c>
      <c r="H740" s="8" t="s">
        <v>173</v>
      </c>
      <c r="I740" s="8" t="s">
        <v>159</v>
      </c>
      <c r="J740" s="8" t="s">
        <v>174</v>
      </c>
      <c r="K740" s="8" t="s">
        <v>161</v>
      </c>
      <c r="L740" s="8" t="s">
        <v>162</v>
      </c>
      <c r="M740" s="8" t="s">
        <v>175</v>
      </c>
      <c r="N740" s="8" t="s">
        <v>164</v>
      </c>
      <c r="O740" s="8" t="s">
        <v>176</v>
      </c>
      <c r="P740" s="8" t="s">
        <v>177</v>
      </c>
      <c r="Q740" s="8" t="s">
        <v>178</v>
      </c>
      <c r="R740" s="8" t="s">
        <v>179</v>
      </c>
    </row>
    <row r="741" spans="5:18" x14ac:dyDescent="0.25">
      <c r="F741" s="8" t="str">
        <f>"Evo"&amp;'Base de donnée'!AD642 &amp; "/" &amp; 'Base de donnée'!AD644</f>
        <v>Evo/</v>
      </c>
      <c r="G741" s="6">
        <f ca="1">IFERROR(('Base de donnée'!AG26-'Base de donnée'!AG25)/'Base de donnée'!AG25,"")</f>
        <v>2.9901205269393608E-2</v>
      </c>
      <c r="H741" s="6">
        <f ca="1">IFERROR(('Base de donnée'!AH26-'Base de donnée'!AH25)/'Base de donnée'!AH25,"")</f>
        <v>5.1135448602211572E-2</v>
      </c>
      <c r="I741" s="6">
        <f ca="1">IFERROR(('Base de donnée'!AI26-'Base de donnée'!AI25)/'Base de donnée'!AI25,"")</f>
        <v>0.24909619336689764</v>
      </c>
      <c r="J741" s="6">
        <f ca="1">IFERROR(('Base de donnée'!AJ26-'Base de donnée'!AJ25)/'Base de donnée'!AJ25,"")</f>
        <v>5.4316578156171436E-3</v>
      </c>
      <c r="K741" s="6">
        <f ca="1">IFERROR(('Base de donnée'!AK26-'Base de donnée'!AK25)/'Base de donnée'!AK25,"")</f>
        <v>-2.5229909071250958E-2</v>
      </c>
      <c r="L741" s="6">
        <f ca="1">IFERROR(('Base de donnée'!AL26-'Base de donnée'!AL25)/'Base de donnée'!AL25,"")</f>
        <v>-3.8966589285155434E-3</v>
      </c>
      <c r="M741" s="6">
        <f ca="1">IFERROR(('Base de donnée'!AM26-'Base de donnée'!AM25)/'Base de donnée'!AM25,"")</f>
        <v>-4.5448629762221823E-3</v>
      </c>
      <c r="N741" s="6" t="str">
        <f ca="1">IFERROR(('Base de donnée'!AN26-'Base de donnée'!AN25)/'Base de donnée'!AN25,"")</f>
        <v/>
      </c>
      <c r="O741" s="6" t="str">
        <f ca="1">IFERROR(('Base de donnée'!AO26-'Base de donnée'!AO25)/'Base de donnée'!AO25,"")</f>
        <v/>
      </c>
      <c r="P741" s="6" t="str">
        <f ca="1">IFERROR(('Base de donnée'!AP26-'Base de donnée'!AP25)/'Base de donnée'!AP25,"")</f>
        <v/>
      </c>
      <c r="Q741" s="6" t="str">
        <f ca="1">IFERROR(('Base de donnée'!AQ26-'Base de donnée'!AQ25)/'Base de donnée'!AQ25,"")</f>
        <v/>
      </c>
      <c r="R741" s="6" t="str">
        <f ca="1">IFERROR(('Base de donnée'!AR26-'Base de donnée'!AR25)/'Base de donnée'!AR25,"")</f>
        <v/>
      </c>
    </row>
    <row r="742" spans="5:18" x14ac:dyDescent="0.25">
      <c r="F742" s="8" t="s">
        <v>170</v>
      </c>
      <c r="G742" s="6">
        <f ca="1">IFERROR((SUM('Base de donnée'!$AG26:AG26)-SUM('Base de donnée'!$AG25:AG25))/SUM('Base de donnée'!$AG25:AG25),"")</f>
        <v>2.9901205269393608E-2</v>
      </c>
      <c r="H742" s="6">
        <f ca="1">IFERROR((SUM('Base de donnée'!$AG26:AH26)-SUM('Base de donnée'!$AG25:AH25))/SUM('Base de donnée'!$AG25:AH25),"")</f>
        <v>3.9897811704790738E-2</v>
      </c>
      <c r="I742" s="6">
        <f ca="1">IFERROR((SUM('Base de donnée'!$AG26:AI26)-SUM('Base de donnée'!$AG25:AI25))/SUM('Base de donnée'!$AG25:AI25),"")</f>
        <v>9.9579233690693617E-2</v>
      </c>
      <c r="J742" s="6">
        <f ca="1">IFERROR((SUM('Base de donnée'!$AG26:AJ26)-SUM('Base de donnée'!$AG25:AJ25))/SUM('Base de donnée'!$AG25:AJ25),"")</f>
        <v>7.3169859679442964E-2</v>
      </c>
      <c r="K742" s="6">
        <f ca="1">IFERROR((SUM('Base de donnée'!$AG26:AK26)-SUM('Base de donnée'!$AG25:AK25))/SUM('Base de donnée'!$AG25:AK25),"")</f>
        <v>5.143651632148858E-2</v>
      </c>
      <c r="L742" s="6">
        <f ca="1">IFERROR((SUM('Base de donnée'!$AG26:AL26)-SUM('Base de donnée'!$AG25:AL25))/SUM('Base de donnée'!$AG25:AL25),"")</f>
        <v>4.1418789310084907E-2</v>
      </c>
      <c r="M742" s="6">
        <f ca="1">IFERROR((SUM('Base de donnée'!$AG26:AM26)-SUM('Base de donnée'!$AG25:AM25))/SUM('Base de donnée'!$AG25:AM25),"")</f>
        <v>3.4362532461269781E-2</v>
      </c>
      <c r="N742" s="6" t="str">
        <f ca="1">IFERROR((SUM('Base de donnée'!$AG26:AN26)-SUM('Base de donnée'!$AG25:AN25))/SUM('Base de donnée'!$AG25:AN25),"")</f>
        <v/>
      </c>
      <c r="O742" s="6" t="str">
        <f ca="1">IFERROR((SUM('Base de donnée'!$AG26:AO26)-SUM('Base de donnée'!$AG25:AO25))/SUM('Base de donnée'!$AG25:AO25),"")</f>
        <v/>
      </c>
      <c r="P742" s="6" t="str">
        <f ca="1">IFERROR((SUM('Base de donnée'!$AG26:AP26)-SUM('Base de donnée'!$AG25:AP25))/SUM('Base de donnée'!$AG25:AP25),"")</f>
        <v/>
      </c>
      <c r="Q742" s="6" t="str">
        <f ca="1">IFERROR((SUM('Base de donnée'!$AG26:AQ26)-SUM('Base de donnée'!$AG25:AQ25))/SUM('Base de donnée'!$AG25:AQ25),"")</f>
        <v/>
      </c>
      <c r="R742" s="6" t="str">
        <f ca="1">IFERROR((SUM('Base de donnée'!$AG26:AR26)-SUM('Base de donnée'!$AG25:AR25))/SUM('Base de donnée'!$AG25:AR25),"")</f>
        <v/>
      </c>
    </row>
    <row r="743" spans="5:18" x14ac:dyDescent="0.25">
      <c r="F743" s="8" t="s">
        <v>171</v>
      </c>
      <c r="G743" s="6">
        <f ca="1">IFERROR((SUM('Base de donnée'!$AG26:AG26,'Base de donnée'!AH25:$AR25)-SUM('Base de donnée'!$AG25:AG25,'Base de donnée'!AH24:$AR24))/SUM('Base de donnée'!$AG25:AG25,'Base de donnée'!AH24:$AR24),"")</f>
        <v>0.2409421821657961</v>
      </c>
      <c r="H743" s="6">
        <f ca="1">IFERROR((SUM('Base de donnée'!$AG26:AH26,'Base de donnée'!AI25:$AR25)-SUM('Base de donnée'!$AG25:AH25,'Base de donnée'!AI24:$AR24))/SUM('Base de donnée'!$AG25:AH25,'Base de donnée'!AI24:$AR24),"")</f>
        <v>0.23014439532293537</v>
      </c>
      <c r="I743" s="6">
        <f ca="1">IFERROR((SUM('Base de donnée'!$AG26:AI26,'Base de donnée'!AJ25:$AR25)-SUM('Base de donnée'!$AG25:AI25,'Base de donnée'!AJ24:$AR24))/SUM('Base de donnée'!$AG25:AI25,'Base de donnée'!AJ24:$AR24),"")</f>
        <v>0.23905031503460686</v>
      </c>
      <c r="J743" s="6">
        <f ca="1">IFERROR((SUM('Base de donnée'!$AG26:AJ26,'Base de donnée'!AK25:$AR25)-SUM('Base de donnée'!$AG25:AJ25,'Base de donnée'!AK24:$AR24))/SUM('Base de donnée'!$AG25:AJ25,'Base de donnée'!AK24:$AR24),"")</f>
        <v>0.19431698055525037</v>
      </c>
      <c r="K743" s="6">
        <f ca="1">IFERROR((SUM('Base de donnée'!$AG26:AK26,'Base de donnée'!AL25:$AR25)-SUM('Base de donnée'!$AG25:AK25,'Base de donnée'!AL24:$AR24))/SUM('Base de donnée'!$AG25:AK25,'Base de donnée'!AL24:$AR24),"")</f>
        <v>0.15881849503807349</v>
      </c>
      <c r="L743" s="6">
        <f ca="1">IFERROR((SUM('Base de donnée'!$AG26:AL26,'Base de donnée'!AM25:$AR25)-SUM('Base de donnée'!$AG25:AL25,'Base de donnée'!AM24:$AR24))/SUM('Base de donnée'!$AG25:AL25,'Base de donnée'!AM24:$AR24),"")</f>
        <v>0.14537210142278925</v>
      </c>
      <c r="M743" s="6">
        <f ca="1">IFERROR((SUM('Base de donnée'!$AG26:AM26,'Base de donnée'!AN25:$AR25)-SUM('Base de donnée'!$AG25:AM25,'Base de donnée'!AN24:$AR24))/SUM('Base de donnée'!$AG25:AM25,'Base de donnée'!AN24:$AR24),"")</f>
        <v>0.14410094856981426</v>
      </c>
      <c r="N743" s="6" t="str">
        <f ca="1">IFERROR((SUM('Base de donnée'!$AG26:AN26,'Base de donnée'!AO25:$AR25)-SUM('Base de donnée'!$AG25:AN25,'Base de donnée'!AO24:$AR24))/SUM('Base de donnée'!$AG25:AN25,'Base de donnée'!AO24:$AR24),"")</f>
        <v/>
      </c>
      <c r="O743" s="6" t="str">
        <f ca="1">IFERROR((SUM('Base de donnée'!$AG26:AO26,'Base de donnée'!AP25:$AR25)-SUM('Base de donnée'!$AG25:AO25,'Base de donnée'!AP24:$AR24))/SUM('Base de donnée'!$AG25:AO25,'Base de donnée'!AP24:$AR24),"")</f>
        <v/>
      </c>
      <c r="P743" s="6" t="str">
        <f ca="1">IFERROR((SUM('Base de donnée'!$AG26:AP26,'Base de donnée'!AQ25:$AR25)-SUM('Base de donnée'!$AG25:AP25,'Base de donnée'!AQ24:$AR24))/SUM('Base de donnée'!$AG25:AP25,'Base de donnée'!AQ24:$AR24),"")</f>
        <v/>
      </c>
      <c r="Q743" s="6" t="str">
        <f ca="1">IFERROR((SUM('Base de donnée'!$AG26:AQ26,'Base de donnée'!AR25:$AR25)-SUM('Base de donnée'!$AG25:AQ25,'Base de donnée'!AR24:$AR24))/SUM('Base de donnée'!$AG25:AQ25,'Base de donnée'!AR24:$AR24),"")</f>
        <v/>
      </c>
      <c r="R743" s="6" t="str">
        <f ca="1">IFERROR((SUM('Base de donnée'!$AG26:AR26,'Base de donnée'!$AR25:AS25)-SUM('Base de donnée'!$AG25:AR25,'Base de donnée'!$AR24:AS24))/SUM('Base de donnée'!$AG25:AR25,'Base de donnée'!$AR24:AS24),"")</f>
        <v/>
      </c>
    </row>
    <row r="750" spans="5:18" ht="21" x14ac:dyDescent="0.35">
      <c r="E750" s="17" t="s">
        <v>211</v>
      </c>
    </row>
    <row r="828" spans="6:18" x14ac:dyDescent="0.25">
      <c r="R828">
        <v>7</v>
      </c>
    </row>
    <row r="832" spans="6:18" ht="18.75" x14ac:dyDescent="0.3">
      <c r="F832" s="26" t="s">
        <v>221</v>
      </c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</row>
    <row r="837" spans="5:5" ht="21" x14ac:dyDescent="0.35">
      <c r="E837" s="17" t="s">
        <v>212</v>
      </c>
    </row>
    <row r="872" spans="6:18" x14ac:dyDescent="0.25">
      <c r="G872" s="8" t="s">
        <v>172</v>
      </c>
      <c r="H872" s="8" t="s">
        <v>173</v>
      </c>
      <c r="I872" s="8" t="s">
        <v>159</v>
      </c>
      <c r="J872" s="8" t="s">
        <v>174</v>
      </c>
      <c r="K872" s="8" t="s">
        <v>161</v>
      </c>
      <c r="L872" s="8" t="s">
        <v>162</v>
      </c>
      <c r="M872" s="8" t="s">
        <v>175</v>
      </c>
      <c r="N872" s="8" t="s">
        <v>164</v>
      </c>
      <c r="O872" s="8" t="s">
        <v>176</v>
      </c>
      <c r="P872" s="8" t="s">
        <v>177</v>
      </c>
      <c r="Q872" s="8" t="s">
        <v>178</v>
      </c>
      <c r="R872" s="8" t="s">
        <v>179</v>
      </c>
    </row>
    <row r="873" spans="6:18" x14ac:dyDescent="0.25">
      <c r="F873" s="8" t="str">
        <f>"Evo"&amp;'Base de donnée'!AD774 &amp; "/" &amp; 'Base de donnée'!AD776</f>
        <v>Evo/</v>
      </c>
      <c r="G873" s="6">
        <f ca="1">IFERROR(('Base de donnée'!AG32-'Base de donnée'!AG31)/'Base de donnée'!AG31,"")</f>
        <v>-4.6180698801324511E-3</v>
      </c>
      <c r="H873" s="6">
        <f ca="1">IFERROR(('Base de donnée'!AH32-'Base de donnée'!AH31)/'Base de donnée'!AH31,"")</f>
        <v>-1.8334344883395675E-3</v>
      </c>
      <c r="I873" s="6">
        <f ca="1">IFERROR(('Base de donnée'!AI32-'Base de donnée'!AI31)/'Base de donnée'!AI31,"")</f>
        <v>2.0452869540437974E-3</v>
      </c>
      <c r="J873" s="6">
        <f ca="1">IFERROR(('Base de donnée'!AJ32-'Base de donnée'!AJ31)/'Base de donnée'!AJ31,"")</f>
        <v>3.546126980193957E-3</v>
      </c>
      <c r="K873" s="6">
        <f ca="1">IFERROR(('Base de donnée'!AK32-'Base de donnée'!AK31)/'Base de donnée'!AK31,"")</f>
        <v>2.4593817930901921E-3</v>
      </c>
      <c r="L873" s="6">
        <f ca="1">IFERROR(('Base de donnée'!AL32-'Base de donnée'!AL31)/'Base de donnée'!AL31,"")</f>
        <v>-7.3148719877356716E-3</v>
      </c>
      <c r="M873" s="6">
        <f ca="1">IFERROR(('Base de donnée'!AM32-'Base de donnée'!AM31)/'Base de donnée'!AM31,"")</f>
        <v>-6.9330708055018271E-3</v>
      </c>
      <c r="N873" s="6" t="str">
        <f ca="1">IFERROR(('Base de donnée'!AN32-'Base de donnée'!AN31)/'Base de donnée'!AN31,"")</f>
        <v/>
      </c>
      <c r="O873" s="6" t="str">
        <f ca="1">IFERROR(('Base de donnée'!AO32-'Base de donnée'!AO31)/'Base de donnée'!AO31,"")</f>
        <v/>
      </c>
      <c r="P873" s="6" t="str">
        <f ca="1">IFERROR(('Base de donnée'!AP32-'Base de donnée'!AP31)/'Base de donnée'!AP31,"")</f>
        <v/>
      </c>
      <c r="Q873" s="6" t="str">
        <f ca="1">IFERROR(('Base de donnée'!AQ32-'Base de donnée'!AQ31)/'Base de donnée'!AQ31,"")</f>
        <v/>
      </c>
      <c r="R873" s="6" t="str">
        <f ca="1">IFERROR(('Base de donnée'!AR32-'Base de donnée'!AR31)/'Base de donnée'!AR31,"")</f>
        <v/>
      </c>
    </row>
    <row r="874" spans="6:18" x14ac:dyDescent="0.25">
      <c r="F874" s="8" t="s">
        <v>170</v>
      </c>
      <c r="G874" s="6">
        <f ca="1">IFERROR((SUM('Base de donnée'!$AG32:AG32)-SUM('Base de donnée'!$AG31:AG31))/SUM('Base de donnée'!$AG31:AG31),"")</f>
        <v>-4.6180698801324511E-3</v>
      </c>
      <c r="H874" s="6">
        <f ca="1">IFERROR((SUM('Base de donnée'!$AG32:AH32)-SUM('Base de donnée'!$AG31:AH31))/SUM('Base de donnée'!$AG31:AH31),"")</f>
        <v>-3.226803364259124E-3</v>
      </c>
      <c r="I874" s="6">
        <f ca="1">IFERROR((SUM('Base de donnée'!$AG32:AI32)-SUM('Base de donnée'!$AG31:AI31))/SUM('Base de donnée'!$AG31:AI31),"")</f>
        <v>-1.470977775194513E-3</v>
      </c>
      <c r="J874" s="6">
        <f ca="1">IFERROR((SUM('Base de donnée'!$AG32:AJ32)-SUM('Base de donnée'!$AG31:AJ31))/SUM('Base de donnée'!$AG31:AJ31),"")</f>
        <v>-2.1899814892173381E-4</v>
      </c>
      <c r="K874" s="6">
        <f ca="1">IFERROR((SUM('Base de donnée'!$AG32:AK32)-SUM('Base de donnée'!$AG31:AK31))/SUM('Base de donnée'!$AG31:AK31),"")</f>
        <v>3.1730474642355065E-4</v>
      </c>
      <c r="L874" s="6">
        <f ca="1">IFERROR((SUM('Base de donnée'!$AG32:AL32)-SUM('Base de donnée'!$AG31:AL31))/SUM('Base de donnée'!$AG31:AL31),"")</f>
        <v>-9.6529341559894338E-4</v>
      </c>
      <c r="M874" s="6">
        <f ca="1">IFERROR((SUM('Base de donnée'!$AG32:AM32)-SUM('Base de donnée'!$AG31:AM31))/SUM('Base de donnée'!$AG31:AM31),"")</f>
        <v>-1.8222455029864718E-3</v>
      </c>
      <c r="N874" s="6" t="str">
        <f ca="1">IFERROR((SUM('Base de donnée'!$AG32:AN32)-SUM('Base de donnée'!$AG31:AN31))/SUM('Base de donnée'!$AG31:AN31),"")</f>
        <v/>
      </c>
      <c r="O874" s="6" t="str">
        <f ca="1">IFERROR((SUM('Base de donnée'!$AG32:AO32)-SUM('Base de donnée'!$AG31:AO31))/SUM('Base de donnée'!$AG31:AO31),"")</f>
        <v/>
      </c>
      <c r="P874" s="6" t="str">
        <f ca="1">IFERROR((SUM('Base de donnée'!$AG32:AP32)-SUM('Base de donnée'!$AG31:AP31))/SUM('Base de donnée'!$AG31:AP31),"")</f>
        <v/>
      </c>
      <c r="Q874" s="6" t="str">
        <f ca="1">IFERROR((SUM('Base de donnée'!$AG32:AQ32)-SUM('Base de donnée'!$AG31:AQ31))/SUM('Base de donnée'!$AG31:AQ31),"")</f>
        <v/>
      </c>
      <c r="R874" s="6" t="str">
        <f ca="1">IFERROR((SUM('Base de donnée'!$AG32:AR32)-SUM('Base de donnée'!$AG31:AR31))/SUM('Base de donnée'!$AG31:AR31),"")</f>
        <v/>
      </c>
    </row>
    <row r="875" spans="6:18" x14ac:dyDescent="0.25">
      <c r="F875" s="8" t="s">
        <v>171</v>
      </c>
      <c r="G875" s="6">
        <f ca="1">IFERROR((SUM('Base de donnée'!$AG32:AG32,'Base de donnée'!AH31:$AR31)-SUM('Base de donnée'!$AG31:AG31,'Base de donnée'!AH30:$AR30))/SUM('Base de donnée'!$AG31:AG31,'Base de donnée'!AH30:$AR30),"")</f>
        <v>9.4440876552385311E-2</v>
      </c>
      <c r="H875" s="6">
        <f ca="1">IFERROR((SUM('Base de donnée'!$AG32:AH32,'Base de donnée'!AI31:$AR31)-SUM('Base de donnée'!$AG31:AH31,'Base de donnée'!AI30:$AR30))/SUM('Base de donnée'!$AG31:AH31,'Base de donnée'!AI30:$AR30),"")</f>
        <v>8.1960315642640336E-2</v>
      </c>
      <c r="I875" s="6">
        <f ca="1">IFERROR((SUM('Base de donnée'!$AG32:AI32,'Base de donnée'!AJ31:$AR31)-SUM('Base de donnée'!$AG31:AI31,'Base de donnée'!AJ30:$AR30))/SUM('Base de donnée'!$AG31:AI31,'Base de donnée'!AJ30:$AR30),"")</f>
        <v>5.4114439057891352E-2</v>
      </c>
      <c r="J875" s="6">
        <f ca="1">IFERROR((SUM('Base de donnée'!$AG32:AJ32,'Base de donnée'!AK31:$AR31)-SUM('Base de donnée'!$AG31:AJ31,'Base de donnée'!AK30:$AR30))/SUM('Base de donnée'!$AG31:AJ31,'Base de donnée'!AK30:$AR30),"")</f>
        <v>2.716120381174094E-2</v>
      </c>
      <c r="K875" s="6">
        <f ca="1">IFERROR((SUM('Base de donnée'!$AG32:AK32,'Base de donnée'!AL31:$AR31)-SUM('Base de donnée'!$AG31:AK31,'Base de donnée'!AL30:$AR30))/SUM('Base de donnée'!$AG31:AK31,'Base de donnée'!AL30:$AR30),"")</f>
        <v>1.2294937946080943E-2</v>
      </c>
      <c r="L875" s="6">
        <f ca="1">IFERROR((SUM('Base de donnée'!$AG32:AL32,'Base de donnée'!AM31:$AR31)-SUM('Base de donnée'!$AG31:AL31,'Base de donnée'!AM30:$AR30))/SUM('Base de donnée'!$AG31:AL31,'Base de donnée'!AM30:$AR30),"")</f>
        <v>9.8026888833255624E-3</v>
      </c>
      <c r="M875" s="6">
        <f ca="1">IFERROR((SUM('Base de donnée'!$AG32:AM32,'Base de donnée'!AN31:$AR31)-SUM('Base de donnée'!$AG31:AM31,'Base de donnée'!AN30:$AR30))/SUM('Base de donnée'!$AG31:AM31,'Base de donnée'!AN30:$AR30),"")</f>
        <v>8.7673748976183404E-3</v>
      </c>
      <c r="N875" s="6" t="str">
        <f ca="1">IFERROR((SUM('Base de donnée'!$AG32:AN32,'Base de donnée'!AO31:$AR31)-SUM('Base de donnée'!$AG31:AN31,'Base de donnée'!AO30:$AR30))/SUM('Base de donnée'!$AG31:AN31,'Base de donnée'!AO30:$AR30),"")</f>
        <v/>
      </c>
      <c r="O875" s="6" t="str">
        <f ca="1">IFERROR((SUM('Base de donnée'!$AG32:AO32,'Base de donnée'!AP31:$AR31)-SUM('Base de donnée'!$AG31:AO31,'Base de donnée'!AP30:$AR30))/SUM('Base de donnée'!$AG31:AO31,'Base de donnée'!AP30:$AR30),"")</f>
        <v/>
      </c>
      <c r="P875" s="6" t="str">
        <f ca="1">IFERROR((SUM('Base de donnée'!$AG32:AP32,'Base de donnée'!AQ31:$AR31)-SUM('Base de donnée'!$AG31:AP31,'Base de donnée'!AQ30:$AR30))/SUM('Base de donnée'!$AG31:AP31,'Base de donnée'!AQ30:$AR30),"")</f>
        <v/>
      </c>
      <c r="Q875" s="6" t="str">
        <f ca="1">IFERROR((SUM('Base de donnée'!$AG32:AQ32,'Base de donnée'!AR31:$AR31)-SUM('Base de donnée'!$AG31:AQ31,'Base de donnée'!AR30:$AR30))/SUM('Base de donnée'!$AG31:AQ31,'Base de donnée'!AR30:$AR30),"")</f>
        <v/>
      </c>
      <c r="R875" s="6" t="str">
        <f ca="1">IFERROR((SUM('Base de donnée'!$AG32:AR32,'Base de donnée'!$AR31:AS31)-SUM('Base de donnée'!$AG31:AR31,'Base de donnée'!$AR30:AS30))/SUM('Base de donnée'!$AG31:AR31,'Base de donnée'!$AR30:AS30),"")</f>
        <v/>
      </c>
    </row>
    <row r="883" spans="5:5" ht="21" x14ac:dyDescent="0.35">
      <c r="E883" s="17" t="s">
        <v>213</v>
      </c>
    </row>
    <row r="959" spans="18:18" x14ac:dyDescent="0.25">
      <c r="R959">
        <v>8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38" orientation="portrait" r:id="rId1"/>
  <headerFooter>
    <oddFooter>Page &amp;P</oddFooter>
  </headerFooter>
  <rowBreaks count="6" manualBreakCount="6">
    <brk id="89" min="3" max="18" man="1"/>
    <brk id="181" min="3" max="18" man="1"/>
    <brk id="305" min="3" max="18" man="1"/>
    <brk id="570" min="3" max="18" man="1"/>
    <brk id="698" min="3" max="18" man="1"/>
    <brk id="830" min="3" max="1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3</xdr:col>
                    <xdr:colOff>28575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1179F-244A-42F4-8962-07274131DAF7}">
  <dimension ref="A1:Q104"/>
  <sheetViews>
    <sheetView workbookViewId="0">
      <selection activeCell="M1" sqref="M1:M104"/>
    </sheetView>
  </sheetViews>
  <sheetFormatPr baseColWidth="10" defaultRowHeight="15" x14ac:dyDescent="0.25"/>
  <sheetData>
    <row r="1" spans="1:17" x14ac:dyDescent="0.25">
      <c r="A1" t="s">
        <v>186</v>
      </c>
      <c r="B1" t="s">
        <v>187</v>
      </c>
      <c r="C1" t="s">
        <v>19</v>
      </c>
      <c r="D1" t="s">
        <v>21</v>
      </c>
      <c r="E1" t="s">
        <v>188</v>
      </c>
      <c r="F1" t="s">
        <v>33</v>
      </c>
      <c r="G1" t="s">
        <v>189</v>
      </c>
      <c r="H1" t="s">
        <v>190</v>
      </c>
      <c r="I1" t="s">
        <v>191</v>
      </c>
      <c r="J1" t="s">
        <v>192</v>
      </c>
      <c r="K1" t="s">
        <v>193</v>
      </c>
      <c r="L1" t="s">
        <v>194</v>
      </c>
      <c r="M1" t="s">
        <v>195</v>
      </c>
      <c r="N1" t="s">
        <v>196</v>
      </c>
      <c r="O1" t="s">
        <v>197</v>
      </c>
      <c r="P1" t="s">
        <v>198</v>
      </c>
      <c r="Q1" t="s">
        <v>199</v>
      </c>
    </row>
    <row r="2" spans="1:17" x14ac:dyDescent="0.25">
      <c r="A2" t="s">
        <v>63</v>
      </c>
      <c r="B2" t="s">
        <v>200</v>
      </c>
      <c r="C2">
        <v>0.73449245279216457</v>
      </c>
      <c r="D2">
        <v>0.71773020162128454</v>
      </c>
      <c r="E2">
        <v>0.64834757586327174</v>
      </c>
      <c r="F2">
        <v>0.88218284145741444</v>
      </c>
      <c r="G2" t="s">
        <v>200</v>
      </c>
      <c r="H2">
        <v>0.82509925558312658</v>
      </c>
      <c r="I2">
        <v>0.67559079846117609</v>
      </c>
      <c r="J2">
        <v>0.45687952600394999</v>
      </c>
      <c r="K2">
        <v>0.90546083835405722</v>
      </c>
      <c r="L2" t="s">
        <v>200</v>
      </c>
      <c r="M2">
        <v>3</v>
      </c>
      <c r="N2">
        <v>4</v>
      </c>
      <c r="O2">
        <v>4</v>
      </c>
      <c r="P2">
        <v>1</v>
      </c>
      <c r="Q2">
        <v>0.74568826793353371</v>
      </c>
    </row>
    <row r="3" spans="1:17" x14ac:dyDescent="0.25">
      <c r="A3" t="s">
        <v>115</v>
      </c>
      <c r="B3" t="s">
        <v>200</v>
      </c>
      <c r="C3">
        <v>0.79809555323943238</v>
      </c>
      <c r="D3">
        <v>0.85296789714294019</v>
      </c>
      <c r="E3">
        <v>0.71927024928836369</v>
      </c>
      <c r="F3">
        <v>0.89171053090249941</v>
      </c>
      <c r="G3" t="s">
        <v>200</v>
      </c>
      <c r="H3">
        <v>0.8650535931855875</v>
      </c>
      <c r="I3">
        <v>0.86267881638252009</v>
      </c>
      <c r="J3">
        <v>0.90394088669950734</v>
      </c>
      <c r="K3">
        <v>0.89889410504426726</v>
      </c>
      <c r="L3" t="s">
        <v>200</v>
      </c>
      <c r="M3">
        <v>1</v>
      </c>
      <c r="N3">
        <v>4</v>
      </c>
      <c r="O3">
        <v>2</v>
      </c>
      <c r="P3">
        <v>4</v>
      </c>
      <c r="Q3">
        <v>0.81551105764330889</v>
      </c>
    </row>
    <row r="4" spans="1:17" x14ac:dyDescent="0.25">
      <c r="A4" t="s">
        <v>132</v>
      </c>
      <c r="B4" t="s">
        <v>200</v>
      </c>
      <c r="C4">
        <v>0.71941933716789919</v>
      </c>
      <c r="D4">
        <v>0.90436415635107181</v>
      </c>
      <c r="E4">
        <v>0.78753235711628822</v>
      </c>
      <c r="F4">
        <v>0.92625983636458387</v>
      </c>
      <c r="G4" t="s">
        <v>200</v>
      </c>
      <c r="H4">
        <v>0.87594945069461261</v>
      </c>
      <c r="I4">
        <v>0.8784217843616664</v>
      </c>
      <c r="J4">
        <v>0.9524051060951898</v>
      </c>
      <c r="K4">
        <v>0.92370827796451183</v>
      </c>
      <c r="L4" t="s">
        <v>200</v>
      </c>
      <c r="M4">
        <v>1</v>
      </c>
      <c r="N4">
        <v>4</v>
      </c>
      <c r="O4">
        <v>1</v>
      </c>
      <c r="P4">
        <v>2</v>
      </c>
      <c r="Q4">
        <v>0.83439392174996074</v>
      </c>
    </row>
    <row r="5" spans="1:17" x14ac:dyDescent="0.25">
      <c r="A5" t="s">
        <v>135</v>
      </c>
      <c r="B5" t="s">
        <v>200</v>
      </c>
      <c r="C5">
        <v>0.84659498742011841</v>
      </c>
      <c r="D5">
        <v>0.96757993987428259</v>
      </c>
      <c r="E5">
        <v>0.63024738507583666</v>
      </c>
      <c r="F5">
        <v>0.9190850243654084</v>
      </c>
      <c r="G5" t="s">
        <v>200</v>
      </c>
      <c r="H5">
        <v>0.98211485400083376</v>
      </c>
      <c r="I5">
        <v>0.98085485307212827</v>
      </c>
      <c r="J5">
        <v>0.73437705565057232</v>
      </c>
      <c r="K5">
        <v>0.90066815144766144</v>
      </c>
      <c r="L5" t="s">
        <v>200</v>
      </c>
      <c r="M5">
        <v>1</v>
      </c>
      <c r="N5">
        <v>1</v>
      </c>
      <c r="O5">
        <v>3</v>
      </c>
      <c r="P5">
        <v>2</v>
      </c>
      <c r="Q5">
        <v>0.84087683418391146</v>
      </c>
    </row>
    <row r="6" spans="1:17" x14ac:dyDescent="0.25">
      <c r="A6" t="s">
        <v>47</v>
      </c>
      <c r="B6" t="s">
        <v>200</v>
      </c>
      <c r="C6">
        <v>0.66843455621613246</v>
      </c>
      <c r="D6">
        <v>0.88868979791807723</v>
      </c>
      <c r="E6">
        <v>0.95497513117960986</v>
      </c>
      <c r="F6">
        <v>0.85369222389375943</v>
      </c>
      <c r="G6" t="s">
        <v>200</v>
      </c>
      <c r="H6">
        <v>0.70606953121156968</v>
      </c>
      <c r="I6">
        <v>0.87860671203544705</v>
      </c>
      <c r="J6">
        <v>0.96100252931708441</v>
      </c>
      <c r="K6">
        <v>0.83931837279422672</v>
      </c>
      <c r="L6" t="s">
        <v>200</v>
      </c>
      <c r="M6">
        <v>3</v>
      </c>
      <c r="N6">
        <v>3</v>
      </c>
      <c r="O6">
        <v>2</v>
      </c>
      <c r="P6">
        <v>3</v>
      </c>
      <c r="Q6">
        <v>0.84144792730189466</v>
      </c>
    </row>
    <row r="7" spans="1:17" x14ac:dyDescent="0.25">
      <c r="A7" t="s">
        <v>87</v>
      </c>
      <c r="B7" t="s">
        <v>200</v>
      </c>
      <c r="C7">
        <v>0.78749913844881403</v>
      </c>
      <c r="D7">
        <v>0.85228129942815423</v>
      </c>
      <c r="E7">
        <v>0.86938809833032782</v>
      </c>
      <c r="F7">
        <v>0.91403732545649841</v>
      </c>
      <c r="G7" t="s">
        <v>200</v>
      </c>
      <c r="H7">
        <v>0.82720067579318746</v>
      </c>
      <c r="I7">
        <v>0.97685872879368307</v>
      </c>
      <c r="J7">
        <v>0.94444833135101103</v>
      </c>
      <c r="L7" t="s">
        <v>200</v>
      </c>
      <c r="M7">
        <v>3</v>
      </c>
      <c r="N7">
        <v>1</v>
      </c>
      <c r="O7">
        <v>1</v>
      </c>
      <c r="P7">
        <v>4</v>
      </c>
      <c r="Q7">
        <v>0.8558014654159487</v>
      </c>
    </row>
    <row r="8" spans="1:17" x14ac:dyDescent="0.25">
      <c r="A8" t="s">
        <v>58</v>
      </c>
      <c r="B8" t="s">
        <v>200</v>
      </c>
      <c r="C8">
        <v>0.93457873079861065</v>
      </c>
      <c r="D8">
        <v>0.99696728572072002</v>
      </c>
      <c r="E8">
        <v>0.63362570009510721</v>
      </c>
      <c r="F8">
        <v>0.88817209487405191</v>
      </c>
      <c r="G8" t="s">
        <v>200</v>
      </c>
      <c r="H8">
        <v>0.8293797576927201</v>
      </c>
      <c r="I8">
        <v>0.99779943414020744</v>
      </c>
      <c r="J8">
        <v>0.53996737357259383</v>
      </c>
      <c r="K8">
        <v>0.79030501089324623</v>
      </c>
      <c r="L8" t="s">
        <v>200</v>
      </c>
      <c r="M8">
        <v>3</v>
      </c>
      <c r="N8">
        <v>1</v>
      </c>
      <c r="O8">
        <v>3</v>
      </c>
      <c r="P8">
        <v>4</v>
      </c>
      <c r="Q8">
        <v>0.8633359528721225</v>
      </c>
    </row>
    <row r="9" spans="1:17" x14ac:dyDescent="0.25">
      <c r="A9" t="s">
        <v>120</v>
      </c>
      <c r="B9" t="s">
        <v>200</v>
      </c>
      <c r="C9">
        <v>0.90686475877493267</v>
      </c>
      <c r="D9">
        <v>0.92164785040098873</v>
      </c>
      <c r="E9">
        <v>0.74266654049962155</v>
      </c>
      <c r="F9">
        <v>0.88790829591113207</v>
      </c>
      <c r="G9" t="s">
        <v>200</v>
      </c>
      <c r="H9">
        <v>0.89903896635000635</v>
      </c>
      <c r="I9">
        <v>0.923398928054458</v>
      </c>
      <c r="J9">
        <v>0.77682993946064938</v>
      </c>
      <c r="K9">
        <v>0.87067801188546734</v>
      </c>
      <c r="L9" t="s">
        <v>200</v>
      </c>
      <c r="M9">
        <v>1</v>
      </c>
      <c r="N9">
        <v>2</v>
      </c>
      <c r="O9">
        <v>4</v>
      </c>
      <c r="P9">
        <v>4</v>
      </c>
      <c r="Q9">
        <v>0.86477186139666873</v>
      </c>
    </row>
    <row r="10" spans="1:17" x14ac:dyDescent="0.25">
      <c r="A10" t="s">
        <v>130</v>
      </c>
      <c r="B10" t="s">
        <v>200</v>
      </c>
      <c r="C10">
        <v>0.7768875911607328</v>
      </c>
      <c r="D10">
        <v>0.87605781703625918</v>
      </c>
      <c r="E10">
        <v>0.88722656017166357</v>
      </c>
      <c r="F10">
        <v>0.92710559724878272</v>
      </c>
      <c r="G10" t="s">
        <v>200</v>
      </c>
      <c r="H10">
        <v>0.8119940500883005</v>
      </c>
      <c r="I10">
        <v>0.89158186864014799</v>
      </c>
      <c r="J10">
        <v>0.88317966871846354</v>
      </c>
      <c r="K10">
        <v>0.90732696206197505</v>
      </c>
      <c r="L10" t="s">
        <v>200</v>
      </c>
      <c r="M10">
        <v>3</v>
      </c>
      <c r="N10">
        <v>4</v>
      </c>
      <c r="O10">
        <v>2</v>
      </c>
      <c r="P10">
        <v>2</v>
      </c>
      <c r="Q10">
        <v>0.8668193914043596</v>
      </c>
    </row>
    <row r="11" spans="1:17" x14ac:dyDescent="0.25">
      <c r="A11" t="s">
        <v>42</v>
      </c>
      <c r="B11" t="s">
        <v>200</v>
      </c>
      <c r="C11">
        <v>0.82096832957750276</v>
      </c>
      <c r="D11">
        <v>0.89473579460642849</v>
      </c>
      <c r="E11">
        <v>0.87062081791901669</v>
      </c>
      <c r="F11">
        <v>0.89581632653061227</v>
      </c>
      <c r="G11" t="s">
        <v>200</v>
      </c>
      <c r="H11">
        <v>0.91620048210306093</v>
      </c>
      <c r="I11">
        <v>0.91300330033003296</v>
      </c>
      <c r="J11">
        <v>0.85326776649746194</v>
      </c>
      <c r="K11">
        <v>0.82453543825028774</v>
      </c>
      <c r="L11" t="s">
        <v>200</v>
      </c>
      <c r="M11">
        <v>1</v>
      </c>
      <c r="N11">
        <v>2</v>
      </c>
      <c r="O11">
        <v>1</v>
      </c>
      <c r="P11">
        <v>4</v>
      </c>
      <c r="Q11">
        <v>0.87053531715839005</v>
      </c>
    </row>
    <row r="12" spans="1:17" x14ac:dyDescent="0.25">
      <c r="A12" t="s">
        <v>71</v>
      </c>
      <c r="B12" t="s">
        <v>200</v>
      </c>
      <c r="C12">
        <v>0.80552692721230457</v>
      </c>
      <c r="D12">
        <v>0.89912306564792899</v>
      </c>
      <c r="E12">
        <v>0.83853430771678006</v>
      </c>
      <c r="F12">
        <v>0.94219503929510873</v>
      </c>
      <c r="G12" t="s">
        <v>200</v>
      </c>
      <c r="H12">
        <v>0.81639162005350385</v>
      </c>
      <c r="I12">
        <v>0.9208611094122684</v>
      </c>
      <c r="J12">
        <v>0.8393602225312935</v>
      </c>
      <c r="K12">
        <v>0.89251074892510751</v>
      </c>
      <c r="L12" t="s">
        <v>200</v>
      </c>
      <c r="M12">
        <v>3</v>
      </c>
      <c r="N12">
        <v>2</v>
      </c>
      <c r="O12">
        <v>4</v>
      </c>
      <c r="P12">
        <v>4</v>
      </c>
      <c r="Q12">
        <v>0.87134483496803061</v>
      </c>
    </row>
    <row r="13" spans="1:17" x14ac:dyDescent="0.25">
      <c r="A13" t="s">
        <v>128</v>
      </c>
      <c r="B13" t="s">
        <v>200</v>
      </c>
      <c r="C13">
        <v>0.73650558194570681</v>
      </c>
      <c r="D13">
        <v>0.88853323420893215</v>
      </c>
      <c r="E13">
        <v>0.96851311082399161</v>
      </c>
      <c r="F13">
        <v>0.91336097705948116</v>
      </c>
      <c r="G13" t="s">
        <v>200</v>
      </c>
      <c r="H13">
        <v>0.73470495752790943</v>
      </c>
      <c r="I13">
        <v>0.88103615317933814</v>
      </c>
      <c r="J13">
        <v>0.96892424860601112</v>
      </c>
      <c r="K13">
        <v>0.84900620130386384</v>
      </c>
      <c r="L13" t="s">
        <v>200</v>
      </c>
      <c r="M13">
        <v>3</v>
      </c>
      <c r="N13">
        <v>3</v>
      </c>
      <c r="O13">
        <v>2</v>
      </c>
      <c r="P13">
        <v>4</v>
      </c>
      <c r="Q13">
        <v>0.87672822600952793</v>
      </c>
    </row>
    <row r="14" spans="1:17" x14ac:dyDescent="0.25">
      <c r="A14" t="s">
        <v>56</v>
      </c>
      <c r="B14" t="s">
        <v>200</v>
      </c>
      <c r="C14">
        <v>0.78600510073626306</v>
      </c>
      <c r="D14">
        <v>0.90884906188742653</v>
      </c>
      <c r="E14">
        <v>0.99792707057382457</v>
      </c>
      <c r="F14">
        <v>0.82526159829613854</v>
      </c>
      <c r="G14" t="s">
        <v>200</v>
      </c>
      <c r="H14">
        <v>0.87612074911135873</v>
      </c>
      <c r="I14">
        <v>0.88325991189427311</v>
      </c>
      <c r="J14">
        <v>1</v>
      </c>
      <c r="K14">
        <v>0.77749295052550627</v>
      </c>
      <c r="L14" t="s">
        <v>200</v>
      </c>
      <c r="M14">
        <v>1</v>
      </c>
      <c r="N14">
        <v>3</v>
      </c>
      <c r="O14">
        <v>1</v>
      </c>
      <c r="P14">
        <v>4</v>
      </c>
      <c r="Q14">
        <v>0.87951070787341312</v>
      </c>
    </row>
    <row r="15" spans="1:17" x14ac:dyDescent="0.25">
      <c r="A15" t="s">
        <v>114</v>
      </c>
      <c r="B15" t="s">
        <v>200</v>
      </c>
      <c r="C15">
        <v>0.78062862438381508</v>
      </c>
      <c r="D15">
        <v>0.93961203116132697</v>
      </c>
      <c r="E15">
        <v>0.91286323593893248</v>
      </c>
      <c r="F15">
        <v>0.89369115575654234</v>
      </c>
      <c r="G15" t="s">
        <v>200</v>
      </c>
      <c r="H15">
        <v>0.84455720362406972</v>
      </c>
      <c r="I15">
        <v>0.96603876109400466</v>
      </c>
      <c r="J15">
        <v>0.9987974987974988</v>
      </c>
      <c r="K15">
        <v>0.93509894262322246</v>
      </c>
      <c r="L15" t="s">
        <v>200</v>
      </c>
      <c r="M15">
        <v>3</v>
      </c>
      <c r="N15">
        <v>1</v>
      </c>
      <c r="O15">
        <v>1</v>
      </c>
      <c r="P15">
        <v>1</v>
      </c>
      <c r="Q15">
        <v>0.88169876181015427</v>
      </c>
    </row>
    <row r="16" spans="1:17" x14ac:dyDescent="0.25">
      <c r="A16" t="s">
        <v>61</v>
      </c>
      <c r="B16" t="s">
        <v>200</v>
      </c>
      <c r="C16">
        <v>0.78676247700979485</v>
      </c>
      <c r="D16">
        <v>0.88446295011180509</v>
      </c>
      <c r="E16">
        <v>0.97741718774223552</v>
      </c>
      <c r="F16">
        <v>0.88425051465438576</v>
      </c>
      <c r="G16" t="s">
        <v>200</v>
      </c>
      <c r="H16">
        <v>0.9261649753329414</v>
      </c>
      <c r="I16">
        <v>0.89318813716404077</v>
      </c>
      <c r="J16">
        <v>0.98091106290672447</v>
      </c>
      <c r="K16">
        <v>0.90666555155975581</v>
      </c>
      <c r="L16" t="s">
        <v>200</v>
      </c>
      <c r="M16">
        <v>1</v>
      </c>
      <c r="N16">
        <v>4</v>
      </c>
      <c r="O16">
        <v>1</v>
      </c>
      <c r="P16">
        <v>2</v>
      </c>
      <c r="Q16">
        <v>0.88322328237955539</v>
      </c>
    </row>
    <row r="17" spans="1:17" x14ac:dyDescent="0.25">
      <c r="A17" t="s">
        <v>62</v>
      </c>
      <c r="B17" t="s">
        <v>200</v>
      </c>
      <c r="C17">
        <v>0.87331131958675257</v>
      </c>
      <c r="D17">
        <v>0.89952349760464434</v>
      </c>
      <c r="E17">
        <v>0.84678688524590162</v>
      </c>
      <c r="F17">
        <v>0.91449232460777263</v>
      </c>
      <c r="G17" t="s">
        <v>200</v>
      </c>
      <c r="H17">
        <v>0.94518745889059419</v>
      </c>
      <c r="I17">
        <v>0.96531180935908523</v>
      </c>
      <c r="J17">
        <v>0.95747450640052068</v>
      </c>
      <c r="K17">
        <v>0.94269629033879565</v>
      </c>
      <c r="L17" t="s">
        <v>200</v>
      </c>
      <c r="M17">
        <v>1</v>
      </c>
      <c r="N17">
        <v>1</v>
      </c>
      <c r="O17">
        <v>2</v>
      </c>
      <c r="P17">
        <v>1</v>
      </c>
      <c r="Q17">
        <v>0.88352850676126782</v>
      </c>
    </row>
    <row r="18" spans="1:17" x14ac:dyDescent="0.25">
      <c r="A18" t="s">
        <v>136</v>
      </c>
      <c r="B18" t="s">
        <v>200</v>
      </c>
      <c r="C18">
        <v>0.90190897686693139</v>
      </c>
      <c r="D18">
        <v>0.95145242650895812</v>
      </c>
      <c r="E18">
        <v>0.8855149343277432</v>
      </c>
      <c r="F18">
        <v>0.79877545997169408</v>
      </c>
      <c r="G18" t="s">
        <v>200</v>
      </c>
      <c r="H18">
        <v>0.95525011986575037</v>
      </c>
      <c r="I18">
        <v>0.97137590356454917</v>
      </c>
      <c r="J18">
        <v>0.90701748797502624</v>
      </c>
      <c r="K18">
        <v>0.89998312663460722</v>
      </c>
      <c r="L18" t="s">
        <v>200</v>
      </c>
      <c r="M18">
        <v>1</v>
      </c>
      <c r="N18">
        <v>1</v>
      </c>
      <c r="O18">
        <v>2</v>
      </c>
      <c r="P18">
        <v>3</v>
      </c>
      <c r="Q18">
        <v>0.88441294941883175</v>
      </c>
    </row>
    <row r="19" spans="1:17" x14ac:dyDescent="0.25">
      <c r="A19" t="s">
        <v>57</v>
      </c>
      <c r="B19" t="s">
        <v>200</v>
      </c>
      <c r="C19">
        <v>0.76063528692623339</v>
      </c>
      <c r="D19">
        <v>0.916954580592235</v>
      </c>
      <c r="E19">
        <v>0.97317320656630946</v>
      </c>
      <c r="F19">
        <v>0.90244624186230027</v>
      </c>
      <c r="G19" t="s">
        <v>200</v>
      </c>
      <c r="H19">
        <v>0.98449524026677304</v>
      </c>
      <c r="I19">
        <v>0.94701986754966883</v>
      </c>
      <c r="J19">
        <v>0.97088082901554407</v>
      </c>
      <c r="K19">
        <v>0.89795707800247626</v>
      </c>
      <c r="L19" t="s">
        <v>200</v>
      </c>
      <c r="M19">
        <v>1</v>
      </c>
      <c r="N19">
        <v>1</v>
      </c>
      <c r="O19">
        <v>2</v>
      </c>
      <c r="P19">
        <v>4</v>
      </c>
      <c r="Q19">
        <v>0.88830232898676953</v>
      </c>
    </row>
    <row r="20" spans="1:17" x14ac:dyDescent="0.25">
      <c r="A20" t="s">
        <v>92</v>
      </c>
      <c r="B20" t="s">
        <v>200</v>
      </c>
      <c r="C20">
        <v>0.82784297465474643</v>
      </c>
      <c r="D20">
        <v>0.9731952381478739</v>
      </c>
      <c r="E20">
        <v>0.87728307953378293</v>
      </c>
      <c r="F20">
        <v>0.87757635401872081</v>
      </c>
      <c r="G20" t="s">
        <v>200</v>
      </c>
      <c r="H20">
        <v>0.80653424685384345</v>
      </c>
      <c r="I20">
        <v>0.98622014364456323</v>
      </c>
      <c r="J20">
        <v>0.90333024976873266</v>
      </c>
      <c r="K20">
        <v>0.7488679652123913</v>
      </c>
      <c r="L20" t="s">
        <v>200</v>
      </c>
      <c r="M20">
        <v>3</v>
      </c>
      <c r="N20">
        <v>2</v>
      </c>
      <c r="O20">
        <v>1</v>
      </c>
      <c r="P20">
        <v>4</v>
      </c>
      <c r="Q20">
        <v>0.8889744115887811</v>
      </c>
    </row>
    <row r="21" spans="1:17" x14ac:dyDescent="0.25">
      <c r="A21" t="s">
        <v>69</v>
      </c>
      <c r="B21" t="s">
        <v>200</v>
      </c>
      <c r="C21">
        <v>0.87037866539528497</v>
      </c>
      <c r="D21">
        <v>0.92063852625859066</v>
      </c>
      <c r="E21">
        <v>0.86137219962729705</v>
      </c>
      <c r="F21">
        <v>0.90715461363559236</v>
      </c>
      <c r="G21" t="s">
        <v>200</v>
      </c>
      <c r="H21">
        <v>0.98933533993357736</v>
      </c>
      <c r="I21">
        <v>0.98690551968718743</v>
      </c>
      <c r="J21">
        <v>0.91595933215185155</v>
      </c>
      <c r="K21">
        <v>0.86466942148760328</v>
      </c>
      <c r="L21" t="s">
        <v>200</v>
      </c>
      <c r="M21">
        <v>1</v>
      </c>
      <c r="N21">
        <v>1</v>
      </c>
      <c r="O21">
        <v>2</v>
      </c>
      <c r="P21">
        <v>4</v>
      </c>
      <c r="Q21">
        <v>0.88988600122919126</v>
      </c>
    </row>
    <row r="22" spans="1:17" x14ac:dyDescent="0.25">
      <c r="A22" t="s">
        <v>38</v>
      </c>
      <c r="B22" t="s">
        <v>200</v>
      </c>
      <c r="C22">
        <v>0.770285701103819</v>
      </c>
      <c r="D22">
        <v>0.97725173210161664</v>
      </c>
      <c r="E22">
        <v>0.9236186803051899</v>
      </c>
      <c r="F22">
        <v>0.88883516938909413</v>
      </c>
      <c r="G22" t="s">
        <v>200</v>
      </c>
      <c r="H22">
        <v>0.99794595581522727</v>
      </c>
      <c r="I22">
        <v>0.97674418604651159</v>
      </c>
      <c r="J22">
        <v>0.93958908310334255</v>
      </c>
      <c r="K22">
        <v>0.78123217341699946</v>
      </c>
      <c r="L22" t="s">
        <v>200</v>
      </c>
      <c r="M22">
        <v>1</v>
      </c>
      <c r="N22">
        <v>2</v>
      </c>
      <c r="O22">
        <v>1</v>
      </c>
      <c r="P22">
        <v>4</v>
      </c>
      <c r="Q22">
        <v>0.88999782072492994</v>
      </c>
    </row>
    <row r="23" spans="1:17" x14ac:dyDescent="0.25">
      <c r="A23" t="s">
        <v>105</v>
      </c>
      <c r="B23" t="s">
        <v>200</v>
      </c>
      <c r="C23">
        <v>0.78708664516545945</v>
      </c>
      <c r="D23">
        <v>0.89026908886750078</v>
      </c>
      <c r="E23">
        <v>0.96390960947784121</v>
      </c>
      <c r="F23">
        <v>0.91933397615295975</v>
      </c>
      <c r="G23" t="s">
        <v>200</v>
      </c>
      <c r="H23">
        <v>0.80662347012239022</v>
      </c>
      <c r="I23">
        <v>0.90750216484295043</v>
      </c>
      <c r="J23">
        <v>0.97655726724715342</v>
      </c>
      <c r="K23">
        <v>0.88391471754496864</v>
      </c>
      <c r="L23" t="s">
        <v>200</v>
      </c>
      <c r="M23">
        <v>3</v>
      </c>
      <c r="N23">
        <v>1</v>
      </c>
      <c r="O23">
        <v>2</v>
      </c>
      <c r="P23">
        <v>4</v>
      </c>
      <c r="Q23">
        <v>0.89014982991594027</v>
      </c>
    </row>
    <row r="24" spans="1:17" x14ac:dyDescent="0.25">
      <c r="A24" t="s">
        <v>95</v>
      </c>
      <c r="B24" t="s">
        <v>200</v>
      </c>
      <c r="C24">
        <v>0.79587678676478502</v>
      </c>
      <c r="D24">
        <v>0.94966681644615125</v>
      </c>
      <c r="E24">
        <v>0.9208347733902551</v>
      </c>
      <c r="F24">
        <v>0.90558392967066792</v>
      </c>
      <c r="G24" t="s">
        <v>200</v>
      </c>
      <c r="H24">
        <v>0.98244145529578941</v>
      </c>
      <c r="I24">
        <v>0.99504058764357728</v>
      </c>
      <c r="J24">
        <v>0.96443467050883447</v>
      </c>
      <c r="K24">
        <v>0.87878586940304693</v>
      </c>
      <c r="L24" t="s">
        <v>200</v>
      </c>
      <c r="M24">
        <v>1</v>
      </c>
      <c r="N24">
        <v>1</v>
      </c>
      <c r="O24">
        <v>1</v>
      </c>
      <c r="P24">
        <v>4</v>
      </c>
      <c r="Q24">
        <v>0.89299057656796488</v>
      </c>
    </row>
    <row r="25" spans="1:17" x14ac:dyDescent="0.25">
      <c r="A25" t="s">
        <v>86</v>
      </c>
      <c r="B25" t="s">
        <v>200</v>
      </c>
      <c r="C25">
        <v>0.92034524186831568</v>
      </c>
      <c r="D25">
        <v>0.92587530795374851</v>
      </c>
      <c r="E25">
        <v>0.80070425755704944</v>
      </c>
      <c r="F25">
        <v>0.93467624070661504</v>
      </c>
      <c r="G25" t="s">
        <v>200</v>
      </c>
      <c r="H25">
        <v>0.93424447736844729</v>
      </c>
      <c r="I25">
        <v>0.99743562346404535</v>
      </c>
      <c r="J25">
        <v>0.94199178644763859</v>
      </c>
      <c r="L25" t="s">
        <v>200</v>
      </c>
      <c r="M25">
        <v>1</v>
      </c>
      <c r="N25">
        <v>1</v>
      </c>
      <c r="O25">
        <v>1</v>
      </c>
      <c r="P25">
        <v>4</v>
      </c>
      <c r="Q25">
        <v>0.89540026202143219</v>
      </c>
    </row>
    <row r="26" spans="1:17" x14ac:dyDescent="0.25">
      <c r="A26" t="s">
        <v>111</v>
      </c>
      <c r="B26" t="s">
        <v>200</v>
      </c>
      <c r="C26">
        <v>0.83838149623757285</v>
      </c>
      <c r="D26">
        <v>0.97258543017250854</v>
      </c>
      <c r="E26">
        <v>0.87532871786615141</v>
      </c>
      <c r="F26">
        <v>0.9149865346822913</v>
      </c>
      <c r="G26" t="s">
        <v>200</v>
      </c>
      <c r="H26">
        <v>0.99263349406480994</v>
      </c>
      <c r="I26">
        <v>0.99359135461171144</v>
      </c>
      <c r="J26">
        <v>0.88848086586780051</v>
      </c>
      <c r="K26">
        <v>0.93102539319919164</v>
      </c>
      <c r="L26" t="s">
        <v>200</v>
      </c>
      <c r="M26">
        <v>1</v>
      </c>
      <c r="N26">
        <v>1</v>
      </c>
      <c r="O26">
        <v>2</v>
      </c>
      <c r="P26">
        <v>1</v>
      </c>
      <c r="Q26">
        <v>0.90032054473963097</v>
      </c>
    </row>
    <row r="27" spans="1:17" x14ac:dyDescent="0.25">
      <c r="A27" t="s">
        <v>112</v>
      </c>
      <c r="B27" t="s">
        <v>200</v>
      </c>
      <c r="C27">
        <v>0.81270907079945154</v>
      </c>
      <c r="D27">
        <v>0.95072266775406644</v>
      </c>
      <c r="E27">
        <v>0.94903773199486396</v>
      </c>
      <c r="F27">
        <v>0.90223353490810243</v>
      </c>
      <c r="G27" t="s">
        <v>200</v>
      </c>
      <c r="H27">
        <v>0.85499866910205691</v>
      </c>
      <c r="I27">
        <v>0.95237119504587575</v>
      </c>
      <c r="J27">
        <v>0.95871800132211815</v>
      </c>
      <c r="K27">
        <v>0.88140404718519227</v>
      </c>
      <c r="L27" t="s">
        <v>200</v>
      </c>
      <c r="M27">
        <v>1</v>
      </c>
      <c r="N27">
        <v>1</v>
      </c>
      <c r="O27">
        <v>1</v>
      </c>
      <c r="P27">
        <v>3</v>
      </c>
      <c r="Q27">
        <v>0.90367575136412115</v>
      </c>
    </row>
    <row r="28" spans="1:17" x14ac:dyDescent="0.25">
      <c r="A28" t="s">
        <v>131</v>
      </c>
      <c r="B28" t="s">
        <v>200</v>
      </c>
      <c r="C28">
        <v>0.87586434422335646</v>
      </c>
      <c r="D28">
        <v>0.97054703990846503</v>
      </c>
      <c r="E28">
        <v>0.93856787505606987</v>
      </c>
      <c r="F28">
        <v>0.84976188145569376</v>
      </c>
      <c r="G28" t="s">
        <v>200</v>
      </c>
      <c r="H28">
        <v>0.8971746571882363</v>
      </c>
      <c r="I28">
        <v>0.9735227863455207</v>
      </c>
      <c r="J28">
        <v>0.91735892294471499</v>
      </c>
      <c r="K28">
        <v>0.84675554346347437</v>
      </c>
      <c r="L28" t="s">
        <v>200</v>
      </c>
      <c r="M28">
        <v>1</v>
      </c>
      <c r="N28">
        <v>2</v>
      </c>
      <c r="O28">
        <v>2</v>
      </c>
      <c r="P28">
        <v>4</v>
      </c>
      <c r="Q28">
        <v>0.90868528516089631</v>
      </c>
    </row>
    <row r="29" spans="1:17" x14ac:dyDescent="0.25">
      <c r="A29" t="s">
        <v>121</v>
      </c>
      <c r="B29" t="s">
        <v>200</v>
      </c>
      <c r="C29">
        <v>0.85659172580466714</v>
      </c>
      <c r="D29">
        <v>0.9534115228064286</v>
      </c>
      <c r="E29">
        <v>0.95558981557117706</v>
      </c>
      <c r="F29">
        <v>0.8862227540577583</v>
      </c>
      <c r="G29" t="s">
        <v>200</v>
      </c>
      <c r="H29">
        <v>0.97513278354434385</v>
      </c>
      <c r="I29">
        <v>0.94436391247325191</v>
      </c>
      <c r="J29">
        <v>0.97651634133572662</v>
      </c>
      <c r="K29">
        <v>0.78203454508937542</v>
      </c>
      <c r="L29" t="s">
        <v>200</v>
      </c>
      <c r="M29">
        <v>1</v>
      </c>
      <c r="N29">
        <v>1</v>
      </c>
      <c r="O29">
        <v>1</v>
      </c>
      <c r="P29">
        <v>4</v>
      </c>
      <c r="Q29">
        <v>0.91295395456000783</v>
      </c>
    </row>
    <row r="30" spans="1:17" x14ac:dyDescent="0.25">
      <c r="A30" t="s">
        <v>91</v>
      </c>
      <c r="B30" t="s">
        <v>200</v>
      </c>
      <c r="C30">
        <v>0.89394217178139068</v>
      </c>
      <c r="D30">
        <v>0.99586492074431432</v>
      </c>
      <c r="E30">
        <v>0.86428661061613754</v>
      </c>
      <c r="F30">
        <v>0.90140023337222874</v>
      </c>
      <c r="G30" t="s">
        <v>200</v>
      </c>
      <c r="H30">
        <v>0.95821504613200847</v>
      </c>
      <c r="I30">
        <v>0.9979084967320262</v>
      </c>
      <c r="J30">
        <v>0.89254477301124535</v>
      </c>
      <c r="K30">
        <v>0.88871438187121377</v>
      </c>
      <c r="L30" t="s">
        <v>200</v>
      </c>
      <c r="M30">
        <v>1</v>
      </c>
      <c r="N30">
        <v>1</v>
      </c>
      <c r="O30">
        <v>1</v>
      </c>
      <c r="P30">
        <v>4</v>
      </c>
      <c r="Q30">
        <v>0.91387348412851788</v>
      </c>
    </row>
    <row r="31" spans="1:17" x14ac:dyDescent="0.25">
      <c r="A31" t="s">
        <v>37</v>
      </c>
      <c r="B31" t="s">
        <v>200</v>
      </c>
      <c r="C31">
        <v>0.8442028144307292</v>
      </c>
      <c r="D31">
        <v>0.92282361049951178</v>
      </c>
      <c r="E31">
        <v>0.99912748424624331</v>
      </c>
      <c r="F31">
        <v>0.89145837433576069</v>
      </c>
      <c r="G31" t="s">
        <v>200</v>
      </c>
      <c r="H31">
        <v>0.84323636728818663</v>
      </c>
      <c r="I31">
        <v>0.93628246753246758</v>
      </c>
      <c r="J31">
        <v>0.99935699588477367</v>
      </c>
      <c r="K31">
        <v>0.78689788053949905</v>
      </c>
      <c r="L31" t="s">
        <v>200</v>
      </c>
      <c r="M31">
        <v>4</v>
      </c>
      <c r="N31">
        <v>2</v>
      </c>
      <c r="O31">
        <v>2</v>
      </c>
      <c r="P31">
        <v>4</v>
      </c>
      <c r="Q31">
        <v>0.91440307087806127</v>
      </c>
    </row>
    <row r="32" spans="1:17" x14ac:dyDescent="0.25">
      <c r="A32" t="s">
        <v>16</v>
      </c>
      <c r="B32" t="s">
        <v>200</v>
      </c>
      <c r="C32">
        <v>0.88970316373896674</v>
      </c>
      <c r="D32">
        <v>0.95042381027065326</v>
      </c>
      <c r="E32">
        <v>0.91326401770898002</v>
      </c>
      <c r="F32">
        <v>0.90532287281146995</v>
      </c>
      <c r="G32" t="s">
        <v>200</v>
      </c>
      <c r="H32">
        <v>0.9321576392668296</v>
      </c>
      <c r="I32">
        <v>0.96065736908765587</v>
      </c>
      <c r="J32">
        <v>0.94343430947116091</v>
      </c>
      <c r="K32">
        <v>0.88080203451936467</v>
      </c>
      <c r="L32" t="s">
        <v>200</v>
      </c>
      <c r="M32">
        <v>1</v>
      </c>
      <c r="N32">
        <v>1</v>
      </c>
      <c r="O32">
        <v>1</v>
      </c>
      <c r="P32">
        <v>4</v>
      </c>
      <c r="Q32">
        <v>0.91467846613251758</v>
      </c>
    </row>
    <row r="33" spans="1:17" x14ac:dyDescent="0.25">
      <c r="A33" t="s">
        <v>129</v>
      </c>
      <c r="B33" t="s">
        <v>200</v>
      </c>
      <c r="C33">
        <v>0.88271650899763276</v>
      </c>
      <c r="D33">
        <v>0.93702523273831273</v>
      </c>
      <c r="E33">
        <v>0.93009853339187165</v>
      </c>
      <c r="F33">
        <v>0.92475864634941241</v>
      </c>
      <c r="G33" t="s">
        <v>200</v>
      </c>
      <c r="H33">
        <v>0.93929724195244235</v>
      </c>
      <c r="I33">
        <v>0.93064509506015691</v>
      </c>
      <c r="J33">
        <v>0.94875055636802952</v>
      </c>
      <c r="K33">
        <v>0.86714758040276529</v>
      </c>
      <c r="L33" t="s">
        <v>200</v>
      </c>
      <c r="M33">
        <v>1</v>
      </c>
      <c r="N33">
        <v>2</v>
      </c>
      <c r="O33">
        <v>1</v>
      </c>
      <c r="P33">
        <v>4</v>
      </c>
      <c r="Q33">
        <v>0.91864973036930742</v>
      </c>
    </row>
    <row r="34" spans="1:17" x14ac:dyDescent="0.25">
      <c r="A34" t="s">
        <v>122</v>
      </c>
      <c r="B34" t="s">
        <v>200</v>
      </c>
      <c r="C34">
        <v>0.87793384629027371</v>
      </c>
      <c r="D34">
        <v>0.97766745468873129</v>
      </c>
      <c r="E34">
        <v>0.92668771385900905</v>
      </c>
      <c r="F34">
        <v>0.89482917361335756</v>
      </c>
      <c r="G34" t="s">
        <v>200</v>
      </c>
      <c r="H34">
        <v>0.93195039586821415</v>
      </c>
      <c r="I34">
        <v>0.99424533064109033</v>
      </c>
      <c r="J34">
        <v>0.93246968026460864</v>
      </c>
      <c r="K34">
        <v>0.79363265306122444</v>
      </c>
      <c r="L34" t="s">
        <v>200</v>
      </c>
      <c r="M34">
        <v>2</v>
      </c>
      <c r="N34">
        <v>1</v>
      </c>
      <c r="O34">
        <v>2</v>
      </c>
      <c r="P34">
        <v>4</v>
      </c>
      <c r="Q34">
        <v>0.91927954711284288</v>
      </c>
    </row>
    <row r="35" spans="1:17" x14ac:dyDescent="0.25">
      <c r="A35" t="s">
        <v>40</v>
      </c>
      <c r="B35" t="s">
        <v>200</v>
      </c>
      <c r="C35">
        <v>0.81873600802991353</v>
      </c>
      <c r="D35">
        <v>0.96748847400616489</v>
      </c>
      <c r="E35">
        <v>0.99682539682539684</v>
      </c>
      <c r="F35">
        <v>0.90702099157981508</v>
      </c>
      <c r="G35" t="s">
        <v>200</v>
      </c>
      <c r="H35">
        <v>0.77342955757765919</v>
      </c>
      <c r="I35">
        <v>0.97340180898359652</v>
      </c>
      <c r="J35">
        <v>1</v>
      </c>
      <c r="K35">
        <v>0.91926936520464542</v>
      </c>
      <c r="L35" t="s">
        <v>200</v>
      </c>
      <c r="M35">
        <v>3</v>
      </c>
      <c r="N35">
        <v>2</v>
      </c>
      <c r="O35">
        <v>1</v>
      </c>
      <c r="P35">
        <v>2</v>
      </c>
      <c r="Q35">
        <v>0.92251771761032253</v>
      </c>
    </row>
    <row r="36" spans="1:17" x14ac:dyDescent="0.25">
      <c r="A36" t="s">
        <v>68</v>
      </c>
      <c r="B36" t="s">
        <v>200</v>
      </c>
      <c r="C36">
        <v>0.89840983113008732</v>
      </c>
      <c r="D36">
        <v>0.95262921348314611</v>
      </c>
      <c r="E36">
        <v>0.93781528452218188</v>
      </c>
      <c r="F36">
        <v>0.90135435617545989</v>
      </c>
      <c r="G36" t="s">
        <v>200</v>
      </c>
      <c r="H36">
        <v>0.93029766560994687</v>
      </c>
      <c r="I36">
        <v>0.96663605754514847</v>
      </c>
      <c r="J36">
        <v>0.96679119966791205</v>
      </c>
      <c r="K36">
        <v>0.9093879976232917</v>
      </c>
      <c r="L36" t="s">
        <v>200</v>
      </c>
      <c r="M36">
        <v>2</v>
      </c>
      <c r="N36">
        <v>2</v>
      </c>
      <c r="O36">
        <v>1</v>
      </c>
      <c r="P36">
        <v>2</v>
      </c>
      <c r="Q36">
        <v>0.92255217132771883</v>
      </c>
    </row>
    <row r="37" spans="1:17" x14ac:dyDescent="0.25">
      <c r="A37" t="s">
        <v>90</v>
      </c>
      <c r="B37" t="s">
        <v>200</v>
      </c>
      <c r="C37">
        <v>0.97013030822067192</v>
      </c>
      <c r="D37">
        <v>0.99751370002029638</v>
      </c>
      <c r="E37">
        <v>0.8384506624308331</v>
      </c>
      <c r="F37">
        <v>0.88654781199351707</v>
      </c>
      <c r="G37" t="s">
        <v>200</v>
      </c>
      <c r="H37">
        <v>0.92469830563569133</v>
      </c>
      <c r="I37">
        <v>0.99860237596086654</v>
      </c>
      <c r="J37">
        <v>0.86826199580609353</v>
      </c>
      <c r="K37">
        <v>0.78616949910554557</v>
      </c>
      <c r="L37" t="s">
        <v>200</v>
      </c>
      <c r="M37">
        <v>2</v>
      </c>
      <c r="N37">
        <v>1</v>
      </c>
      <c r="O37">
        <v>2</v>
      </c>
      <c r="P37">
        <v>4</v>
      </c>
      <c r="Q37">
        <v>0.92316062066632965</v>
      </c>
    </row>
    <row r="38" spans="1:17" x14ac:dyDescent="0.25">
      <c r="A38" t="s">
        <v>81</v>
      </c>
      <c r="B38" t="s">
        <v>200</v>
      </c>
      <c r="C38">
        <v>0.85134820981694759</v>
      </c>
      <c r="D38">
        <v>0.93373193821624312</v>
      </c>
      <c r="E38">
        <v>0.98245474543478839</v>
      </c>
      <c r="F38">
        <v>0.92667369666418042</v>
      </c>
      <c r="G38" t="s">
        <v>200</v>
      </c>
      <c r="H38">
        <v>0.94169218507487729</v>
      </c>
      <c r="I38">
        <v>0.97118694806166739</v>
      </c>
      <c r="J38">
        <v>0.98494864232685853</v>
      </c>
      <c r="K38">
        <v>0.92048304078131182</v>
      </c>
      <c r="L38" t="s">
        <v>200</v>
      </c>
      <c r="M38">
        <v>1</v>
      </c>
      <c r="N38">
        <v>1</v>
      </c>
      <c r="O38">
        <v>1</v>
      </c>
      <c r="P38">
        <v>2</v>
      </c>
      <c r="Q38">
        <v>0.92355214753303994</v>
      </c>
    </row>
    <row r="39" spans="1:17" x14ac:dyDescent="0.25">
      <c r="A39" t="s">
        <v>106</v>
      </c>
      <c r="B39" t="s">
        <v>200</v>
      </c>
      <c r="C39">
        <v>0.91173314394135763</v>
      </c>
      <c r="D39">
        <v>0.99641552630418306</v>
      </c>
      <c r="E39">
        <v>0.890142785786872</v>
      </c>
      <c r="F39">
        <v>0.89868882066100775</v>
      </c>
      <c r="G39" t="s">
        <v>200</v>
      </c>
      <c r="H39">
        <v>0.98870739769325222</v>
      </c>
      <c r="I39">
        <v>0.9972317540874881</v>
      </c>
      <c r="J39">
        <v>0.97617794156356941</v>
      </c>
      <c r="K39">
        <v>0.8092781087293025</v>
      </c>
      <c r="L39" t="s">
        <v>200</v>
      </c>
      <c r="M39">
        <v>1</v>
      </c>
      <c r="N39">
        <v>2</v>
      </c>
      <c r="O39">
        <v>2</v>
      </c>
      <c r="P39">
        <v>4</v>
      </c>
      <c r="Q39">
        <v>0.92424506917335503</v>
      </c>
    </row>
    <row r="40" spans="1:17" x14ac:dyDescent="0.25">
      <c r="A40" t="s">
        <v>125</v>
      </c>
      <c r="B40" t="s">
        <v>200</v>
      </c>
      <c r="C40">
        <v>0.95733666354819125</v>
      </c>
      <c r="D40">
        <v>0.9554468043456984</v>
      </c>
      <c r="E40">
        <v>0.87970434993335755</v>
      </c>
      <c r="F40">
        <v>0.90669995990230745</v>
      </c>
      <c r="G40" t="s">
        <v>200</v>
      </c>
      <c r="H40">
        <v>0.99318142988055858</v>
      </c>
      <c r="I40">
        <v>0.99620020964360589</v>
      </c>
      <c r="J40">
        <v>0.94436389996375503</v>
      </c>
      <c r="K40">
        <v>0.89526985303198714</v>
      </c>
      <c r="L40" t="s">
        <v>200</v>
      </c>
      <c r="M40">
        <v>1</v>
      </c>
      <c r="N40">
        <v>1</v>
      </c>
      <c r="O40">
        <v>1</v>
      </c>
      <c r="P40">
        <v>4</v>
      </c>
      <c r="Q40">
        <v>0.92479694443238869</v>
      </c>
    </row>
    <row r="41" spans="1:17" x14ac:dyDescent="0.25">
      <c r="A41" t="s">
        <v>107</v>
      </c>
      <c r="B41" t="s">
        <v>200</v>
      </c>
      <c r="C41">
        <v>0.96149152226569778</v>
      </c>
      <c r="D41">
        <v>0.95363654849861046</v>
      </c>
      <c r="E41">
        <v>0.8928939828080229</v>
      </c>
      <c r="F41">
        <v>0.89137990501711284</v>
      </c>
      <c r="G41" t="s">
        <v>200</v>
      </c>
      <c r="H41">
        <v>0.99960305646521785</v>
      </c>
      <c r="I41">
        <v>0.97154187077210175</v>
      </c>
      <c r="J41">
        <v>0.97065462753950338</v>
      </c>
      <c r="K41">
        <v>0.95834136933461911</v>
      </c>
      <c r="L41" t="s">
        <v>200</v>
      </c>
      <c r="M41">
        <v>1</v>
      </c>
      <c r="N41">
        <v>2</v>
      </c>
      <c r="O41">
        <v>1</v>
      </c>
      <c r="P41">
        <v>1</v>
      </c>
      <c r="Q41">
        <v>0.92485048964736105</v>
      </c>
    </row>
    <row r="42" spans="1:17" x14ac:dyDescent="0.25">
      <c r="A42" t="s">
        <v>65</v>
      </c>
      <c r="B42" t="s">
        <v>200</v>
      </c>
      <c r="C42">
        <v>0.938660828645134</v>
      </c>
      <c r="D42">
        <v>0.9004388500800925</v>
      </c>
      <c r="E42">
        <v>0.97910075735787561</v>
      </c>
      <c r="F42">
        <v>0.88471667432570966</v>
      </c>
      <c r="G42" t="s">
        <v>200</v>
      </c>
      <c r="H42">
        <v>0.96535999008633155</v>
      </c>
      <c r="I42">
        <v>0.96539027982326953</v>
      </c>
      <c r="J42">
        <v>1</v>
      </c>
      <c r="K42">
        <v>0.75375375375375375</v>
      </c>
      <c r="L42" t="s">
        <v>200</v>
      </c>
      <c r="M42">
        <v>2</v>
      </c>
      <c r="N42">
        <v>1</v>
      </c>
      <c r="O42">
        <v>1</v>
      </c>
      <c r="P42">
        <v>4</v>
      </c>
      <c r="Q42">
        <v>0.92572927760220292</v>
      </c>
    </row>
    <row r="43" spans="1:17" x14ac:dyDescent="0.25">
      <c r="A43" t="s">
        <v>80</v>
      </c>
      <c r="B43" t="s">
        <v>200</v>
      </c>
      <c r="C43">
        <v>0.92560757486431589</v>
      </c>
      <c r="D43">
        <v>0.98332068390574479</v>
      </c>
      <c r="E43">
        <v>0.90196546656869947</v>
      </c>
      <c r="F43">
        <v>0.8965016643888829</v>
      </c>
      <c r="G43" t="s">
        <v>200</v>
      </c>
      <c r="H43">
        <v>0.97535794681932975</v>
      </c>
      <c r="I43">
        <v>0.9773312329503977</v>
      </c>
      <c r="J43">
        <v>0.88113853992796276</v>
      </c>
      <c r="K43">
        <v>0.79898642533936648</v>
      </c>
      <c r="L43" t="s">
        <v>200</v>
      </c>
      <c r="M43">
        <v>1</v>
      </c>
      <c r="N43">
        <v>2</v>
      </c>
      <c r="O43">
        <v>2</v>
      </c>
      <c r="P43">
        <v>4</v>
      </c>
      <c r="Q43">
        <v>0.92684884743191076</v>
      </c>
    </row>
    <row r="44" spans="1:17" x14ac:dyDescent="0.25">
      <c r="A44" t="s">
        <v>70</v>
      </c>
      <c r="B44" t="s">
        <v>200</v>
      </c>
      <c r="C44">
        <v>0.91154703792245828</v>
      </c>
      <c r="D44">
        <v>0.95584536849847823</v>
      </c>
      <c r="E44">
        <v>0.93047407475842725</v>
      </c>
      <c r="F44">
        <v>0.91025342039800994</v>
      </c>
      <c r="G44" t="s">
        <v>200</v>
      </c>
      <c r="H44">
        <v>0.98324125635551252</v>
      </c>
      <c r="I44">
        <v>0.92851628840512579</v>
      </c>
      <c r="J44">
        <v>0.95414684898929847</v>
      </c>
      <c r="K44">
        <v>0.91554307856549766</v>
      </c>
      <c r="L44" t="s">
        <v>200</v>
      </c>
      <c r="M44">
        <v>1</v>
      </c>
      <c r="N44">
        <v>2</v>
      </c>
      <c r="O44">
        <v>1</v>
      </c>
      <c r="P44">
        <v>2</v>
      </c>
      <c r="Q44">
        <v>0.9270299753943434</v>
      </c>
    </row>
    <row r="45" spans="1:17" x14ac:dyDescent="0.25">
      <c r="A45" t="s">
        <v>84</v>
      </c>
      <c r="B45" t="s">
        <v>200</v>
      </c>
      <c r="C45">
        <v>0.91720338130220391</v>
      </c>
      <c r="D45">
        <v>0.97317002041411493</v>
      </c>
      <c r="E45">
        <v>0.83030904451375109</v>
      </c>
      <c r="F45">
        <v>0.98762654668166483</v>
      </c>
      <c r="G45" t="s">
        <v>200</v>
      </c>
      <c r="H45">
        <v>0.92797292942313891</v>
      </c>
      <c r="I45">
        <v>0.96400846859562461</v>
      </c>
      <c r="J45">
        <v>1</v>
      </c>
      <c r="K45">
        <v>0.98538367844092567</v>
      </c>
      <c r="L45" t="s">
        <v>200</v>
      </c>
      <c r="M45">
        <v>1</v>
      </c>
      <c r="N45">
        <v>2</v>
      </c>
      <c r="O45">
        <v>1</v>
      </c>
      <c r="P45">
        <v>2</v>
      </c>
      <c r="Q45">
        <v>0.92707724822793369</v>
      </c>
    </row>
    <row r="46" spans="1:17" x14ac:dyDescent="0.25">
      <c r="A46" t="s">
        <v>119</v>
      </c>
      <c r="B46" t="s">
        <v>200</v>
      </c>
      <c r="C46">
        <v>0.95880838543582203</v>
      </c>
      <c r="D46">
        <v>0.89142857142857146</v>
      </c>
      <c r="E46">
        <v>0.95676236596333453</v>
      </c>
      <c r="F46">
        <v>0.90551040987009901</v>
      </c>
      <c r="G46" t="s">
        <v>200</v>
      </c>
      <c r="H46">
        <v>0.99015817223198599</v>
      </c>
      <c r="I46">
        <v>0.87141138043665123</v>
      </c>
      <c r="J46">
        <v>0.97270763793441983</v>
      </c>
      <c r="K46">
        <v>0.91953619114546736</v>
      </c>
      <c r="L46" t="s">
        <v>200</v>
      </c>
      <c r="M46">
        <v>2</v>
      </c>
      <c r="N46">
        <v>4</v>
      </c>
      <c r="O46">
        <v>1</v>
      </c>
      <c r="P46">
        <v>2</v>
      </c>
      <c r="Q46">
        <v>0.92812743317445667</v>
      </c>
    </row>
    <row r="47" spans="1:17" x14ac:dyDescent="0.25">
      <c r="A47" t="s">
        <v>103</v>
      </c>
      <c r="B47" t="s">
        <v>200</v>
      </c>
      <c r="C47">
        <v>0.96738893573479112</v>
      </c>
      <c r="D47">
        <v>0.96503205099788103</v>
      </c>
      <c r="E47">
        <v>0.85042670885637406</v>
      </c>
      <c r="F47">
        <v>0.93844516634927744</v>
      </c>
      <c r="G47" t="s">
        <v>200</v>
      </c>
      <c r="H47">
        <v>0.99096926052809431</v>
      </c>
      <c r="I47">
        <v>0.97800125707102448</v>
      </c>
      <c r="J47">
        <v>0.91771941489361697</v>
      </c>
      <c r="K47">
        <v>0.92596522732838138</v>
      </c>
      <c r="L47" t="s">
        <v>200</v>
      </c>
      <c r="M47">
        <v>1</v>
      </c>
      <c r="N47">
        <v>2</v>
      </c>
      <c r="O47">
        <v>2</v>
      </c>
      <c r="P47">
        <v>1</v>
      </c>
      <c r="Q47">
        <v>0.93032321548458086</v>
      </c>
    </row>
    <row r="48" spans="1:17" x14ac:dyDescent="0.25">
      <c r="A48" t="s">
        <v>48</v>
      </c>
      <c r="B48" t="s">
        <v>200</v>
      </c>
      <c r="C48">
        <v>0.99154723725918237</v>
      </c>
      <c r="D48">
        <v>0.98213919556231855</v>
      </c>
      <c r="E48">
        <v>0.83854976794769653</v>
      </c>
      <c r="F48">
        <v>0.91492309468525912</v>
      </c>
      <c r="G48" t="s">
        <v>200</v>
      </c>
      <c r="H48">
        <v>0.99818010393141399</v>
      </c>
      <c r="I48">
        <v>0.99927360774818397</v>
      </c>
      <c r="J48">
        <v>0.95664219420972429</v>
      </c>
      <c r="K48">
        <v>0.93708580012370768</v>
      </c>
      <c r="L48" t="s">
        <v>200</v>
      </c>
      <c r="M48">
        <v>2</v>
      </c>
      <c r="N48">
        <v>2</v>
      </c>
      <c r="O48">
        <v>2</v>
      </c>
      <c r="P48">
        <v>1</v>
      </c>
      <c r="Q48">
        <v>0.93178982386361409</v>
      </c>
    </row>
    <row r="49" spans="1:17" x14ac:dyDescent="0.25">
      <c r="A49" t="s">
        <v>66</v>
      </c>
      <c r="B49" t="s">
        <v>200</v>
      </c>
      <c r="C49">
        <v>0.93662307912570397</v>
      </c>
      <c r="D49">
        <v>0.98118822845436171</v>
      </c>
      <c r="E49">
        <v>0.89762075998915314</v>
      </c>
      <c r="F49">
        <v>0.91276575460005716</v>
      </c>
      <c r="G49" t="s">
        <v>200</v>
      </c>
      <c r="H49">
        <v>0.99601746958718895</v>
      </c>
      <c r="I49">
        <v>0.99658687943262414</v>
      </c>
      <c r="J49">
        <v>0.96305204441942582</v>
      </c>
      <c r="K49">
        <v>0.89649122807017545</v>
      </c>
      <c r="L49" t="s">
        <v>200</v>
      </c>
      <c r="M49">
        <v>1</v>
      </c>
      <c r="N49">
        <v>1</v>
      </c>
      <c r="O49">
        <v>1</v>
      </c>
      <c r="P49">
        <v>4</v>
      </c>
      <c r="Q49">
        <v>0.93204945554231911</v>
      </c>
    </row>
    <row r="50" spans="1:17" x14ac:dyDescent="0.25">
      <c r="A50" t="s">
        <v>127</v>
      </c>
      <c r="B50" t="s">
        <v>200</v>
      </c>
      <c r="C50">
        <v>0.92955293565460129</v>
      </c>
      <c r="D50">
        <v>0.95126722601399816</v>
      </c>
      <c r="E50">
        <v>0.96056972465423174</v>
      </c>
      <c r="F50">
        <v>0.88858121744027785</v>
      </c>
      <c r="G50" t="s">
        <v>200</v>
      </c>
      <c r="H50">
        <v>0.98111665910122559</v>
      </c>
      <c r="I50">
        <v>0.9915861639139919</v>
      </c>
      <c r="J50">
        <v>0.98914354644149582</v>
      </c>
      <c r="K50">
        <v>0.94664310954063602</v>
      </c>
      <c r="L50" t="s">
        <v>200</v>
      </c>
      <c r="M50">
        <v>1</v>
      </c>
      <c r="N50">
        <v>1</v>
      </c>
      <c r="O50">
        <v>1</v>
      </c>
      <c r="P50">
        <v>2</v>
      </c>
      <c r="Q50">
        <v>0.93249277594077729</v>
      </c>
    </row>
    <row r="51" spans="1:17" x14ac:dyDescent="0.25">
      <c r="A51" t="s">
        <v>117</v>
      </c>
      <c r="B51" t="s">
        <v>200</v>
      </c>
      <c r="C51">
        <v>0.94226836191142738</v>
      </c>
      <c r="D51">
        <v>0.98638648962227671</v>
      </c>
      <c r="E51">
        <v>0.87278622658466531</v>
      </c>
      <c r="F51">
        <v>0.92910413405763737</v>
      </c>
      <c r="G51" t="s">
        <v>200</v>
      </c>
      <c r="H51">
        <v>0.98936299141394834</v>
      </c>
      <c r="I51">
        <v>0.99794250778907767</v>
      </c>
      <c r="J51">
        <v>0.89583595420807649</v>
      </c>
      <c r="K51">
        <v>0.90881480945838455</v>
      </c>
      <c r="L51" t="s">
        <v>200</v>
      </c>
      <c r="M51">
        <v>1</v>
      </c>
      <c r="N51">
        <v>2</v>
      </c>
      <c r="O51">
        <v>2</v>
      </c>
      <c r="P51">
        <v>2</v>
      </c>
      <c r="Q51">
        <v>0.93263630304400169</v>
      </c>
    </row>
    <row r="52" spans="1:17" x14ac:dyDescent="0.25">
      <c r="A52" t="s">
        <v>101</v>
      </c>
      <c r="B52" t="s">
        <v>200</v>
      </c>
      <c r="C52">
        <v>0.88961523023109124</v>
      </c>
      <c r="D52">
        <v>0.94288259938200225</v>
      </c>
      <c r="E52">
        <v>0.99656080931598323</v>
      </c>
      <c r="F52">
        <v>0.90358034643439966</v>
      </c>
      <c r="G52" t="s">
        <v>200</v>
      </c>
      <c r="H52">
        <v>0.99525545439557417</v>
      </c>
      <c r="I52">
        <v>0.99593495934959353</v>
      </c>
      <c r="J52">
        <v>0.99677270631627479</v>
      </c>
      <c r="K52">
        <v>0.90752655992817599</v>
      </c>
      <c r="L52" t="s">
        <v>200</v>
      </c>
      <c r="M52">
        <v>1</v>
      </c>
      <c r="N52">
        <v>1</v>
      </c>
      <c r="O52">
        <v>2</v>
      </c>
      <c r="P52">
        <v>2</v>
      </c>
      <c r="Q52">
        <v>0.93315974634086907</v>
      </c>
    </row>
    <row r="53" spans="1:17" x14ac:dyDescent="0.25">
      <c r="A53" t="s">
        <v>53</v>
      </c>
      <c r="B53" t="s">
        <v>200</v>
      </c>
      <c r="C53">
        <v>0.94609366010815787</v>
      </c>
      <c r="D53">
        <v>0.94999693733793411</v>
      </c>
      <c r="E53">
        <v>0.9619977688776723</v>
      </c>
      <c r="F53">
        <v>0.88687998395105072</v>
      </c>
      <c r="G53" t="s">
        <v>200</v>
      </c>
      <c r="H53">
        <v>0.99807549962990383</v>
      </c>
      <c r="I53">
        <v>0.98581140999113215</v>
      </c>
      <c r="J53">
        <v>0.97123430962343094</v>
      </c>
      <c r="K53">
        <v>0.78029929287946065</v>
      </c>
      <c r="L53" t="s">
        <v>200</v>
      </c>
      <c r="M53">
        <v>1</v>
      </c>
      <c r="N53">
        <v>1</v>
      </c>
      <c r="O53">
        <v>1</v>
      </c>
      <c r="P53">
        <v>4</v>
      </c>
      <c r="Q53">
        <v>0.93624208756870375</v>
      </c>
    </row>
    <row r="54" spans="1:17" x14ac:dyDescent="0.25">
      <c r="A54" t="s">
        <v>108</v>
      </c>
      <c r="B54" t="s">
        <v>200</v>
      </c>
      <c r="C54">
        <v>0.96801186967195529</v>
      </c>
      <c r="D54">
        <v>0.97524112248554828</v>
      </c>
      <c r="E54">
        <v>0.90178985049484106</v>
      </c>
      <c r="F54">
        <v>0.90044822830468918</v>
      </c>
      <c r="G54" t="s">
        <v>200</v>
      </c>
      <c r="H54">
        <v>0.9832784856411555</v>
      </c>
      <c r="I54">
        <v>0.96950589208186888</v>
      </c>
      <c r="J54">
        <v>0.93168223318291532</v>
      </c>
      <c r="K54">
        <v>0.89292871457200118</v>
      </c>
      <c r="L54" t="s">
        <v>200</v>
      </c>
      <c r="M54">
        <v>1</v>
      </c>
      <c r="N54">
        <v>2</v>
      </c>
      <c r="O54">
        <v>1</v>
      </c>
      <c r="P54">
        <v>4</v>
      </c>
      <c r="Q54">
        <v>0.93637276773925848</v>
      </c>
    </row>
    <row r="55" spans="1:17" x14ac:dyDescent="0.25">
      <c r="A55" t="s">
        <v>36</v>
      </c>
      <c r="B55" t="s">
        <v>200</v>
      </c>
      <c r="C55">
        <v>0.95361630862212909</v>
      </c>
      <c r="D55">
        <v>0.98441016312776208</v>
      </c>
      <c r="E55">
        <v>0.9073587653279257</v>
      </c>
      <c r="F55">
        <v>0.90410687123867473</v>
      </c>
      <c r="G55" t="s">
        <v>200</v>
      </c>
      <c r="H55">
        <v>0.98586774725829807</v>
      </c>
      <c r="I55">
        <v>0.98087876322213186</v>
      </c>
      <c r="J55">
        <v>0.93789808917197448</v>
      </c>
      <c r="K55">
        <v>0.8337253748897383</v>
      </c>
      <c r="L55" t="s">
        <v>200</v>
      </c>
      <c r="M55">
        <v>1</v>
      </c>
      <c r="N55">
        <v>2</v>
      </c>
      <c r="O55">
        <v>1</v>
      </c>
      <c r="P55">
        <v>4</v>
      </c>
      <c r="Q55">
        <v>0.93737302707912284</v>
      </c>
    </row>
    <row r="56" spans="1:17" x14ac:dyDescent="0.25">
      <c r="A56" t="s">
        <v>55</v>
      </c>
      <c r="B56" t="s">
        <v>200</v>
      </c>
      <c r="C56">
        <v>0.96731029446508732</v>
      </c>
      <c r="D56">
        <v>0.96600023943493352</v>
      </c>
      <c r="E56">
        <v>0.99323337552331803</v>
      </c>
      <c r="F56">
        <v>0.82752097384438228</v>
      </c>
      <c r="G56" t="s">
        <v>200</v>
      </c>
      <c r="H56">
        <v>0.99636961824266834</v>
      </c>
      <c r="I56">
        <v>0.99776536312849162</v>
      </c>
      <c r="J56">
        <v>0.99174528301886788</v>
      </c>
      <c r="K56">
        <v>0.77352572145545795</v>
      </c>
      <c r="L56" t="s">
        <v>200</v>
      </c>
      <c r="M56">
        <v>1</v>
      </c>
      <c r="N56">
        <v>1</v>
      </c>
      <c r="O56">
        <v>1</v>
      </c>
      <c r="P56">
        <v>4</v>
      </c>
      <c r="Q56">
        <v>0.93851622081693031</v>
      </c>
    </row>
    <row r="57" spans="1:17" x14ac:dyDescent="0.25">
      <c r="A57" t="s">
        <v>98</v>
      </c>
      <c r="B57" t="s">
        <v>200</v>
      </c>
      <c r="C57">
        <v>0.99400434286967776</v>
      </c>
      <c r="D57">
        <v>0.94174040779605983</v>
      </c>
      <c r="E57">
        <v>0.90431901254921532</v>
      </c>
      <c r="F57">
        <v>0.91656480920766659</v>
      </c>
      <c r="G57" t="s">
        <v>200</v>
      </c>
      <c r="H57">
        <v>0.9956058839020353</v>
      </c>
      <c r="I57">
        <v>0.93397442252404084</v>
      </c>
      <c r="J57">
        <v>0.90348710056295811</v>
      </c>
      <c r="K57">
        <v>0.9071828597852335</v>
      </c>
      <c r="L57" t="s">
        <v>200</v>
      </c>
      <c r="M57">
        <v>1</v>
      </c>
      <c r="N57">
        <v>2</v>
      </c>
      <c r="O57">
        <v>2</v>
      </c>
      <c r="P57">
        <v>1</v>
      </c>
      <c r="Q57">
        <v>0.9391571431056549</v>
      </c>
    </row>
    <row r="58" spans="1:17" x14ac:dyDescent="0.25">
      <c r="A58" t="s">
        <v>113</v>
      </c>
      <c r="B58" t="s">
        <v>200</v>
      </c>
      <c r="C58">
        <v>0.98362736216405222</v>
      </c>
      <c r="D58">
        <v>0.99738261979161436</v>
      </c>
      <c r="E58">
        <v>0.89803820530751965</v>
      </c>
      <c r="F58">
        <v>0.88082200818049872</v>
      </c>
      <c r="G58" t="s">
        <v>200</v>
      </c>
      <c r="H58">
        <v>0.995357426031799</v>
      </c>
      <c r="I58">
        <v>0.99830270828721124</v>
      </c>
      <c r="J58">
        <v>0.93321997641444754</v>
      </c>
      <c r="K58">
        <v>0.85042604990870363</v>
      </c>
      <c r="L58" t="s">
        <v>200</v>
      </c>
      <c r="M58">
        <v>1</v>
      </c>
      <c r="N58">
        <v>1</v>
      </c>
      <c r="O58">
        <v>2</v>
      </c>
      <c r="P58">
        <v>4</v>
      </c>
      <c r="Q58">
        <v>0.93996754886092126</v>
      </c>
    </row>
    <row r="59" spans="1:17" x14ac:dyDescent="0.25">
      <c r="A59" t="s">
        <v>77</v>
      </c>
      <c r="B59" t="s">
        <v>200</v>
      </c>
      <c r="C59">
        <v>0.97116386028923507</v>
      </c>
      <c r="D59">
        <v>0.94614706746303734</v>
      </c>
      <c r="E59">
        <v>0.9195965039101005</v>
      </c>
      <c r="F59">
        <v>0.92642462695335448</v>
      </c>
      <c r="G59" t="s">
        <v>200</v>
      </c>
      <c r="H59">
        <v>0.92448553668005651</v>
      </c>
      <c r="I59">
        <v>0.77314428690575476</v>
      </c>
      <c r="J59">
        <v>0.92271016311166876</v>
      </c>
      <c r="K59">
        <v>0.92207171314741032</v>
      </c>
      <c r="L59" t="s">
        <v>200</v>
      </c>
      <c r="M59">
        <v>2</v>
      </c>
      <c r="N59">
        <v>4</v>
      </c>
      <c r="O59">
        <v>2</v>
      </c>
      <c r="P59">
        <v>2</v>
      </c>
      <c r="Q59">
        <v>0.94083301465393188</v>
      </c>
    </row>
    <row r="60" spans="1:17" x14ac:dyDescent="0.25">
      <c r="A60" t="s">
        <v>74</v>
      </c>
      <c r="B60" t="s">
        <v>200</v>
      </c>
      <c r="C60">
        <v>0.9221465849987599</v>
      </c>
      <c r="D60">
        <v>0.94280510808056717</v>
      </c>
      <c r="E60">
        <v>0.98224593111279335</v>
      </c>
      <c r="F60">
        <v>0.91657798801293444</v>
      </c>
      <c r="G60" t="s">
        <v>200</v>
      </c>
      <c r="H60">
        <v>0.94601689112074872</v>
      </c>
      <c r="I60">
        <v>0.91936167956738413</v>
      </c>
      <c r="J60">
        <v>0.98436554836908474</v>
      </c>
      <c r="K60">
        <v>0.89136502591821365</v>
      </c>
      <c r="L60" t="s">
        <v>200</v>
      </c>
      <c r="M60">
        <v>1</v>
      </c>
      <c r="N60">
        <v>2</v>
      </c>
      <c r="O60">
        <v>1</v>
      </c>
      <c r="P60">
        <v>4</v>
      </c>
      <c r="Q60">
        <v>0.94094390305126374</v>
      </c>
    </row>
    <row r="61" spans="1:17" x14ac:dyDescent="0.25">
      <c r="A61" t="s">
        <v>78</v>
      </c>
      <c r="B61" t="s">
        <v>200</v>
      </c>
      <c r="C61">
        <v>0.93476971959465738</v>
      </c>
      <c r="D61">
        <v>0.99271948608137039</v>
      </c>
      <c r="E61">
        <v>0.93056849953401677</v>
      </c>
      <c r="F61">
        <v>0.90617718219071686</v>
      </c>
      <c r="G61" t="s">
        <v>200</v>
      </c>
      <c r="H61">
        <v>0.95856356520909125</v>
      </c>
      <c r="I61">
        <v>0.9933827421916358</v>
      </c>
      <c r="J61">
        <v>0.95566366807416925</v>
      </c>
      <c r="K61">
        <v>0.83903320251666358</v>
      </c>
      <c r="L61" t="s">
        <v>200</v>
      </c>
      <c r="M61">
        <v>2</v>
      </c>
      <c r="N61">
        <v>2</v>
      </c>
      <c r="O61">
        <v>2</v>
      </c>
      <c r="P61">
        <v>4</v>
      </c>
      <c r="Q61">
        <v>0.94105872185019035</v>
      </c>
    </row>
    <row r="62" spans="1:17" x14ac:dyDescent="0.25">
      <c r="A62" t="s">
        <v>39</v>
      </c>
      <c r="B62" t="s">
        <v>200</v>
      </c>
      <c r="C62">
        <v>0.99454940181994544</v>
      </c>
      <c r="D62">
        <v>0.98400747702372915</v>
      </c>
      <c r="E62">
        <v>0.91092655919231391</v>
      </c>
      <c r="F62">
        <v>0.88266217020432458</v>
      </c>
      <c r="G62" t="s">
        <v>200</v>
      </c>
      <c r="H62">
        <v>0.98718312255430163</v>
      </c>
      <c r="I62">
        <v>0.99259259259259258</v>
      </c>
      <c r="J62">
        <v>0.90981082270127589</v>
      </c>
      <c r="K62">
        <v>0.82554634513941216</v>
      </c>
      <c r="L62" t="s">
        <v>200</v>
      </c>
      <c r="M62">
        <v>2</v>
      </c>
      <c r="N62">
        <v>2</v>
      </c>
      <c r="O62">
        <v>2</v>
      </c>
      <c r="P62">
        <v>4</v>
      </c>
      <c r="Q62">
        <v>0.94303640206007822</v>
      </c>
    </row>
    <row r="63" spans="1:17" x14ac:dyDescent="0.25">
      <c r="A63" t="s">
        <v>44</v>
      </c>
      <c r="B63" t="s">
        <v>200</v>
      </c>
      <c r="C63">
        <v>0.99751121768670414</v>
      </c>
      <c r="D63">
        <v>0.99806335592751416</v>
      </c>
      <c r="E63">
        <v>0.88513293022362993</v>
      </c>
      <c r="F63">
        <v>0.90577551611435192</v>
      </c>
      <c r="G63" t="s">
        <v>200</v>
      </c>
      <c r="H63">
        <v>0.99866975789593704</v>
      </c>
      <c r="I63">
        <v>1</v>
      </c>
      <c r="J63">
        <v>0.95534729878721059</v>
      </c>
      <c r="K63">
        <v>0.90057576183120347</v>
      </c>
      <c r="L63" t="s">
        <v>200</v>
      </c>
      <c r="M63">
        <v>2</v>
      </c>
      <c r="N63">
        <v>1</v>
      </c>
      <c r="O63">
        <v>1</v>
      </c>
      <c r="P63">
        <v>2</v>
      </c>
      <c r="Q63">
        <v>0.94662075498804998</v>
      </c>
    </row>
    <row r="64" spans="1:17" x14ac:dyDescent="0.25">
      <c r="A64" t="s">
        <v>126</v>
      </c>
      <c r="B64" t="s">
        <v>200</v>
      </c>
      <c r="C64">
        <v>0.97917271657096105</v>
      </c>
      <c r="D64">
        <v>0.99104053611100995</v>
      </c>
      <c r="E64">
        <v>0.92111284346082978</v>
      </c>
      <c r="F64">
        <v>0.90304065174456882</v>
      </c>
      <c r="G64" t="s">
        <v>200</v>
      </c>
      <c r="H64">
        <v>0.99833722633516764</v>
      </c>
      <c r="I64">
        <v>0.99371814626051913</v>
      </c>
      <c r="J64">
        <v>0.95793405879486759</v>
      </c>
      <c r="K64">
        <v>0.89309015421115068</v>
      </c>
      <c r="L64" t="s">
        <v>200</v>
      </c>
      <c r="M64">
        <v>1</v>
      </c>
      <c r="N64">
        <v>1</v>
      </c>
      <c r="O64">
        <v>1</v>
      </c>
      <c r="P64">
        <v>4</v>
      </c>
      <c r="Q64">
        <v>0.94859168697184237</v>
      </c>
    </row>
    <row r="65" spans="1:17" x14ac:dyDescent="0.25">
      <c r="A65" t="s">
        <v>89</v>
      </c>
      <c r="B65" t="s">
        <v>200</v>
      </c>
      <c r="C65">
        <v>0.97756119673617403</v>
      </c>
      <c r="D65">
        <v>0.98789594616773346</v>
      </c>
      <c r="E65">
        <v>0.93163508876622403</v>
      </c>
      <c r="F65">
        <v>0.89823500898177977</v>
      </c>
      <c r="G65" t="s">
        <v>200</v>
      </c>
      <c r="H65">
        <v>0.9799931226359061</v>
      </c>
      <c r="I65">
        <v>0.99294980259447263</v>
      </c>
      <c r="J65">
        <v>0.96225319396051101</v>
      </c>
      <c r="K65">
        <v>0.80014817558807183</v>
      </c>
      <c r="L65" t="s">
        <v>200</v>
      </c>
      <c r="M65">
        <v>2</v>
      </c>
      <c r="N65">
        <v>2</v>
      </c>
      <c r="O65">
        <v>2</v>
      </c>
      <c r="P65">
        <v>4</v>
      </c>
      <c r="Q65">
        <v>0.94883181016297791</v>
      </c>
    </row>
    <row r="66" spans="1:17" x14ac:dyDescent="0.25">
      <c r="A66" t="s">
        <v>50</v>
      </c>
      <c r="B66" t="s">
        <v>200</v>
      </c>
      <c r="C66">
        <v>0.98670861861980708</v>
      </c>
      <c r="D66">
        <v>0.9515831766744075</v>
      </c>
      <c r="E66">
        <v>0.93091060792175584</v>
      </c>
      <c r="F66">
        <v>0.92653806643077274</v>
      </c>
      <c r="G66" t="s">
        <v>200</v>
      </c>
      <c r="H66">
        <v>0.96811165337985561</v>
      </c>
      <c r="I66">
        <v>0.92002398081534775</v>
      </c>
      <c r="J66">
        <v>0.96015050453223871</v>
      </c>
      <c r="K66">
        <v>0.88844803906607661</v>
      </c>
      <c r="L66" t="s">
        <v>200</v>
      </c>
      <c r="M66">
        <v>2</v>
      </c>
      <c r="N66">
        <v>2</v>
      </c>
      <c r="O66">
        <v>1</v>
      </c>
      <c r="P66">
        <v>4</v>
      </c>
      <c r="Q66">
        <v>0.94893511741168579</v>
      </c>
    </row>
    <row r="67" spans="1:17" x14ac:dyDescent="0.25">
      <c r="A67" t="s">
        <v>100</v>
      </c>
      <c r="B67" t="s">
        <v>200</v>
      </c>
      <c r="C67">
        <v>0.94378344772098355</v>
      </c>
      <c r="D67">
        <v>0.99648456725022849</v>
      </c>
      <c r="E67">
        <v>0.9013924050632911</v>
      </c>
      <c r="F67">
        <v>0.95545967012318189</v>
      </c>
      <c r="G67" t="s">
        <v>200</v>
      </c>
      <c r="H67">
        <v>0.95769854503094953</v>
      </c>
      <c r="I67">
        <v>0.99778270509977829</v>
      </c>
      <c r="J67">
        <v>0.94334619093539052</v>
      </c>
      <c r="K67">
        <v>0.96714558424595598</v>
      </c>
      <c r="L67" t="s">
        <v>200</v>
      </c>
      <c r="M67">
        <v>2</v>
      </c>
      <c r="N67">
        <v>2</v>
      </c>
      <c r="O67">
        <v>2</v>
      </c>
      <c r="P67">
        <v>1</v>
      </c>
      <c r="Q67">
        <v>0.94928002253942134</v>
      </c>
    </row>
    <row r="68" spans="1:17" x14ac:dyDescent="0.25">
      <c r="A68" t="s">
        <v>59</v>
      </c>
      <c r="B68" t="s">
        <v>200</v>
      </c>
      <c r="C68">
        <v>0.93734850708144479</v>
      </c>
      <c r="D68">
        <v>0.97494574866837636</v>
      </c>
      <c r="E68">
        <v>0.92892608880692296</v>
      </c>
      <c r="F68">
        <v>0.95650579433768523</v>
      </c>
      <c r="G68" t="s">
        <v>200</v>
      </c>
      <c r="H68">
        <v>0.95541177297981572</v>
      </c>
      <c r="I68">
        <v>0.98062865497076024</v>
      </c>
      <c r="J68">
        <v>0.99125964010282774</v>
      </c>
      <c r="K68">
        <v>0.93870656370656369</v>
      </c>
      <c r="L68" t="s">
        <v>200</v>
      </c>
      <c r="M68">
        <v>1</v>
      </c>
      <c r="N68">
        <v>1</v>
      </c>
      <c r="O68">
        <v>1</v>
      </c>
      <c r="P68">
        <v>2</v>
      </c>
      <c r="Q68">
        <v>0.94943153472360731</v>
      </c>
    </row>
    <row r="69" spans="1:17" x14ac:dyDescent="0.25">
      <c r="A69" t="s">
        <v>94</v>
      </c>
      <c r="B69" t="s">
        <v>200</v>
      </c>
      <c r="C69">
        <v>0.98653662070214476</v>
      </c>
      <c r="D69">
        <v>0.98166000470256287</v>
      </c>
      <c r="E69">
        <v>0.92641985845869346</v>
      </c>
      <c r="F69">
        <v>0.90797213901620411</v>
      </c>
      <c r="G69" t="s">
        <v>200</v>
      </c>
      <c r="H69">
        <v>0.98872791397254589</v>
      </c>
      <c r="I69">
        <v>0.99277978339350181</v>
      </c>
      <c r="J69">
        <v>0.94100905562742565</v>
      </c>
      <c r="K69">
        <v>0.88991769547325106</v>
      </c>
      <c r="L69" t="s">
        <v>200</v>
      </c>
      <c r="M69">
        <v>1</v>
      </c>
      <c r="N69">
        <v>1</v>
      </c>
      <c r="O69">
        <v>1</v>
      </c>
      <c r="P69">
        <v>4</v>
      </c>
      <c r="Q69">
        <v>0.95064715571990122</v>
      </c>
    </row>
    <row r="70" spans="1:17" x14ac:dyDescent="0.25">
      <c r="A70" t="s">
        <v>109</v>
      </c>
      <c r="B70" t="s">
        <v>200</v>
      </c>
      <c r="C70">
        <v>0.99257343744039572</v>
      </c>
      <c r="D70">
        <v>0.99491097409339713</v>
      </c>
      <c r="E70">
        <v>0.88037041337668365</v>
      </c>
      <c r="F70">
        <v>0.9374954764558574</v>
      </c>
      <c r="G70" t="s">
        <v>200</v>
      </c>
      <c r="H70">
        <v>0.99893217025116554</v>
      </c>
      <c r="I70">
        <v>0.99898223538119912</v>
      </c>
      <c r="J70">
        <v>0.94279363593823118</v>
      </c>
      <c r="K70">
        <v>0.90746211760221096</v>
      </c>
      <c r="L70" t="s">
        <v>200</v>
      </c>
      <c r="M70">
        <v>1</v>
      </c>
      <c r="N70">
        <v>1</v>
      </c>
      <c r="O70">
        <v>1</v>
      </c>
      <c r="P70">
        <v>2</v>
      </c>
      <c r="Q70">
        <v>0.95133757534158336</v>
      </c>
    </row>
    <row r="71" spans="1:17" x14ac:dyDescent="0.25">
      <c r="A71" t="s">
        <v>79</v>
      </c>
      <c r="B71" t="s">
        <v>200</v>
      </c>
      <c r="C71">
        <v>0.99799025218573512</v>
      </c>
      <c r="D71">
        <v>0.99838119098092115</v>
      </c>
      <c r="E71">
        <v>0.89079908199457547</v>
      </c>
      <c r="F71">
        <v>0.92186207415206434</v>
      </c>
      <c r="G71" t="s">
        <v>200</v>
      </c>
      <c r="H71">
        <v>0.99886772615148212</v>
      </c>
      <c r="I71">
        <v>0.9993606138107417</v>
      </c>
      <c r="J71">
        <v>0.98617855808741128</v>
      </c>
      <c r="K71">
        <v>0.87413148049171563</v>
      </c>
      <c r="L71" t="s">
        <v>200</v>
      </c>
      <c r="M71">
        <v>1</v>
      </c>
      <c r="N71">
        <v>1</v>
      </c>
      <c r="O71">
        <v>1</v>
      </c>
      <c r="P71">
        <v>4</v>
      </c>
      <c r="Q71">
        <v>0.95225814982832402</v>
      </c>
    </row>
    <row r="72" spans="1:17" x14ac:dyDescent="0.25">
      <c r="A72" t="s">
        <v>67</v>
      </c>
      <c r="B72" t="s">
        <v>200</v>
      </c>
      <c r="C72">
        <v>0.98473793650274311</v>
      </c>
      <c r="D72">
        <v>0.98244661310674186</v>
      </c>
      <c r="E72">
        <v>0.89746697795152219</v>
      </c>
      <c r="F72">
        <v>0.94632422424932017</v>
      </c>
      <c r="G72" t="s">
        <v>200</v>
      </c>
      <c r="H72">
        <v>0.9882540400806813</v>
      </c>
      <c r="I72">
        <v>0.99542560199077801</v>
      </c>
      <c r="J72">
        <v>0.92430824159476344</v>
      </c>
      <c r="K72">
        <v>0.96420856734571803</v>
      </c>
      <c r="L72" t="s">
        <v>200</v>
      </c>
      <c r="M72">
        <v>1</v>
      </c>
      <c r="N72">
        <v>1</v>
      </c>
      <c r="O72">
        <v>2</v>
      </c>
      <c r="P72">
        <v>2</v>
      </c>
      <c r="Q72">
        <v>0.95274393795258183</v>
      </c>
    </row>
    <row r="73" spans="1:17" x14ac:dyDescent="0.25">
      <c r="A73" t="s">
        <v>97</v>
      </c>
      <c r="B73" t="s">
        <v>200</v>
      </c>
      <c r="C73">
        <v>0.98691042047531996</v>
      </c>
      <c r="D73">
        <v>0.99809722705650306</v>
      </c>
      <c r="E73">
        <v>0.92148632527725005</v>
      </c>
      <c r="F73">
        <v>0.9136034596220739</v>
      </c>
      <c r="G73" t="s">
        <v>200</v>
      </c>
      <c r="H73">
        <v>0.9973862421290246</v>
      </c>
      <c r="I73">
        <v>0.99887023886378312</v>
      </c>
      <c r="J73">
        <v>0.92626308602639962</v>
      </c>
      <c r="K73">
        <v>0.93538751768589845</v>
      </c>
      <c r="L73" t="s">
        <v>200</v>
      </c>
      <c r="M73">
        <v>1</v>
      </c>
      <c r="N73">
        <v>1</v>
      </c>
      <c r="O73">
        <v>2</v>
      </c>
      <c r="P73">
        <v>1</v>
      </c>
      <c r="Q73">
        <v>0.95502435810778674</v>
      </c>
    </row>
    <row r="74" spans="1:17" x14ac:dyDescent="0.25">
      <c r="A74" t="s">
        <v>110</v>
      </c>
      <c r="B74" t="s">
        <v>200</v>
      </c>
      <c r="C74">
        <v>0.98438148043046425</v>
      </c>
      <c r="D74">
        <v>0.9567182112631909</v>
      </c>
      <c r="E74">
        <v>0.99195378584691563</v>
      </c>
      <c r="F74">
        <v>0.88881030142913608</v>
      </c>
      <c r="G74" t="s">
        <v>200</v>
      </c>
      <c r="H74">
        <v>0.99727933460297713</v>
      </c>
      <c r="I74">
        <v>0.99707067008421824</v>
      </c>
      <c r="J74">
        <v>0.99192207175100977</v>
      </c>
      <c r="K74">
        <v>0.7869952087611225</v>
      </c>
      <c r="L74" t="s">
        <v>200</v>
      </c>
      <c r="M74">
        <v>1</v>
      </c>
      <c r="N74">
        <v>1</v>
      </c>
      <c r="O74">
        <v>1</v>
      </c>
      <c r="P74">
        <v>4</v>
      </c>
      <c r="Q74">
        <v>0.95546594474242674</v>
      </c>
    </row>
    <row r="75" spans="1:17" x14ac:dyDescent="0.25">
      <c r="A75" t="s">
        <v>99</v>
      </c>
      <c r="B75" t="s">
        <v>200</v>
      </c>
      <c r="C75">
        <v>0.97535269492867771</v>
      </c>
      <c r="D75">
        <v>0.95107672779796038</v>
      </c>
      <c r="E75">
        <v>0.97180578911588966</v>
      </c>
      <c r="F75">
        <v>0.92480479054553133</v>
      </c>
      <c r="G75" t="s">
        <v>200</v>
      </c>
      <c r="H75">
        <v>0.99766914451304023</v>
      </c>
      <c r="I75">
        <v>0.99945588806840269</v>
      </c>
      <c r="J75">
        <v>0.96411206297754115</v>
      </c>
      <c r="K75">
        <v>0.87845606350944427</v>
      </c>
      <c r="L75" t="s">
        <v>200</v>
      </c>
      <c r="M75">
        <v>1</v>
      </c>
      <c r="N75">
        <v>1</v>
      </c>
      <c r="O75">
        <v>1</v>
      </c>
      <c r="P75">
        <v>4</v>
      </c>
      <c r="Q75">
        <v>0.95576000059701471</v>
      </c>
    </row>
    <row r="76" spans="1:17" x14ac:dyDescent="0.25">
      <c r="A76" t="s">
        <v>75</v>
      </c>
      <c r="B76" t="s">
        <v>200</v>
      </c>
      <c r="C76">
        <v>0.99380489833867536</v>
      </c>
      <c r="D76">
        <v>0.99015321053537619</v>
      </c>
      <c r="E76">
        <v>0.94165698049851476</v>
      </c>
      <c r="F76">
        <v>0.89933306732029872</v>
      </c>
      <c r="G76" t="s">
        <v>200</v>
      </c>
      <c r="H76">
        <v>0.99940160071807915</v>
      </c>
      <c r="I76">
        <v>1</v>
      </c>
      <c r="J76">
        <v>0.965981213505966</v>
      </c>
      <c r="K76">
        <v>1.0031616982836495</v>
      </c>
      <c r="L76" t="s">
        <v>200</v>
      </c>
      <c r="M76">
        <v>1</v>
      </c>
      <c r="N76">
        <v>1</v>
      </c>
      <c r="O76">
        <v>2</v>
      </c>
      <c r="P76">
        <v>1</v>
      </c>
      <c r="Q76">
        <v>0.95623703917321623</v>
      </c>
    </row>
    <row r="77" spans="1:17" x14ac:dyDescent="0.25">
      <c r="A77" t="s">
        <v>123</v>
      </c>
      <c r="B77" t="s">
        <v>200</v>
      </c>
      <c r="C77">
        <v>0.98502707722295268</v>
      </c>
      <c r="D77">
        <v>0.97282583334629569</v>
      </c>
      <c r="E77">
        <v>0.93708569543177656</v>
      </c>
      <c r="F77">
        <v>0.93010468436079097</v>
      </c>
      <c r="G77" t="s">
        <v>200</v>
      </c>
      <c r="H77">
        <v>0.99501549238852216</v>
      </c>
      <c r="I77">
        <v>0.97000223863890755</v>
      </c>
      <c r="J77">
        <v>0.97380317607511302</v>
      </c>
      <c r="K77">
        <v>0.94385872430152873</v>
      </c>
      <c r="L77" t="s">
        <v>200</v>
      </c>
      <c r="M77">
        <v>1</v>
      </c>
      <c r="N77">
        <v>2</v>
      </c>
      <c r="O77">
        <v>1</v>
      </c>
      <c r="P77">
        <v>1</v>
      </c>
      <c r="Q77">
        <v>0.95626082259045408</v>
      </c>
    </row>
    <row r="78" spans="1:17" x14ac:dyDescent="0.25">
      <c r="A78" t="s">
        <v>76</v>
      </c>
      <c r="B78" t="s">
        <v>200</v>
      </c>
      <c r="C78">
        <v>0.98161720788615148</v>
      </c>
      <c r="D78">
        <v>0.99624713173639856</v>
      </c>
      <c r="E78">
        <v>0.93278847589192415</v>
      </c>
      <c r="F78">
        <v>0.91780544403108766</v>
      </c>
      <c r="G78" t="s">
        <v>200</v>
      </c>
      <c r="H78">
        <v>0.99553374609442391</v>
      </c>
      <c r="I78">
        <v>0.9976801988400994</v>
      </c>
      <c r="J78">
        <v>0.94190751445086707</v>
      </c>
      <c r="K78">
        <v>0.92641669016069916</v>
      </c>
      <c r="L78" t="s">
        <v>200</v>
      </c>
      <c r="M78">
        <v>1</v>
      </c>
      <c r="N78">
        <v>1</v>
      </c>
      <c r="O78">
        <v>1</v>
      </c>
      <c r="P78">
        <v>2</v>
      </c>
      <c r="Q78">
        <v>0.95711456488639035</v>
      </c>
    </row>
    <row r="79" spans="1:17" x14ac:dyDescent="0.25">
      <c r="A79" t="s">
        <v>41</v>
      </c>
      <c r="B79" t="s">
        <v>200</v>
      </c>
      <c r="C79">
        <v>0.99671909081309018</v>
      </c>
      <c r="D79">
        <v>0.99755001010305111</v>
      </c>
      <c r="E79">
        <v>0.91507647075453025</v>
      </c>
      <c r="F79">
        <v>0.92267131014862414</v>
      </c>
      <c r="G79" t="s">
        <v>200</v>
      </c>
      <c r="H79">
        <v>0.99641877121994327</v>
      </c>
      <c r="I79">
        <v>0.99754385964912284</v>
      </c>
      <c r="J79">
        <v>0.97910182303245885</v>
      </c>
      <c r="K79">
        <v>0.94774079433992608</v>
      </c>
      <c r="L79" t="s">
        <v>200</v>
      </c>
      <c r="M79">
        <v>2</v>
      </c>
      <c r="N79">
        <v>1</v>
      </c>
      <c r="O79">
        <v>2</v>
      </c>
      <c r="P79">
        <v>1</v>
      </c>
      <c r="Q79">
        <v>0.95800422045482403</v>
      </c>
    </row>
    <row r="80" spans="1:17" x14ac:dyDescent="0.25">
      <c r="A80" t="s">
        <v>54</v>
      </c>
      <c r="B80" t="s">
        <v>200</v>
      </c>
      <c r="C80">
        <v>0.93823602260701178</v>
      </c>
      <c r="D80">
        <v>0.95312032325650997</v>
      </c>
      <c r="E80">
        <v>0.99149313247673898</v>
      </c>
      <c r="F80">
        <v>0.94924856667910573</v>
      </c>
      <c r="G80" t="s">
        <v>200</v>
      </c>
      <c r="H80">
        <v>0.99947419156953821</v>
      </c>
      <c r="I80">
        <v>0.99945370117454246</v>
      </c>
      <c r="J80">
        <v>0.99297999297999295</v>
      </c>
      <c r="K80">
        <v>0.94150621496466003</v>
      </c>
      <c r="L80" t="s">
        <v>200</v>
      </c>
      <c r="M80">
        <v>1</v>
      </c>
      <c r="N80">
        <v>1</v>
      </c>
      <c r="O80">
        <v>1</v>
      </c>
      <c r="P80">
        <v>1</v>
      </c>
      <c r="Q80">
        <v>0.95802451125484167</v>
      </c>
    </row>
    <row r="81" spans="1:17" x14ac:dyDescent="0.25">
      <c r="A81" t="s">
        <v>51</v>
      </c>
      <c r="B81" t="s">
        <v>200</v>
      </c>
      <c r="C81">
        <v>0.99270342457596839</v>
      </c>
      <c r="D81">
        <v>0.99715870033454013</v>
      </c>
      <c r="E81">
        <v>0.91408591408591411</v>
      </c>
      <c r="F81">
        <v>0.92988947506624331</v>
      </c>
      <c r="G81" t="s">
        <v>200</v>
      </c>
      <c r="H81">
        <v>0.9924917353056536</v>
      </c>
      <c r="I81">
        <v>0.99679762555651019</v>
      </c>
      <c r="J81">
        <v>0.99196090794451452</v>
      </c>
      <c r="K81">
        <v>0.89737181554337309</v>
      </c>
      <c r="L81" t="s">
        <v>200</v>
      </c>
      <c r="M81">
        <v>1</v>
      </c>
      <c r="N81">
        <v>1</v>
      </c>
      <c r="O81">
        <v>1</v>
      </c>
      <c r="P81">
        <v>4</v>
      </c>
      <c r="Q81">
        <v>0.95845937851566654</v>
      </c>
    </row>
    <row r="82" spans="1:17" x14ac:dyDescent="0.25">
      <c r="A82" t="s">
        <v>118</v>
      </c>
      <c r="B82" t="s">
        <v>200</v>
      </c>
      <c r="C82">
        <v>0.99268195337444776</v>
      </c>
      <c r="D82">
        <v>0.99470061940812116</v>
      </c>
      <c r="E82">
        <v>0.9461500815660685</v>
      </c>
      <c r="F82">
        <v>0.9036111978353627</v>
      </c>
      <c r="G82" t="s">
        <v>200</v>
      </c>
      <c r="H82">
        <v>0.99407025575401475</v>
      </c>
      <c r="I82">
        <v>0.99642260911042213</v>
      </c>
      <c r="J82">
        <v>0.93871449925261585</v>
      </c>
      <c r="K82">
        <v>0.90961677512653649</v>
      </c>
      <c r="L82" t="s">
        <v>200</v>
      </c>
      <c r="M82">
        <v>2</v>
      </c>
      <c r="N82">
        <v>2</v>
      </c>
      <c r="O82">
        <v>2</v>
      </c>
      <c r="P82">
        <v>2</v>
      </c>
      <c r="Q82">
        <v>0.959285963046</v>
      </c>
    </row>
    <row r="83" spans="1:17" x14ac:dyDescent="0.25">
      <c r="A83" t="s">
        <v>49</v>
      </c>
      <c r="B83" t="s">
        <v>200</v>
      </c>
      <c r="C83">
        <v>0.99685931536080308</v>
      </c>
      <c r="D83">
        <v>0.99816118191617531</v>
      </c>
      <c r="E83">
        <v>0.88826025459688829</v>
      </c>
      <c r="F83">
        <v>0.95827067669172927</v>
      </c>
      <c r="G83" t="s">
        <v>200</v>
      </c>
      <c r="H83">
        <v>0.99183841230696967</v>
      </c>
      <c r="I83">
        <v>0.99813606710158431</v>
      </c>
      <c r="J83">
        <v>0.94190268700072621</v>
      </c>
      <c r="K83">
        <v>0.89496498832944316</v>
      </c>
      <c r="L83" t="s">
        <v>200</v>
      </c>
      <c r="M83">
        <v>2</v>
      </c>
      <c r="N83">
        <v>1</v>
      </c>
      <c r="O83">
        <v>1</v>
      </c>
      <c r="P83">
        <v>4</v>
      </c>
      <c r="Q83">
        <v>0.96038785714139907</v>
      </c>
    </row>
    <row r="84" spans="1:17" x14ac:dyDescent="0.25">
      <c r="A84" t="s">
        <v>96</v>
      </c>
      <c r="B84" t="s">
        <v>200</v>
      </c>
      <c r="C84">
        <v>0.99427612047434888</v>
      </c>
      <c r="D84">
        <v>0.98009301827335948</v>
      </c>
      <c r="E84">
        <v>0.94526832501398061</v>
      </c>
      <c r="F84">
        <v>0.92407102671686669</v>
      </c>
      <c r="G84" t="s">
        <v>200</v>
      </c>
      <c r="H84">
        <v>0.99725187093608147</v>
      </c>
      <c r="I84">
        <v>0.99913113634953143</v>
      </c>
      <c r="J84">
        <v>0.96726216668133413</v>
      </c>
      <c r="K84">
        <v>0.90703129822828565</v>
      </c>
      <c r="L84" t="s">
        <v>200</v>
      </c>
      <c r="M84">
        <v>1</v>
      </c>
      <c r="N84">
        <v>1</v>
      </c>
      <c r="O84">
        <v>1</v>
      </c>
      <c r="P84">
        <v>1</v>
      </c>
      <c r="Q84">
        <v>0.96092712261963886</v>
      </c>
    </row>
    <row r="85" spans="1:17" x14ac:dyDescent="0.25">
      <c r="A85" t="s">
        <v>46</v>
      </c>
      <c r="B85" t="s">
        <v>200</v>
      </c>
      <c r="C85">
        <v>0.94731160419322114</v>
      </c>
      <c r="D85">
        <v>0.99072885465696758</v>
      </c>
      <c r="E85">
        <v>0.93518116034672327</v>
      </c>
      <c r="F85">
        <v>0.97205641773886897</v>
      </c>
      <c r="G85" t="s">
        <v>200</v>
      </c>
      <c r="H85">
        <v>0.98693229133303439</v>
      </c>
      <c r="I85">
        <v>0.99072188277890927</v>
      </c>
      <c r="J85">
        <v>0.95468440927890663</v>
      </c>
      <c r="L85" t="s">
        <v>200</v>
      </c>
      <c r="M85">
        <v>1</v>
      </c>
      <c r="N85">
        <v>1</v>
      </c>
      <c r="O85">
        <v>1</v>
      </c>
      <c r="P85">
        <v>4</v>
      </c>
      <c r="Q85">
        <v>0.96131950923394527</v>
      </c>
    </row>
    <row r="86" spans="1:17" x14ac:dyDescent="0.25">
      <c r="A86" t="s">
        <v>134</v>
      </c>
      <c r="B86" t="s">
        <v>200</v>
      </c>
      <c r="C86">
        <v>0.99421698997505681</v>
      </c>
      <c r="D86">
        <v>0.97827626918536015</v>
      </c>
      <c r="E86">
        <v>0.93607888631090486</v>
      </c>
      <c r="F86">
        <v>0.94193926395967142</v>
      </c>
      <c r="G86" t="s">
        <v>200</v>
      </c>
      <c r="H86">
        <v>0.98551126820219959</v>
      </c>
      <c r="I86">
        <v>0.95425649530127143</v>
      </c>
      <c r="J86">
        <v>0.9360730593607306</v>
      </c>
      <c r="K86">
        <v>0.93303979396859682</v>
      </c>
      <c r="L86" t="s">
        <v>200</v>
      </c>
      <c r="M86">
        <v>2</v>
      </c>
      <c r="N86">
        <v>2</v>
      </c>
      <c r="O86">
        <v>1</v>
      </c>
      <c r="P86">
        <v>2</v>
      </c>
      <c r="Q86">
        <v>0.96262785235774828</v>
      </c>
    </row>
    <row r="87" spans="1:17" x14ac:dyDescent="0.25">
      <c r="A87" t="s">
        <v>124</v>
      </c>
      <c r="B87" t="s">
        <v>200</v>
      </c>
      <c r="C87">
        <v>0.99704145256125987</v>
      </c>
      <c r="D87">
        <v>0.99875151601626599</v>
      </c>
      <c r="E87">
        <v>0.92343478589230421</v>
      </c>
      <c r="F87">
        <v>0.93154739742348647</v>
      </c>
      <c r="G87" t="s">
        <v>200</v>
      </c>
      <c r="H87">
        <v>0.99580596660599829</v>
      </c>
      <c r="I87">
        <v>0.99718670076726346</v>
      </c>
      <c r="J87">
        <v>0.9837940896091516</v>
      </c>
      <c r="K87">
        <v>0.94126245847176082</v>
      </c>
      <c r="L87" t="s">
        <v>200</v>
      </c>
      <c r="M87">
        <v>2</v>
      </c>
      <c r="N87">
        <v>2</v>
      </c>
      <c r="O87">
        <v>1</v>
      </c>
      <c r="P87">
        <v>1</v>
      </c>
      <c r="Q87">
        <v>0.96269378797332905</v>
      </c>
    </row>
    <row r="88" spans="1:17" x14ac:dyDescent="0.25">
      <c r="A88" t="s">
        <v>133</v>
      </c>
      <c r="B88" t="s">
        <v>200</v>
      </c>
      <c r="C88">
        <v>0.98534647027109334</v>
      </c>
      <c r="D88">
        <v>0.98588575238941989</v>
      </c>
      <c r="E88">
        <v>0.95391525493252394</v>
      </c>
      <c r="F88">
        <v>0.92822740579847007</v>
      </c>
      <c r="G88" t="s">
        <v>200</v>
      </c>
      <c r="H88">
        <v>0.98418853600589862</v>
      </c>
      <c r="I88">
        <v>0.9875908328675238</v>
      </c>
      <c r="J88">
        <v>0.94026585899377424</v>
      </c>
      <c r="K88">
        <v>0.9186416333230738</v>
      </c>
      <c r="L88" t="s">
        <v>200</v>
      </c>
      <c r="M88">
        <v>1</v>
      </c>
      <c r="N88">
        <v>1</v>
      </c>
      <c r="O88">
        <v>2</v>
      </c>
      <c r="P88">
        <v>2</v>
      </c>
      <c r="Q88">
        <v>0.96334372084787678</v>
      </c>
    </row>
    <row r="89" spans="1:17" x14ac:dyDescent="0.25">
      <c r="A89" t="s">
        <v>35</v>
      </c>
      <c r="B89" t="s">
        <v>200</v>
      </c>
      <c r="C89">
        <v>0.95843991399896322</v>
      </c>
      <c r="D89">
        <v>0.98810694115152564</v>
      </c>
      <c r="E89">
        <v>0.99590293098014493</v>
      </c>
      <c r="F89">
        <v>0.91253872954244497</v>
      </c>
      <c r="G89" t="s">
        <v>200</v>
      </c>
      <c r="H89">
        <v>0.99294636296840555</v>
      </c>
      <c r="I89">
        <v>0.98819124423963134</v>
      </c>
      <c r="J89">
        <v>0.99529411764705877</v>
      </c>
      <c r="K89">
        <v>0.8842699512445471</v>
      </c>
      <c r="L89" t="s">
        <v>200</v>
      </c>
      <c r="M89">
        <v>1</v>
      </c>
      <c r="N89">
        <v>2</v>
      </c>
      <c r="O89">
        <v>1</v>
      </c>
      <c r="P89">
        <v>4</v>
      </c>
      <c r="Q89">
        <v>0.96374712891826975</v>
      </c>
    </row>
    <row r="90" spans="1:17" x14ac:dyDescent="0.25">
      <c r="A90" t="s">
        <v>82</v>
      </c>
      <c r="B90" t="s">
        <v>200</v>
      </c>
      <c r="C90">
        <v>0.98158060057796204</v>
      </c>
      <c r="D90">
        <v>0.99072282799859301</v>
      </c>
      <c r="E90">
        <v>0.91310612705174787</v>
      </c>
      <c r="F90">
        <v>0.97128937483729405</v>
      </c>
      <c r="G90" t="s">
        <v>200</v>
      </c>
      <c r="H90">
        <v>0.97126902254998082</v>
      </c>
      <c r="I90">
        <v>0.99067870667055058</v>
      </c>
      <c r="J90">
        <v>0.93108048021342815</v>
      </c>
      <c r="K90">
        <v>0.95754835468475252</v>
      </c>
      <c r="L90" t="s">
        <v>200</v>
      </c>
      <c r="M90">
        <v>2</v>
      </c>
      <c r="N90">
        <v>1</v>
      </c>
      <c r="O90">
        <v>2</v>
      </c>
      <c r="P90">
        <v>2</v>
      </c>
      <c r="Q90">
        <v>0.9641747326163993</v>
      </c>
    </row>
    <row r="91" spans="1:17" x14ac:dyDescent="0.25">
      <c r="A91" t="s">
        <v>85</v>
      </c>
      <c r="B91" t="s">
        <v>200</v>
      </c>
      <c r="C91">
        <v>0.99868860181928376</v>
      </c>
      <c r="D91">
        <v>0.99889761342977601</v>
      </c>
      <c r="E91">
        <v>0.92513335026670052</v>
      </c>
      <c r="F91">
        <v>0.93527393207904386</v>
      </c>
      <c r="G91" t="s">
        <v>200</v>
      </c>
      <c r="H91">
        <v>0.99927031684073564</v>
      </c>
      <c r="I91">
        <v>0.99954331941544883</v>
      </c>
      <c r="J91">
        <v>0.91617167238350206</v>
      </c>
      <c r="K91">
        <v>0.90593642282650322</v>
      </c>
      <c r="L91" t="s">
        <v>200</v>
      </c>
      <c r="M91">
        <v>1</v>
      </c>
      <c r="N91">
        <v>2</v>
      </c>
      <c r="O91">
        <v>2</v>
      </c>
      <c r="P91">
        <v>2</v>
      </c>
      <c r="Q91">
        <v>0.96449837439870101</v>
      </c>
    </row>
    <row r="92" spans="1:17" x14ac:dyDescent="0.25">
      <c r="A92" t="s">
        <v>64</v>
      </c>
      <c r="B92" t="s">
        <v>200</v>
      </c>
      <c r="C92">
        <v>0.97320403450187454</v>
      </c>
      <c r="D92">
        <v>0.99580032276995301</v>
      </c>
      <c r="E92">
        <v>0.99802617025983087</v>
      </c>
      <c r="F92">
        <v>0.89329559589695517</v>
      </c>
      <c r="G92" t="s">
        <v>200</v>
      </c>
      <c r="H92">
        <v>0.97500234940325159</v>
      </c>
      <c r="I92">
        <v>0.99374217772215268</v>
      </c>
      <c r="J92">
        <v>0.9988658916926566</v>
      </c>
      <c r="K92">
        <v>0.79279491405698144</v>
      </c>
      <c r="L92" t="s">
        <v>200</v>
      </c>
      <c r="M92">
        <v>2</v>
      </c>
      <c r="N92">
        <v>2</v>
      </c>
      <c r="O92">
        <v>1</v>
      </c>
      <c r="P92">
        <v>4</v>
      </c>
      <c r="Q92">
        <v>0.96508153085715342</v>
      </c>
    </row>
    <row r="93" spans="1:17" x14ac:dyDescent="0.25">
      <c r="A93" t="s">
        <v>93</v>
      </c>
      <c r="B93" t="s">
        <v>200</v>
      </c>
      <c r="C93">
        <v>0.99094646137623676</v>
      </c>
      <c r="D93">
        <v>0.99745992088278157</v>
      </c>
      <c r="E93">
        <v>0.9673595014629327</v>
      </c>
      <c r="F93">
        <v>0.90590642620750461</v>
      </c>
      <c r="G93" t="s">
        <v>200</v>
      </c>
      <c r="H93">
        <v>0.9838915428973094</v>
      </c>
      <c r="I93">
        <v>0.99872204472843451</v>
      </c>
      <c r="J93">
        <v>0.97747851002865327</v>
      </c>
      <c r="K93">
        <v>0.89589490968801311</v>
      </c>
      <c r="L93" t="s">
        <v>200</v>
      </c>
      <c r="M93">
        <v>2</v>
      </c>
      <c r="N93">
        <v>1</v>
      </c>
      <c r="O93">
        <v>1</v>
      </c>
      <c r="P93">
        <v>4</v>
      </c>
      <c r="Q93">
        <v>0.96541807748236397</v>
      </c>
    </row>
    <row r="94" spans="1:17" x14ac:dyDescent="0.25">
      <c r="A94" t="s">
        <v>116</v>
      </c>
      <c r="B94" t="s">
        <v>200</v>
      </c>
      <c r="C94">
        <v>0.95989703018336447</v>
      </c>
      <c r="D94">
        <v>0.97223059911540011</v>
      </c>
      <c r="E94">
        <v>0.99985737377579154</v>
      </c>
      <c r="F94">
        <v>0.93580487341471519</v>
      </c>
      <c r="G94" t="s">
        <v>200</v>
      </c>
      <c r="H94">
        <v>0.98767748262482413</v>
      </c>
      <c r="I94">
        <v>0.9440705128205128</v>
      </c>
      <c r="J94">
        <v>0.99965120334844781</v>
      </c>
      <c r="L94" t="s">
        <v>200</v>
      </c>
      <c r="M94">
        <v>2</v>
      </c>
      <c r="N94">
        <v>1</v>
      </c>
      <c r="O94">
        <v>2</v>
      </c>
      <c r="P94">
        <v>4</v>
      </c>
      <c r="Q94">
        <v>0.96694746912231788</v>
      </c>
    </row>
    <row r="95" spans="1:17" x14ac:dyDescent="0.25">
      <c r="A95" t="s">
        <v>60</v>
      </c>
      <c r="B95" t="s">
        <v>200</v>
      </c>
      <c r="C95">
        <v>0.99835210303041833</v>
      </c>
      <c r="D95">
        <v>0.99572918854582371</v>
      </c>
      <c r="E95">
        <v>0.90311649352813728</v>
      </c>
      <c r="F95">
        <v>0.97408642798902967</v>
      </c>
      <c r="G95" t="s">
        <v>200</v>
      </c>
      <c r="H95">
        <v>0.99822593930178039</v>
      </c>
      <c r="I95">
        <v>0.99842919284678588</v>
      </c>
      <c r="J95">
        <v>0.90541543026706228</v>
      </c>
      <c r="K95">
        <v>0.97288474701205707</v>
      </c>
      <c r="L95" t="s">
        <v>200</v>
      </c>
      <c r="M95">
        <v>2</v>
      </c>
      <c r="N95">
        <v>1</v>
      </c>
      <c r="O95">
        <v>2</v>
      </c>
      <c r="P95">
        <v>2</v>
      </c>
      <c r="Q95">
        <v>0.96782105327335222</v>
      </c>
    </row>
    <row r="96" spans="1:17" x14ac:dyDescent="0.25">
      <c r="A96" t="s">
        <v>73</v>
      </c>
      <c r="B96" t="s">
        <v>200</v>
      </c>
      <c r="C96">
        <v>0.99316660538185986</v>
      </c>
      <c r="D96">
        <v>0.99923488905891356</v>
      </c>
      <c r="E96">
        <v>0.98683474173149033</v>
      </c>
      <c r="F96">
        <v>0.89566514566514566</v>
      </c>
      <c r="G96" t="s">
        <v>200</v>
      </c>
      <c r="H96">
        <v>0.9993806964243982</v>
      </c>
      <c r="I96">
        <v>0.99928353931578007</v>
      </c>
      <c r="J96">
        <v>0.99585791389481615</v>
      </c>
      <c r="K96">
        <v>0.79512153807063601</v>
      </c>
      <c r="L96" t="s">
        <v>200</v>
      </c>
      <c r="M96">
        <v>1</v>
      </c>
      <c r="N96">
        <v>2</v>
      </c>
      <c r="O96">
        <v>1</v>
      </c>
      <c r="P96">
        <v>4</v>
      </c>
      <c r="Q96">
        <v>0.96872534545935229</v>
      </c>
    </row>
    <row r="97" spans="1:17" x14ac:dyDescent="0.25">
      <c r="A97" t="s">
        <v>102</v>
      </c>
      <c r="B97" t="s">
        <v>200</v>
      </c>
      <c r="C97">
        <v>0.991747871789737</v>
      </c>
      <c r="D97">
        <v>0.98028427326914258</v>
      </c>
      <c r="E97">
        <v>1</v>
      </c>
      <c r="F97">
        <v>0.90679875845061442</v>
      </c>
      <c r="G97" t="s">
        <v>200</v>
      </c>
      <c r="H97">
        <v>0.99749949484744393</v>
      </c>
      <c r="I97">
        <v>0.99488893257322586</v>
      </c>
      <c r="J97">
        <v>1</v>
      </c>
      <c r="K97">
        <v>0.91963394342762061</v>
      </c>
      <c r="L97" t="s">
        <v>200</v>
      </c>
      <c r="M97">
        <v>1</v>
      </c>
      <c r="N97">
        <v>1</v>
      </c>
      <c r="O97">
        <v>1</v>
      </c>
      <c r="P97">
        <v>2</v>
      </c>
      <c r="Q97">
        <v>0.96970772587737353</v>
      </c>
    </row>
    <row r="98" spans="1:17" x14ac:dyDescent="0.25">
      <c r="A98" t="s">
        <v>88</v>
      </c>
      <c r="B98" t="s">
        <v>200</v>
      </c>
      <c r="C98">
        <v>0.99981072414714522</v>
      </c>
      <c r="D98">
        <v>0.997697248818325</v>
      </c>
      <c r="E98">
        <v>0.98822261565699332</v>
      </c>
      <c r="F98">
        <v>0.90095223228223542</v>
      </c>
      <c r="G98" t="s">
        <v>200</v>
      </c>
      <c r="H98">
        <v>0.99996263916909511</v>
      </c>
      <c r="I98">
        <v>0.99943883277216605</v>
      </c>
      <c r="J98">
        <v>0.983366935483871</v>
      </c>
      <c r="K98">
        <v>0.89105995717344755</v>
      </c>
      <c r="L98" t="s">
        <v>200</v>
      </c>
      <c r="M98">
        <v>1</v>
      </c>
      <c r="N98">
        <v>1</v>
      </c>
      <c r="O98">
        <v>2</v>
      </c>
      <c r="P98">
        <v>4</v>
      </c>
      <c r="Q98">
        <v>0.97167070522617471</v>
      </c>
    </row>
    <row r="99" spans="1:17" x14ac:dyDescent="0.25">
      <c r="A99" t="s">
        <v>43</v>
      </c>
      <c r="B99" t="s">
        <v>200</v>
      </c>
      <c r="C99">
        <v>0.99884057649421398</v>
      </c>
      <c r="D99">
        <v>0.99982355224617991</v>
      </c>
      <c r="E99">
        <v>0.98902681862475106</v>
      </c>
      <c r="F99">
        <v>0.89980991237424079</v>
      </c>
      <c r="G99" t="s">
        <v>200</v>
      </c>
      <c r="H99">
        <v>0.99785629804849196</v>
      </c>
      <c r="I99">
        <v>1</v>
      </c>
      <c r="J99">
        <v>0.98961284230406044</v>
      </c>
      <c r="K99">
        <v>0.90287990196078427</v>
      </c>
      <c r="L99" t="s">
        <v>200</v>
      </c>
      <c r="M99">
        <v>2</v>
      </c>
      <c r="N99">
        <v>1</v>
      </c>
      <c r="O99">
        <v>2</v>
      </c>
      <c r="P99">
        <v>2</v>
      </c>
      <c r="Q99">
        <v>0.97187521493484652</v>
      </c>
    </row>
    <row r="100" spans="1:17" x14ac:dyDescent="0.25">
      <c r="A100" t="s">
        <v>45</v>
      </c>
      <c r="B100" t="s">
        <v>200</v>
      </c>
      <c r="C100">
        <v>0.99920035485524994</v>
      </c>
      <c r="D100">
        <v>0.99939236322096103</v>
      </c>
      <c r="E100">
        <v>0.95522330546029055</v>
      </c>
      <c r="F100">
        <v>0.93518738388903633</v>
      </c>
      <c r="G100" t="s">
        <v>200</v>
      </c>
      <c r="H100">
        <v>0.99956910997271031</v>
      </c>
      <c r="I100">
        <v>0.99991539047296729</v>
      </c>
      <c r="J100">
        <v>0.96400058063579619</v>
      </c>
      <c r="K100">
        <v>0.91796673210042357</v>
      </c>
      <c r="L100" t="s">
        <v>200</v>
      </c>
      <c r="M100">
        <v>1</v>
      </c>
      <c r="N100">
        <v>1</v>
      </c>
      <c r="O100">
        <v>2</v>
      </c>
      <c r="P100">
        <v>2</v>
      </c>
      <c r="Q100">
        <v>0.97225085185638438</v>
      </c>
    </row>
    <row r="101" spans="1:17" x14ac:dyDescent="0.25">
      <c r="A101" t="s">
        <v>83</v>
      </c>
      <c r="B101" t="s">
        <v>200</v>
      </c>
      <c r="C101">
        <v>0.99909892944236123</v>
      </c>
      <c r="D101">
        <v>0.99772130669388948</v>
      </c>
      <c r="E101">
        <v>0.95643101367658889</v>
      </c>
      <c r="F101">
        <v>0.94729976934701343</v>
      </c>
      <c r="G101" t="s">
        <v>200</v>
      </c>
      <c r="H101">
        <v>0.99940592000712891</v>
      </c>
      <c r="I101">
        <v>0.99987418218419732</v>
      </c>
      <c r="J101">
        <v>0.95971640348050269</v>
      </c>
      <c r="K101">
        <v>0.94061325899890924</v>
      </c>
      <c r="L101" t="s">
        <v>200</v>
      </c>
      <c r="M101">
        <v>2</v>
      </c>
      <c r="N101">
        <v>1</v>
      </c>
      <c r="O101">
        <v>2</v>
      </c>
      <c r="P101">
        <v>2</v>
      </c>
      <c r="Q101">
        <v>0.97513775478996323</v>
      </c>
    </row>
    <row r="102" spans="1:17" x14ac:dyDescent="0.25">
      <c r="A102" t="s">
        <v>72</v>
      </c>
      <c r="B102" t="s">
        <v>200</v>
      </c>
      <c r="C102">
        <v>0.9957765438330809</v>
      </c>
      <c r="D102">
        <v>0.99168728352300839</v>
      </c>
      <c r="E102">
        <v>0.9976441024030156</v>
      </c>
      <c r="F102">
        <v>0.92159181960395287</v>
      </c>
      <c r="G102" t="s">
        <v>200</v>
      </c>
      <c r="H102">
        <v>0.99686339248865041</v>
      </c>
      <c r="I102">
        <v>0.99227166276346601</v>
      </c>
      <c r="J102">
        <v>0.99609047752024571</v>
      </c>
      <c r="K102">
        <v>0.91818181818181821</v>
      </c>
      <c r="L102" t="s">
        <v>200</v>
      </c>
      <c r="M102">
        <v>2</v>
      </c>
      <c r="N102">
        <v>2</v>
      </c>
      <c r="O102">
        <v>2</v>
      </c>
      <c r="P102">
        <v>2</v>
      </c>
      <c r="Q102">
        <v>0.97667493734076449</v>
      </c>
    </row>
    <row r="103" spans="1:17" x14ac:dyDescent="0.25">
      <c r="A103" t="s">
        <v>104</v>
      </c>
      <c r="B103" t="s">
        <v>200</v>
      </c>
      <c r="C103">
        <v>0.99655328585388547</v>
      </c>
      <c r="D103">
        <v>0.99903019380851288</v>
      </c>
      <c r="E103">
        <v>0.99770286098223127</v>
      </c>
      <c r="F103">
        <v>0.9438937383899656</v>
      </c>
      <c r="G103" t="s">
        <v>200</v>
      </c>
      <c r="H103">
        <v>0.99867712637710437</v>
      </c>
      <c r="I103">
        <v>0.99954165817885521</v>
      </c>
      <c r="J103">
        <v>0.99723289777094548</v>
      </c>
      <c r="K103">
        <v>0.9730032419687592</v>
      </c>
      <c r="L103" t="s">
        <v>200</v>
      </c>
      <c r="M103">
        <v>2</v>
      </c>
      <c r="N103">
        <v>1</v>
      </c>
      <c r="O103">
        <v>1</v>
      </c>
      <c r="P103">
        <v>1</v>
      </c>
      <c r="Q103">
        <v>0.98429501975864886</v>
      </c>
    </row>
    <row r="104" spans="1:17" x14ac:dyDescent="0.25">
      <c r="A104" t="s">
        <v>52</v>
      </c>
      <c r="B104" t="s">
        <v>200</v>
      </c>
      <c r="C104">
        <v>0.99015384615384616</v>
      </c>
      <c r="D104">
        <v>0.99313501144164762</v>
      </c>
      <c r="E104">
        <v>1</v>
      </c>
      <c r="F104">
        <v>0.9613502321495796</v>
      </c>
      <c r="G104" t="s">
        <v>200</v>
      </c>
      <c r="H104">
        <v>0.96618556701030933</v>
      </c>
      <c r="I104">
        <v>0.97101449275362317</v>
      </c>
      <c r="J104">
        <v>1</v>
      </c>
      <c r="K104">
        <v>0.95262160454832601</v>
      </c>
      <c r="L104" t="s">
        <v>200</v>
      </c>
      <c r="M104">
        <v>2</v>
      </c>
      <c r="N104">
        <v>2</v>
      </c>
      <c r="O104">
        <v>1</v>
      </c>
      <c r="P104">
        <v>1</v>
      </c>
      <c r="Q104">
        <v>0.98615977243626829</v>
      </c>
    </row>
  </sheetData>
  <autoFilter ref="A1:Q1" xr:uid="{8B31179F-244A-42F4-8962-07274131DAF7}">
    <sortState xmlns:xlrd2="http://schemas.microsoft.com/office/spreadsheetml/2017/richdata2" ref="A2:Q104">
      <sortCondition ref="Q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332A3-E9CA-48DA-9633-1780F135F6D4}">
  <dimension ref="C1:AE156"/>
  <sheetViews>
    <sheetView showGridLines="0" view="pageBreakPreview" topLeftCell="B1" zoomScale="85" zoomScaleNormal="98" zoomScaleSheetLayoutView="85" workbookViewId="0">
      <selection activeCell="V12" sqref="V12"/>
    </sheetView>
  </sheetViews>
  <sheetFormatPr baseColWidth="10" defaultColWidth="11.42578125" defaultRowHeight="15" x14ac:dyDescent="0.25"/>
  <cols>
    <col min="3" max="3" width="11.42578125" style="9"/>
    <col min="4" max="4" width="5.140625" bestFit="1" customWidth="1"/>
    <col min="5" max="5" width="5.140625" customWidth="1"/>
    <col min="6" max="6" width="10" customWidth="1"/>
    <col min="18" max="18" width="13" customWidth="1"/>
    <col min="20" max="28" width="11.42578125" style="9"/>
  </cols>
  <sheetData>
    <row r="1" spans="3:31" x14ac:dyDescent="0.25">
      <c r="C1" s="34"/>
      <c r="T1" s="34"/>
      <c r="U1" s="34"/>
    </row>
    <row r="2" spans="3:31" x14ac:dyDescent="0.25">
      <c r="C2" s="34"/>
      <c r="T2" s="34"/>
      <c r="U2" s="34"/>
    </row>
    <row r="3" spans="3:31" x14ac:dyDescent="0.25">
      <c r="C3" s="34"/>
      <c r="T3" s="34"/>
      <c r="U3" s="34"/>
    </row>
    <row r="4" spans="3:31" ht="15.75" x14ac:dyDescent="0.25">
      <c r="C4" s="34"/>
      <c r="G4" s="23"/>
      <c r="H4" s="23"/>
      <c r="I4" s="23"/>
      <c r="J4" s="47" t="s">
        <v>274</v>
      </c>
      <c r="K4" s="23"/>
      <c r="L4" s="23"/>
      <c r="M4" s="23"/>
      <c r="N4" s="23"/>
      <c r="O4" s="23"/>
      <c r="P4" s="23"/>
      <c r="Q4" s="23"/>
      <c r="T4" s="34"/>
      <c r="U4" s="34"/>
    </row>
    <row r="5" spans="3:31" ht="15.75" x14ac:dyDescent="0.25">
      <c r="C5" s="34"/>
      <c r="G5" s="23"/>
      <c r="H5" s="23"/>
      <c r="I5" s="23"/>
      <c r="J5" s="47" t="s">
        <v>275</v>
      </c>
      <c r="K5" s="23"/>
      <c r="L5" s="23"/>
      <c r="M5" s="23"/>
      <c r="N5" s="23"/>
      <c r="O5" s="23"/>
      <c r="P5" s="23"/>
      <c r="Q5" s="23"/>
      <c r="T5" s="34"/>
      <c r="U5" s="34"/>
    </row>
    <row r="6" spans="3:31" x14ac:dyDescent="0.25">
      <c r="C6" s="34"/>
      <c r="T6"/>
      <c r="U6" s="34"/>
      <c r="AC6" s="9"/>
    </row>
    <row r="7" spans="3:31" x14ac:dyDescent="0.25">
      <c r="C7" s="34"/>
      <c r="F7" s="54" t="s">
        <v>268</v>
      </c>
      <c r="G7" s="55"/>
      <c r="H7" s="56"/>
      <c r="I7" s="45"/>
      <c r="L7" s="46"/>
      <c r="M7" t="s">
        <v>267</v>
      </c>
      <c r="P7" s="5"/>
      <c r="Q7" t="s">
        <v>266</v>
      </c>
      <c r="T7"/>
      <c r="U7" s="34"/>
      <c r="AC7" s="9"/>
      <c r="AD7" s="9"/>
    </row>
    <row r="8" spans="3:31" x14ac:dyDescent="0.25">
      <c r="C8" s="34"/>
      <c r="F8" s="57" t="s">
        <v>270</v>
      </c>
      <c r="G8" s="57"/>
      <c r="H8" s="58">
        <v>0.85</v>
      </c>
      <c r="I8" s="45"/>
      <c r="M8" t="s">
        <v>265</v>
      </c>
      <c r="Q8" t="s">
        <v>264</v>
      </c>
      <c r="T8"/>
      <c r="U8" s="34"/>
      <c r="AC8" s="9"/>
      <c r="AD8" s="9"/>
    </row>
    <row r="9" spans="3:31" x14ac:dyDescent="0.25">
      <c r="C9" s="34"/>
      <c r="F9" s="57" t="s">
        <v>271</v>
      </c>
      <c r="G9" s="57"/>
      <c r="H9" s="58">
        <v>0.9</v>
      </c>
      <c r="P9" s="44"/>
      <c r="Q9" t="s">
        <v>263</v>
      </c>
      <c r="T9"/>
      <c r="U9" s="34"/>
      <c r="V9"/>
      <c r="AC9" s="9"/>
      <c r="AD9" s="9"/>
      <c r="AE9" s="9"/>
    </row>
    <row r="10" spans="3:31" x14ac:dyDescent="0.25">
      <c r="C10" s="34"/>
      <c r="F10" s="54" t="s">
        <v>272</v>
      </c>
      <c r="G10" s="56"/>
      <c r="H10" s="58">
        <v>0.85</v>
      </c>
      <c r="L10" s="60"/>
      <c r="M10" t="s">
        <v>262</v>
      </c>
      <c r="Q10" t="s">
        <v>261</v>
      </c>
      <c r="T10"/>
      <c r="U10" s="34"/>
      <c r="V10"/>
      <c r="AC10" s="9"/>
      <c r="AD10" s="9"/>
      <c r="AE10" s="9"/>
    </row>
    <row r="11" spans="3:31" x14ac:dyDescent="0.25">
      <c r="C11" s="34"/>
      <c r="F11" s="57" t="s">
        <v>247</v>
      </c>
      <c r="G11" s="57"/>
      <c r="H11" s="58">
        <v>0.9</v>
      </c>
      <c r="M11" t="s">
        <v>260</v>
      </c>
      <c r="P11" s="43"/>
      <c r="Q11" t="s">
        <v>259</v>
      </c>
      <c r="T11"/>
      <c r="U11" s="34"/>
      <c r="V11"/>
      <c r="AC11" s="9"/>
      <c r="AD11" s="9"/>
      <c r="AE11" s="9"/>
    </row>
    <row r="12" spans="3:31" ht="18.75" x14ac:dyDescent="0.3">
      <c r="C12" s="34"/>
      <c r="G12" s="25"/>
      <c r="Q12" t="s">
        <v>258</v>
      </c>
      <c r="T12"/>
      <c r="U12" s="34"/>
      <c r="V12"/>
      <c r="AC12" s="9"/>
      <c r="AD12" s="9"/>
      <c r="AE12" s="9"/>
    </row>
    <row r="13" spans="3:31" ht="18.75" x14ac:dyDescent="0.3">
      <c r="C13" s="34"/>
      <c r="G13" s="25"/>
      <c r="P13" s="42"/>
      <c r="Q13" s="41" t="s">
        <v>257</v>
      </c>
      <c r="T13"/>
      <c r="U13" s="34"/>
      <c r="V13"/>
      <c r="AC13" s="9"/>
      <c r="AD13" s="9"/>
      <c r="AE13" s="9"/>
    </row>
    <row r="14" spans="3:31" ht="18.75" x14ac:dyDescent="0.3">
      <c r="C14" s="34"/>
      <c r="G14" s="25"/>
      <c r="P14" s="34"/>
      <c r="T14"/>
      <c r="U14" s="34"/>
      <c r="V14"/>
      <c r="AC14" s="9"/>
      <c r="AD14" s="9"/>
      <c r="AE14" s="9"/>
    </row>
    <row r="15" spans="3:31" x14ac:dyDescent="0.25">
      <c r="C15" s="34"/>
      <c r="I15" s="51"/>
      <c r="J15" s="59" t="s">
        <v>273</v>
      </c>
      <c r="K15" s="48"/>
      <c r="L15" s="35"/>
      <c r="M15" s="49"/>
      <c r="N15" s="49"/>
      <c r="P15" s="53" t="s">
        <v>256</v>
      </c>
      <c r="Q15" s="53"/>
      <c r="R15" s="53"/>
      <c r="S15" s="53"/>
      <c r="T15" s="34"/>
      <c r="U15" s="34"/>
    </row>
    <row r="16" spans="3:31" ht="51" x14ac:dyDescent="0.25">
      <c r="C16" s="34"/>
      <c r="F16" s="40" t="s">
        <v>255</v>
      </c>
      <c r="G16" s="40" t="s">
        <v>254</v>
      </c>
      <c r="I16" s="50" t="s">
        <v>253</v>
      </c>
      <c r="J16" s="39" t="s">
        <v>252</v>
      </c>
      <c r="K16" s="37" t="s">
        <v>251</v>
      </c>
      <c r="L16" s="37" t="s">
        <v>247</v>
      </c>
      <c r="M16" s="49"/>
      <c r="N16" s="52"/>
      <c r="O16" s="52"/>
      <c r="P16" s="38" t="s">
        <v>250</v>
      </c>
      <c r="Q16" s="38" t="s">
        <v>249</v>
      </c>
      <c r="R16" s="38" t="s">
        <v>248</v>
      </c>
      <c r="S16" s="38" t="s">
        <v>247</v>
      </c>
      <c r="T16" s="34"/>
      <c r="V16" t="s">
        <v>195</v>
      </c>
      <c r="W16" t="s">
        <v>196</v>
      </c>
      <c r="X16" t="s">
        <v>197</v>
      </c>
      <c r="Y16" t="s">
        <v>198</v>
      </c>
      <c r="Z16" t="s">
        <v>199</v>
      </c>
      <c r="AA16"/>
      <c r="AB16"/>
    </row>
    <row r="17" spans="3:28" x14ac:dyDescent="0.25">
      <c r="C17" s="34"/>
      <c r="F17" s="35">
        <v>103</v>
      </c>
      <c r="G17" s="35" t="s">
        <v>63</v>
      </c>
      <c r="I17" s="6">
        <v>0.73449245279216457</v>
      </c>
      <c r="J17" s="6">
        <v>0.71773020162128454</v>
      </c>
      <c r="K17" s="6">
        <v>0.64834757586327196</v>
      </c>
      <c r="L17" s="6">
        <v>0.88218284145741444</v>
      </c>
      <c r="N17" s="49"/>
      <c r="O17" s="49"/>
      <c r="P17" s="6">
        <v>0.82509925558312702</v>
      </c>
      <c r="Q17" s="6">
        <v>0.67559079846117609</v>
      </c>
      <c r="R17" s="6">
        <v>0.45687952600394999</v>
      </c>
      <c r="S17" s="6">
        <v>0.90546083835405722</v>
      </c>
      <c r="T17" s="34"/>
      <c r="V17">
        <v>3</v>
      </c>
      <c r="W17">
        <v>4</v>
      </c>
      <c r="X17">
        <v>4</v>
      </c>
      <c r="Y17">
        <v>2</v>
      </c>
      <c r="Z17">
        <v>0.74568826793353371</v>
      </c>
      <c r="AA17"/>
      <c r="AB17"/>
    </row>
    <row r="18" spans="3:28" x14ac:dyDescent="0.25">
      <c r="C18" s="34"/>
      <c r="F18" s="35">
        <v>102</v>
      </c>
      <c r="G18" s="35" t="s">
        <v>115</v>
      </c>
      <c r="I18" s="6">
        <v>0.79809555323943238</v>
      </c>
      <c r="J18" s="6">
        <v>0.85296789714294019</v>
      </c>
      <c r="K18" s="6">
        <v>0.71927024928836369</v>
      </c>
      <c r="L18" s="6">
        <v>0.89171053090249941</v>
      </c>
      <c r="P18" s="6">
        <v>0.8650535931855875</v>
      </c>
      <c r="Q18" s="6">
        <v>0.86267881638252009</v>
      </c>
      <c r="R18" s="6">
        <v>0.90394088669950734</v>
      </c>
      <c r="S18" s="6">
        <v>0.89889410504426726</v>
      </c>
      <c r="T18" s="34"/>
      <c r="V18">
        <v>1</v>
      </c>
      <c r="W18">
        <v>4</v>
      </c>
      <c r="X18">
        <v>2</v>
      </c>
      <c r="Y18">
        <v>4</v>
      </c>
      <c r="Z18">
        <v>0.81551105764330889</v>
      </c>
      <c r="AA18"/>
      <c r="AB18"/>
    </row>
    <row r="19" spans="3:28" x14ac:dyDescent="0.25">
      <c r="C19" s="34"/>
      <c r="F19" s="35">
        <v>101</v>
      </c>
      <c r="G19" s="35" t="s">
        <v>132</v>
      </c>
      <c r="I19" s="6">
        <v>0.71941933716789919</v>
      </c>
      <c r="J19" s="6">
        <v>0.90436415635107181</v>
      </c>
      <c r="K19" s="6">
        <v>0.78753235711628822</v>
      </c>
      <c r="L19" s="6">
        <v>0.92625983636458387</v>
      </c>
      <c r="P19" s="6">
        <v>0.87594945069461261</v>
      </c>
      <c r="Q19" s="6">
        <v>0.8784217843616664</v>
      </c>
      <c r="R19" s="6">
        <v>0.9524051060951898</v>
      </c>
      <c r="S19" s="6">
        <v>0.92370827796451183</v>
      </c>
      <c r="T19" s="34"/>
      <c r="V19">
        <v>1</v>
      </c>
      <c r="W19">
        <v>4</v>
      </c>
      <c r="X19">
        <v>1</v>
      </c>
      <c r="Y19">
        <v>1</v>
      </c>
      <c r="Z19">
        <v>0.83439392174996074</v>
      </c>
      <c r="AA19"/>
      <c r="AB19"/>
    </row>
    <row r="20" spans="3:28" x14ac:dyDescent="0.25">
      <c r="C20" s="34"/>
      <c r="F20" s="35">
        <v>100</v>
      </c>
      <c r="G20" s="35" t="s">
        <v>135</v>
      </c>
      <c r="I20" s="6">
        <v>0.84659498742011841</v>
      </c>
      <c r="J20" s="6">
        <v>0.96757993987428259</v>
      </c>
      <c r="K20" s="6">
        <v>0.63024738507583666</v>
      </c>
      <c r="L20" s="6">
        <v>0.9190850243654084</v>
      </c>
      <c r="P20" s="6">
        <v>0.98211485400083376</v>
      </c>
      <c r="Q20" s="6">
        <v>0.98085485307212827</v>
      </c>
      <c r="R20" s="6">
        <v>0.73437705565057232</v>
      </c>
      <c r="S20" s="6">
        <v>0.90066815144766144</v>
      </c>
      <c r="T20" s="34"/>
      <c r="V20">
        <v>1</v>
      </c>
      <c r="W20">
        <v>1</v>
      </c>
      <c r="X20">
        <v>3</v>
      </c>
      <c r="Y20">
        <v>2</v>
      </c>
      <c r="Z20">
        <v>0.84087683418391146</v>
      </c>
      <c r="AA20"/>
      <c r="AB20"/>
    </row>
    <row r="21" spans="3:28" x14ac:dyDescent="0.25">
      <c r="C21" s="34"/>
      <c r="F21" s="35">
        <v>99</v>
      </c>
      <c r="G21" s="35" t="s">
        <v>47</v>
      </c>
      <c r="I21" s="6">
        <v>0.66843455621613246</v>
      </c>
      <c r="J21" s="6">
        <v>0.88868979791807723</v>
      </c>
      <c r="K21" s="6">
        <v>0.95497513117960986</v>
      </c>
      <c r="L21" s="6">
        <v>0.85369222389375943</v>
      </c>
      <c r="P21" s="6">
        <v>0.70606953121156968</v>
      </c>
      <c r="Q21" s="6">
        <v>0.87860671203544705</v>
      </c>
      <c r="R21" s="6">
        <v>0.96100252931708441</v>
      </c>
      <c r="S21" s="6">
        <v>0.83931837279422672</v>
      </c>
      <c r="T21" s="34"/>
      <c r="V21">
        <v>3</v>
      </c>
      <c r="W21">
        <v>3</v>
      </c>
      <c r="X21">
        <v>2</v>
      </c>
      <c r="Y21">
        <v>4</v>
      </c>
      <c r="Z21">
        <v>0.84144792730189466</v>
      </c>
      <c r="AA21"/>
      <c r="AB21"/>
    </row>
    <row r="22" spans="3:28" x14ac:dyDescent="0.25">
      <c r="C22" s="34"/>
      <c r="F22" s="35">
        <v>98</v>
      </c>
      <c r="G22" s="35" t="s">
        <v>87</v>
      </c>
      <c r="I22" s="6">
        <v>0.78749913844881403</v>
      </c>
      <c r="J22" s="6">
        <v>0.85228129942815423</v>
      </c>
      <c r="K22" s="6">
        <v>0.86938809833032782</v>
      </c>
      <c r="L22" s="6">
        <v>0.91403732545649841</v>
      </c>
      <c r="P22" s="6">
        <v>0.82720067579318746</v>
      </c>
      <c r="Q22" s="6">
        <v>0.97685872879368307</v>
      </c>
      <c r="R22" s="6">
        <v>0.94444833135101103</v>
      </c>
      <c r="S22" s="6"/>
      <c r="T22" s="34"/>
      <c r="V22">
        <v>3</v>
      </c>
      <c r="W22">
        <v>1</v>
      </c>
      <c r="X22">
        <v>1</v>
      </c>
      <c r="Y22">
        <v>4</v>
      </c>
      <c r="Z22">
        <v>0.8558014654159487</v>
      </c>
      <c r="AA22"/>
      <c r="AB22"/>
    </row>
    <row r="23" spans="3:28" x14ac:dyDescent="0.25">
      <c r="C23" s="34"/>
      <c r="F23" s="35">
        <v>97</v>
      </c>
      <c r="G23" s="35" t="s">
        <v>58</v>
      </c>
      <c r="I23" s="6">
        <v>0.93457873079861065</v>
      </c>
      <c r="J23" s="6">
        <v>0.99696728572072002</v>
      </c>
      <c r="K23" s="6">
        <v>0.63362570009510721</v>
      </c>
      <c r="L23" s="6">
        <v>0.88817209487405191</v>
      </c>
      <c r="P23" s="6">
        <v>0.8293797576927201</v>
      </c>
      <c r="Q23" s="6">
        <v>0.99779943414020744</v>
      </c>
      <c r="R23" s="6">
        <v>0.53996737357259383</v>
      </c>
      <c r="S23" s="6">
        <v>0.79030501089324623</v>
      </c>
      <c r="T23" s="34"/>
      <c r="V23">
        <v>3</v>
      </c>
      <c r="W23">
        <v>1</v>
      </c>
      <c r="X23">
        <v>3</v>
      </c>
      <c r="Y23">
        <v>4</v>
      </c>
      <c r="Z23">
        <v>0.8633359528721225</v>
      </c>
      <c r="AA23"/>
      <c r="AB23"/>
    </row>
    <row r="24" spans="3:28" x14ac:dyDescent="0.25">
      <c r="C24" s="34"/>
      <c r="F24" s="35">
        <v>96</v>
      </c>
      <c r="G24" s="35" t="s">
        <v>120</v>
      </c>
      <c r="I24" s="6">
        <v>0.90686475877493267</v>
      </c>
      <c r="J24" s="6">
        <v>0.92164785040098873</v>
      </c>
      <c r="K24" s="6">
        <v>0.74266654049962155</v>
      </c>
      <c r="L24" s="6">
        <v>0.88790829591113207</v>
      </c>
      <c r="P24" s="6">
        <v>0.89903896635000635</v>
      </c>
      <c r="Q24" s="6">
        <v>0.923398928054458</v>
      </c>
      <c r="R24" s="6">
        <v>0.77682993946064938</v>
      </c>
      <c r="S24" s="6">
        <v>0.87067801188546734</v>
      </c>
      <c r="T24" s="34"/>
      <c r="V24">
        <v>1</v>
      </c>
      <c r="W24">
        <v>2</v>
      </c>
      <c r="X24">
        <v>4</v>
      </c>
      <c r="Y24">
        <v>4</v>
      </c>
      <c r="Z24">
        <v>0.86477186139666873</v>
      </c>
      <c r="AA24"/>
      <c r="AB24"/>
    </row>
    <row r="25" spans="3:28" x14ac:dyDescent="0.25">
      <c r="C25" s="34"/>
      <c r="F25" s="35">
        <v>95</v>
      </c>
      <c r="G25" s="35" t="s">
        <v>130</v>
      </c>
      <c r="I25" s="6">
        <v>0.7768875911607328</v>
      </c>
      <c r="J25" s="6">
        <v>0.87605781703625918</v>
      </c>
      <c r="K25" s="6">
        <v>0.88722656017166357</v>
      </c>
      <c r="L25" s="6">
        <v>0.92710559724878272</v>
      </c>
      <c r="P25" s="6">
        <v>0.8119940500883005</v>
      </c>
      <c r="Q25" s="6">
        <v>0.89158186864014799</v>
      </c>
      <c r="R25" s="6">
        <v>0.88317966871846354</v>
      </c>
      <c r="S25" s="6">
        <v>0.90732696206197505</v>
      </c>
      <c r="T25" s="34"/>
      <c r="V25">
        <v>3</v>
      </c>
      <c r="W25">
        <v>4</v>
      </c>
      <c r="X25">
        <v>2</v>
      </c>
      <c r="Y25">
        <v>2</v>
      </c>
      <c r="Z25">
        <v>0.8668193914043596</v>
      </c>
      <c r="AA25"/>
      <c r="AB25"/>
    </row>
    <row r="26" spans="3:28" x14ac:dyDescent="0.25">
      <c r="C26" s="34"/>
      <c r="F26" s="35">
        <v>94</v>
      </c>
      <c r="G26" s="35" t="s">
        <v>42</v>
      </c>
      <c r="I26" s="6">
        <v>0.82096832957750276</v>
      </c>
      <c r="J26" s="6">
        <v>0.89473579460642849</v>
      </c>
      <c r="K26" s="6">
        <v>0.87062081791901669</v>
      </c>
      <c r="L26" s="6">
        <v>0.89581632653061227</v>
      </c>
      <c r="P26" s="6">
        <v>0.91620048210306093</v>
      </c>
      <c r="Q26" s="6">
        <v>0.91300330033003296</v>
      </c>
      <c r="R26" s="6">
        <v>0.85326776649746194</v>
      </c>
      <c r="S26" s="6">
        <v>0.82453543825028774</v>
      </c>
      <c r="T26" s="34"/>
      <c r="V26">
        <v>1</v>
      </c>
      <c r="W26">
        <v>2</v>
      </c>
      <c r="X26">
        <v>1</v>
      </c>
      <c r="Y26">
        <v>1</v>
      </c>
      <c r="Z26">
        <v>0.87053531715839005</v>
      </c>
      <c r="AA26"/>
      <c r="AB26"/>
    </row>
    <row r="27" spans="3:28" x14ac:dyDescent="0.25">
      <c r="C27" s="34"/>
      <c r="F27" s="35">
        <v>93</v>
      </c>
      <c r="G27" s="35" t="s">
        <v>71</v>
      </c>
      <c r="I27" s="6">
        <v>0.80552692721230457</v>
      </c>
      <c r="J27" s="6">
        <v>0.89912306564792899</v>
      </c>
      <c r="K27" s="6">
        <v>0.83853430771678006</v>
      </c>
      <c r="L27" s="6">
        <v>0.94219503929510873</v>
      </c>
      <c r="P27" s="6">
        <v>0.81639162005350385</v>
      </c>
      <c r="Q27" s="6">
        <v>0.9208611094122684</v>
      </c>
      <c r="R27" s="6">
        <v>0.8393602225312935</v>
      </c>
      <c r="S27" s="6">
        <v>0.89251074892510751</v>
      </c>
      <c r="T27" s="34"/>
      <c r="V27">
        <v>3</v>
      </c>
      <c r="W27">
        <v>2</v>
      </c>
      <c r="X27">
        <v>4</v>
      </c>
      <c r="Y27">
        <v>4</v>
      </c>
      <c r="Z27">
        <v>0.87134483496803061</v>
      </c>
      <c r="AA27"/>
      <c r="AB27"/>
    </row>
    <row r="28" spans="3:28" x14ac:dyDescent="0.25">
      <c r="C28" s="34"/>
      <c r="F28" s="35">
        <v>92</v>
      </c>
      <c r="G28" s="35" t="s">
        <v>128</v>
      </c>
      <c r="I28" s="6">
        <v>0.73650558194570681</v>
      </c>
      <c r="J28" s="6">
        <v>0.88853323420893215</v>
      </c>
      <c r="K28" s="6">
        <v>0.96851311082399161</v>
      </c>
      <c r="L28" s="6">
        <v>0.91336097705948116</v>
      </c>
      <c r="P28" s="6">
        <v>0.73470495752790943</v>
      </c>
      <c r="Q28" s="6">
        <v>0.88103615317933814</v>
      </c>
      <c r="R28" s="6">
        <v>0.96892424860601112</v>
      </c>
      <c r="S28" s="6">
        <v>0.84900620130386384</v>
      </c>
      <c r="T28" s="34"/>
      <c r="V28">
        <v>3</v>
      </c>
      <c r="W28">
        <v>3</v>
      </c>
      <c r="X28">
        <v>2</v>
      </c>
      <c r="Y28">
        <v>4</v>
      </c>
      <c r="Z28">
        <v>0.87672822600952793</v>
      </c>
      <c r="AA28"/>
      <c r="AB28"/>
    </row>
    <row r="29" spans="3:28" x14ac:dyDescent="0.25">
      <c r="C29" s="34"/>
      <c r="F29" s="35">
        <v>91</v>
      </c>
      <c r="G29" s="35" t="s">
        <v>56</v>
      </c>
      <c r="I29" s="6">
        <v>0.78600510073626306</v>
      </c>
      <c r="J29" s="6">
        <v>0.90884906188742653</v>
      </c>
      <c r="K29" s="6">
        <v>0.99792707057382457</v>
      </c>
      <c r="L29" s="6">
        <v>0.82526159829613854</v>
      </c>
      <c r="P29" s="6">
        <v>0.87612074911135873</v>
      </c>
      <c r="Q29" s="6">
        <v>0.88325991189427311</v>
      </c>
      <c r="R29" s="6">
        <v>1</v>
      </c>
      <c r="S29" s="6">
        <v>0.77749295052550627</v>
      </c>
      <c r="T29" s="34"/>
      <c r="V29">
        <v>1</v>
      </c>
      <c r="W29">
        <v>3</v>
      </c>
      <c r="X29">
        <v>1</v>
      </c>
      <c r="Y29">
        <v>3</v>
      </c>
      <c r="Z29">
        <v>0.87951070787341312</v>
      </c>
      <c r="AA29"/>
      <c r="AB29"/>
    </row>
    <row r="30" spans="3:28" x14ac:dyDescent="0.25">
      <c r="C30" s="34"/>
      <c r="F30" s="35">
        <v>90</v>
      </c>
      <c r="G30" s="35" t="s">
        <v>114</v>
      </c>
      <c r="I30" s="6">
        <v>0.78062862438381508</v>
      </c>
      <c r="J30" s="6">
        <v>0.93961203116132697</v>
      </c>
      <c r="K30" s="6">
        <v>0.91286323593893248</v>
      </c>
      <c r="L30" s="6">
        <v>0.89369115575654234</v>
      </c>
      <c r="P30" s="6">
        <v>0.84455720362406972</v>
      </c>
      <c r="Q30" s="6">
        <v>0.96603876109400466</v>
      </c>
      <c r="R30" s="6">
        <v>0.9987974987974988</v>
      </c>
      <c r="S30" s="6">
        <v>0.93509894262322246</v>
      </c>
      <c r="T30" s="34"/>
      <c r="V30">
        <v>3</v>
      </c>
      <c r="W30">
        <v>1</v>
      </c>
      <c r="X30">
        <v>1</v>
      </c>
      <c r="Y30">
        <v>1</v>
      </c>
      <c r="Z30">
        <v>0.88169876181015427</v>
      </c>
      <c r="AA30"/>
      <c r="AB30"/>
    </row>
    <row r="31" spans="3:28" x14ac:dyDescent="0.25">
      <c r="C31" s="34"/>
      <c r="F31" s="35">
        <v>89</v>
      </c>
      <c r="G31" s="35" t="s">
        <v>61</v>
      </c>
      <c r="I31" s="6">
        <v>0.78676247700979485</v>
      </c>
      <c r="J31" s="6">
        <v>0.88446295011180509</v>
      </c>
      <c r="K31" s="6">
        <v>0.97741718774223552</v>
      </c>
      <c r="L31" s="6">
        <v>0.88425051465438576</v>
      </c>
      <c r="P31" s="6">
        <v>0.9261649753329414</v>
      </c>
      <c r="Q31" s="6">
        <v>0.89318813716404077</v>
      </c>
      <c r="R31" s="6">
        <v>0.98091106290672447</v>
      </c>
      <c r="S31" s="6">
        <v>0.90666555155975581</v>
      </c>
      <c r="T31" s="34"/>
      <c r="V31">
        <v>1</v>
      </c>
      <c r="W31">
        <v>4</v>
      </c>
      <c r="X31">
        <v>1</v>
      </c>
      <c r="Y31">
        <v>1</v>
      </c>
      <c r="Z31">
        <v>0.88322328237955539</v>
      </c>
      <c r="AA31"/>
      <c r="AB31"/>
    </row>
    <row r="32" spans="3:28" x14ac:dyDescent="0.25">
      <c r="C32" s="34"/>
      <c r="F32" s="35">
        <v>88</v>
      </c>
      <c r="G32" s="35" t="s">
        <v>62</v>
      </c>
      <c r="I32" s="6">
        <v>0.87331131958675257</v>
      </c>
      <c r="J32" s="6">
        <v>0.89952349760464434</v>
      </c>
      <c r="K32" s="6">
        <v>0.84678688524590162</v>
      </c>
      <c r="L32" s="6">
        <v>0.91449232460777263</v>
      </c>
      <c r="P32" s="6">
        <v>0.94518745889059419</v>
      </c>
      <c r="Q32" s="6">
        <v>0.96531180935908523</v>
      </c>
      <c r="R32" s="6">
        <v>0.95747450640052068</v>
      </c>
      <c r="S32" s="6">
        <v>0.94269629033879565</v>
      </c>
      <c r="T32" s="34"/>
      <c r="V32">
        <v>1</v>
      </c>
      <c r="W32">
        <v>1</v>
      </c>
      <c r="X32">
        <v>2</v>
      </c>
      <c r="Y32">
        <v>1</v>
      </c>
      <c r="Z32">
        <v>0.88352850676126782</v>
      </c>
      <c r="AA32"/>
      <c r="AB32"/>
    </row>
    <row r="33" spans="3:28" x14ac:dyDescent="0.25">
      <c r="C33" s="34"/>
      <c r="F33" s="35">
        <v>87</v>
      </c>
      <c r="G33" s="35" t="s">
        <v>136</v>
      </c>
      <c r="I33" s="6">
        <v>0.90190897686693139</v>
      </c>
      <c r="J33" s="6">
        <v>0.95145242650895812</v>
      </c>
      <c r="K33" s="6">
        <v>0.8855149343277432</v>
      </c>
      <c r="L33" s="6">
        <v>0.79877545997169408</v>
      </c>
      <c r="P33" s="6">
        <v>0.95525011986575037</v>
      </c>
      <c r="Q33" s="6">
        <v>0.97137590356454917</v>
      </c>
      <c r="R33" s="6">
        <v>0.90701748797502624</v>
      </c>
      <c r="S33" s="6">
        <v>0.89998312663460722</v>
      </c>
      <c r="T33" s="34"/>
      <c r="V33">
        <v>1</v>
      </c>
      <c r="W33">
        <v>1</v>
      </c>
      <c r="X33">
        <v>2</v>
      </c>
      <c r="Y33">
        <v>3</v>
      </c>
      <c r="Z33">
        <v>0.88441294941883175</v>
      </c>
      <c r="AA33"/>
      <c r="AB33"/>
    </row>
    <row r="34" spans="3:28" x14ac:dyDescent="0.25">
      <c r="C34" s="34"/>
      <c r="F34" s="35">
        <v>86</v>
      </c>
      <c r="G34" s="35" t="s">
        <v>57</v>
      </c>
      <c r="I34" s="6">
        <v>0.76063528692623339</v>
      </c>
      <c r="J34" s="6">
        <v>0.916954580592235</v>
      </c>
      <c r="K34" s="6">
        <v>0.97317320656630946</v>
      </c>
      <c r="L34" s="6">
        <v>0.90244624186230027</v>
      </c>
      <c r="P34" s="6">
        <v>0.98449524026677304</v>
      </c>
      <c r="Q34" s="6">
        <v>0.94701986754966883</v>
      </c>
      <c r="R34" s="6">
        <v>0.97088082901554407</v>
      </c>
      <c r="S34" s="6">
        <v>0.89795707800247626</v>
      </c>
      <c r="T34" s="34"/>
      <c r="V34">
        <v>1</v>
      </c>
      <c r="W34">
        <v>1</v>
      </c>
      <c r="X34">
        <v>2</v>
      </c>
      <c r="Y34">
        <v>3</v>
      </c>
      <c r="Z34">
        <v>0.88830232898676953</v>
      </c>
      <c r="AA34"/>
      <c r="AB34"/>
    </row>
    <row r="35" spans="3:28" x14ac:dyDescent="0.25">
      <c r="C35" s="34"/>
      <c r="F35" s="35">
        <v>85</v>
      </c>
      <c r="G35" s="35" t="s">
        <v>92</v>
      </c>
      <c r="I35" s="6">
        <v>0.82784297465474643</v>
      </c>
      <c r="J35" s="6">
        <v>0.9731952381478739</v>
      </c>
      <c r="K35" s="6">
        <v>0.87728307953378293</v>
      </c>
      <c r="L35" s="6">
        <v>0.87757635401872081</v>
      </c>
      <c r="P35" s="6">
        <v>0.80653424685384345</v>
      </c>
      <c r="Q35" s="6">
        <v>0.98622014364456323</v>
      </c>
      <c r="R35" s="6">
        <v>0.90333024976873266</v>
      </c>
      <c r="S35" s="6">
        <v>0.7488679652123913</v>
      </c>
      <c r="T35" s="34"/>
      <c r="V35">
        <v>3</v>
      </c>
      <c r="W35">
        <v>2</v>
      </c>
      <c r="X35">
        <v>1</v>
      </c>
      <c r="Y35">
        <v>4</v>
      </c>
      <c r="Z35">
        <v>0.8889744115887811</v>
      </c>
      <c r="AA35"/>
      <c r="AB35"/>
    </row>
    <row r="36" spans="3:28" x14ac:dyDescent="0.25">
      <c r="C36" s="34"/>
      <c r="F36" s="35">
        <v>84</v>
      </c>
      <c r="G36" s="35" t="s">
        <v>69</v>
      </c>
      <c r="I36" s="6">
        <v>0.87037866539528497</v>
      </c>
      <c r="J36" s="6">
        <v>0.92063852625859066</v>
      </c>
      <c r="K36" s="6">
        <v>0.86137219962729705</v>
      </c>
      <c r="L36" s="6">
        <v>0.90715461363559236</v>
      </c>
      <c r="P36" s="6">
        <v>0.98933533993357736</v>
      </c>
      <c r="Q36" s="6">
        <v>0.98690551968718743</v>
      </c>
      <c r="R36" s="6">
        <v>0.91595933215185155</v>
      </c>
      <c r="S36" s="6">
        <v>0.86466942148760328</v>
      </c>
      <c r="T36" s="34"/>
      <c r="V36">
        <v>1</v>
      </c>
      <c r="W36">
        <v>1</v>
      </c>
      <c r="X36">
        <v>2</v>
      </c>
      <c r="Y36">
        <v>3</v>
      </c>
      <c r="Z36">
        <v>0.88988600122919126</v>
      </c>
      <c r="AA36"/>
      <c r="AB36"/>
    </row>
    <row r="37" spans="3:28" x14ac:dyDescent="0.25">
      <c r="C37" s="34"/>
      <c r="F37" s="35">
        <v>83</v>
      </c>
      <c r="G37" s="35" t="s">
        <v>38</v>
      </c>
      <c r="I37" s="6">
        <v>0.770285701103819</v>
      </c>
      <c r="J37" s="6">
        <v>0.97725173210161664</v>
      </c>
      <c r="K37" s="6">
        <v>0.9236186803051899</v>
      </c>
      <c r="L37" s="6">
        <v>0.88883516938909413</v>
      </c>
      <c r="P37" s="6">
        <v>0.99794595581522727</v>
      </c>
      <c r="Q37" s="6">
        <v>0.97674418604651159</v>
      </c>
      <c r="R37" s="6">
        <v>0.93958908310334255</v>
      </c>
      <c r="S37" s="6">
        <v>0.78123217341699946</v>
      </c>
      <c r="T37" s="34"/>
      <c r="V37">
        <v>1</v>
      </c>
      <c r="W37">
        <v>2</v>
      </c>
      <c r="X37">
        <v>1</v>
      </c>
      <c r="Y37">
        <v>3</v>
      </c>
      <c r="Z37">
        <v>0.88999782072492994</v>
      </c>
      <c r="AA37"/>
      <c r="AB37"/>
    </row>
    <row r="38" spans="3:28" x14ac:dyDescent="0.25">
      <c r="C38" s="34"/>
      <c r="F38" s="35">
        <v>82</v>
      </c>
      <c r="G38" s="35" t="s">
        <v>105</v>
      </c>
      <c r="I38" s="6">
        <v>0.78708664516545945</v>
      </c>
      <c r="J38" s="6">
        <v>0.89026908886750078</v>
      </c>
      <c r="K38" s="6">
        <v>0.96390960947784121</v>
      </c>
      <c r="L38" s="6">
        <v>0.91933397615295975</v>
      </c>
      <c r="P38" s="6">
        <v>0.80662347012239022</v>
      </c>
      <c r="Q38" s="6">
        <v>0.90750216484295043</v>
      </c>
      <c r="R38" s="6">
        <v>0.97655726724715342</v>
      </c>
      <c r="S38" s="6">
        <v>0.88391471754496864</v>
      </c>
      <c r="T38" s="34"/>
      <c r="V38">
        <v>3</v>
      </c>
      <c r="W38">
        <v>1</v>
      </c>
      <c r="X38">
        <v>2</v>
      </c>
      <c r="Y38">
        <v>4</v>
      </c>
      <c r="Z38">
        <v>0.89014982991594027</v>
      </c>
      <c r="AA38"/>
      <c r="AB38"/>
    </row>
    <row r="39" spans="3:28" x14ac:dyDescent="0.25">
      <c r="C39" s="34"/>
      <c r="F39" s="35">
        <v>81</v>
      </c>
      <c r="G39" s="35" t="s">
        <v>95</v>
      </c>
      <c r="I39" s="6">
        <v>0.79587678676478502</v>
      </c>
      <c r="J39" s="6">
        <v>0.94966681644615125</v>
      </c>
      <c r="K39" s="6">
        <v>0.9208347733902551</v>
      </c>
      <c r="L39" s="6">
        <v>0.90558392967066792</v>
      </c>
      <c r="P39" s="6">
        <v>0.98244145529578941</v>
      </c>
      <c r="Q39" s="6">
        <v>0.99504058764357728</v>
      </c>
      <c r="R39" s="6">
        <v>0.96443467050883447</v>
      </c>
      <c r="S39" s="6">
        <v>0.87878586940304693</v>
      </c>
      <c r="T39" s="34"/>
      <c r="V39">
        <v>1</v>
      </c>
      <c r="W39">
        <v>1</v>
      </c>
      <c r="X39">
        <v>1</v>
      </c>
      <c r="Y39">
        <v>3</v>
      </c>
      <c r="Z39">
        <v>0.89299057656796488</v>
      </c>
      <c r="AA39"/>
      <c r="AB39"/>
    </row>
    <row r="40" spans="3:28" x14ac:dyDescent="0.25">
      <c r="C40" s="34"/>
      <c r="F40" s="35">
        <v>80</v>
      </c>
      <c r="G40" s="35" t="s">
        <v>86</v>
      </c>
      <c r="I40" s="6">
        <v>0.92034524186831568</v>
      </c>
      <c r="J40" s="6">
        <v>0.92587530795374851</v>
      </c>
      <c r="K40" s="6">
        <v>0.80070425755704944</v>
      </c>
      <c r="L40" s="6">
        <v>0.93467624070661504</v>
      </c>
      <c r="P40" s="6">
        <v>0.93424447736844729</v>
      </c>
      <c r="Q40" s="6">
        <v>0.99743562346404535</v>
      </c>
      <c r="R40" s="6">
        <v>0.94199178644763859</v>
      </c>
      <c r="S40" s="6"/>
      <c r="T40" s="34"/>
      <c r="V40">
        <v>1</v>
      </c>
      <c r="W40">
        <v>1</v>
      </c>
      <c r="X40">
        <v>1</v>
      </c>
      <c r="Y40">
        <v>3</v>
      </c>
      <c r="Z40">
        <v>0.89540026202143219</v>
      </c>
      <c r="AA40"/>
      <c r="AB40"/>
    </row>
    <row r="41" spans="3:28" x14ac:dyDescent="0.25">
      <c r="C41" s="34"/>
      <c r="F41" s="35">
        <v>79</v>
      </c>
      <c r="G41" s="35" t="s">
        <v>111</v>
      </c>
      <c r="I41" s="6">
        <v>0.83838149623757285</v>
      </c>
      <c r="J41" s="6">
        <v>0.97258543017250854</v>
      </c>
      <c r="K41" s="6">
        <v>0.87532871786615141</v>
      </c>
      <c r="L41" s="6">
        <v>0.9149865346822913</v>
      </c>
      <c r="P41" s="6">
        <v>0.99263349406480994</v>
      </c>
      <c r="Q41" s="6">
        <v>0.99359135461171144</v>
      </c>
      <c r="R41" s="6">
        <v>0.88848086586780051</v>
      </c>
      <c r="S41" s="6">
        <v>0.93102539319919164</v>
      </c>
      <c r="T41" s="34"/>
      <c r="V41">
        <v>1</v>
      </c>
      <c r="W41">
        <v>1</v>
      </c>
      <c r="X41">
        <v>2</v>
      </c>
      <c r="Y41">
        <v>2</v>
      </c>
      <c r="Z41">
        <v>0.90032054473963097</v>
      </c>
      <c r="AA41"/>
      <c r="AB41"/>
    </row>
    <row r="42" spans="3:28" x14ac:dyDescent="0.25">
      <c r="C42" s="34"/>
      <c r="F42" s="35">
        <v>78</v>
      </c>
      <c r="G42" s="35" t="s">
        <v>112</v>
      </c>
      <c r="I42" s="6">
        <v>0.81270907079945154</v>
      </c>
      <c r="J42" s="6">
        <v>0.95072266775406644</v>
      </c>
      <c r="K42" s="6">
        <v>0.94903773199486396</v>
      </c>
      <c r="L42" s="6">
        <v>0.90223353490810243</v>
      </c>
      <c r="P42" s="6">
        <v>0.85499866910205691</v>
      </c>
      <c r="Q42" s="6">
        <v>0.95237119504587575</v>
      </c>
      <c r="R42" s="6">
        <v>0.95871800132211815</v>
      </c>
      <c r="S42" s="6">
        <v>0.88140404718519227</v>
      </c>
      <c r="T42" s="34"/>
      <c r="V42">
        <v>1</v>
      </c>
      <c r="W42">
        <v>1</v>
      </c>
      <c r="X42">
        <v>1</v>
      </c>
      <c r="Y42">
        <v>4</v>
      </c>
      <c r="Z42">
        <v>0.90367575136412115</v>
      </c>
      <c r="AA42"/>
      <c r="AB42"/>
    </row>
    <row r="43" spans="3:28" x14ac:dyDescent="0.25">
      <c r="C43" s="34"/>
      <c r="F43" s="35">
        <v>77</v>
      </c>
      <c r="G43" s="35" t="s">
        <v>131</v>
      </c>
      <c r="I43" s="6">
        <v>0.87586434422335646</v>
      </c>
      <c r="J43" s="6">
        <v>0.97054703990846503</v>
      </c>
      <c r="K43" s="6">
        <v>0.93856787505606987</v>
      </c>
      <c r="L43" s="6">
        <v>0.84976188145569376</v>
      </c>
      <c r="P43" s="6">
        <v>0.8971746571882363</v>
      </c>
      <c r="Q43" s="6">
        <v>0.9735227863455207</v>
      </c>
      <c r="R43" s="6">
        <v>0.91735892294471499</v>
      </c>
      <c r="S43" s="6">
        <v>0.84675554346347437</v>
      </c>
      <c r="T43" s="34"/>
      <c r="V43">
        <v>1</v>
      </c>
      <c r="W43">
        <v>2</v>
      </c>
      <c r="X43">
        <v>2</v>
      </c>
      <c r="Y43">
        <v>3</v>
      </c>
      <c r="Z43">
        <v>0.90868528516089631</v>
      </c>
      <c r="AA43"/>
      <c r="AB43"/>
    </row>
    <row r="44" spans="3:28" x14ac:dyDescent="0.25">
      <c r="C44" s="34"/>
      <c r="F44" s="35">
        <v>76</v>
      </c>
      <c r="G44" s="35" t="s">
        <v>121</v>
      </c>
      <c r="I44" s="6">
        <v>0.85659172580466714</v>
      </c>
      <c r="J44" s="6">
        <v>0.9534115228064286</v>
      </c>
      <c r="K44" s="6">
        <v>0.95558981557117706</v>
      </c>
      <c r="L44" s="6">
        <v>0.8862227540577583</v>
      </c>
      <c r="P44" s="6">
        <v>0.97513278354434385</v>
      </c>
      <c r="Q44" s="6">
        <v>0.94436391247325191</v>
      </c>
      <c r="R44" s="6">
        <v>0.97651634133572662</v>
      </c>
      <c r="S44" s="6">
        <v>0.78203454508937542</v>
      </c>
      <c r="T44" s="34"/>
      <c r="V44">
        <v>1</v>
      </c>
      <c r="W44">
        <v>1</v>
      </c>
      <c r="X44">
        <v>1</v>
      </c>
      <c r="Y44">
        <v>3</v>
      </c>
      <c r="Z44">
        <v>0.91295395456000783</v>
      </c>
      <c r="AA44"/>
      <c r="AB44"/>
    </row>
    <row r="45" spans="3:28" x14ac:dyDescent="0.25">
      <c r="C45" s="34"/>
      <c r="F45" s="35">
        <v>75</v>
      </c>
      <c r="G45" s="35" t="s">
        <v>91</v>
      </c>
      <c r="I45" s="6">
        <v>0.89394217178139068</v>
      </c>
      <c r="J45" s="6">
        <v>0.99586492074431432</v>
      </c>
      <c r="K45" s="6">
        <v>0.86428661061613754</v>
      </c>
      <c r="L45" s="6">
        <v>0.90140023337222874</v>
      </c>
      <c r="P45" s="6">
        <v>0.95821504613200847</v>
      </c>
      <c r="Q45" s="6">
        <v>0.9979084967320262</v>
      </c>
      <c r="R45" s="6">
        <v>0.89254477301124535</v>
      </c>
      <c r="S45" s="6">
        <v>0.88871438187121377</v>
      </c>
      <c r="T45" s="34"/>
      <c r="V45">
        <v>1</v>
      </c>
      <c r="W45">
        <v>1</v>
      </c>
      <c r="X45">
        <v>1</v>
      </c>
      <c r="Y45">
        <v>3</v>
      </c>
      <c r="Z45">
        <v>0.91387348412851788</v>
      </c>
      <c r="AA45"/>
      <c r="AB45"/>
    </row>
    <row r="46" spans="3:28" x14ac:dyDescent="0.25">
      <c r="C46" s="34"/>
      <c r="F46" s="35">
        <v>74</v>
      </c>
      <c r="G46" s="35" t="s">
        <v>37</v>
      </c>
      <c r="I46" s="6">
        <v>0.8442028144307292</v>
      </c>
      <c r="J46" s="6">
        <v>0.92282361049951178</v>
      </c>
      <c r="K46" s="6">
        <v>0.99912748424624331</v>
      </c>
      <c r="L46" s="6">
        <v>0.89145837433576069</v>
      </c>
      <c r="P46" s="6">
        <v>0.84323636728818663</v>
      </c>
      <c r="Q46" s="6">
        <v>0.93628246753246758</v>
      </c>
      <c r="R46" s="6">
        <v>0.99935699588477367</v>
      </c>
      <c r="S46" s="6">
        <v>0.78689788053949905</v>
      </c>
      <c r="T46" s="34"/>
      <c r="V46">
        <v>4</v>
      </c>
      <c r="W46">
        <v>2</v>
      </c>
      <c r="X46">
        <v>2</v>
      </c>
      <c r="Y46">
        <v>4</v>
      </c>
      <c r="Z46">
        <v>0.91440307087806127</v>
      </c>
      <c r="AA46"/>
      <c r="AB46"/>
    </row>
    <row r="47" spans="3:28" x14ac:dyDescent="0.25">
      <c r="C47" s="34"/>
      <c r="F47" s="35">
        <v>73</v>
      </c>
      <c r="G47" s="35" t="s">
        <v>16</v>
      </c>
      <c r="I47" s="6">
        <v>0.88970316373896674</v>
      </c>
      <c r="J47" s="6">
        <v>0.95042381027065326</v>
      </c>
      <c r="K47" s="6">
        <v>0.91326401770898002</v>
      </c>
      <c r="L47" s="6">
        <v>0.90532287281146995</v>
      </c>
      <c r="P47" s="6">
        <v>0.9321576392668296</v>
      </c>
      <c r="Q47" s="6">
        <v>0.96065736908765587</v>
      </c>
      <c r="R47" s="6">
        <v>0.94343430947116091</v>
      </c>
      <c r="S47" s="6">
        <v>0.88080203451936467</v>
      </c>
      <c r="T47" s="34"/>
      <c r="V47">
        <v>1</v>
      </c>
      <c r="W47">
        <v>1</v>
      </c>
      <c r="X47">
        <v>1</v>
      </c>
      <c r="Y47">
        <v>3</v>
      </c>
      <c r="Z47">
        <v>0.91467846613251758</v>
      </c>
      <c r="AA47"/>
      <c r="AB47"/>
    </row>
    <row r="48" spans="3:28" x14ac:dyDescent="0.25">
      <c r="C48" s="34"/>
      <c r="F48" s="35">
        <v>72</v>
      </c>
      <c r="G48" s="35" t="s">
        <v>129</v>
      </c>
      <c r="I48" s="6">
        <v>0.88271650899763276</v>
      </c>
      <c r="J48" s="6">
        <v>0.93702523273831273</v>
      </c>
      <c r="K48" s="6">
        <v>0.93009853339187165</v>
      </c>
      <c r="L48" s="6">
        <v>0.92475864634941241</v>
      </c>
      <c r="P48" s="6">
        <v>0.93929724195244235</v>
      </c>
      <c r="Q48" s="6">
        <v>0.93064509506015691</v>
      </c>
      <c r="R48" s="6">
        <v>0.94875055636802952</v>
      </c>
      <c r="S48" s="6">
        <v>0.86714758040276529</v>
      </c>
      <c r="T48" s="34"/>
      <c r="V48">
        <v>1</v>
      </c>
      <c r="W48">
        <v>2</v>
      </c>
      <c r="X48">
        <v>1</v>
      </c>
      <c r="Y48">
        <v>3</v>
      </c>
      <c r="Z48">
        <v>0.91864973036930742</v>
      </c>
      <c r="AA48"/>
      <c r="AB48"/>
    </row>
    <row r="49" spans="3:28" x14ac:dyDescent="0.25">
      <c r="C49" s="34"/>
      <c r="F49" s="35">
        <v>71</v>
      </c>
      <c r="G49" s="35" t="s">
        <v>122</v>
      </c>
      <c r="I49" s="6">
        <v>0.87793384629027371</v>
      </c>
      <c r="J49" s="6">
        <v>0.97766745468873129</v>
      </c>
      <c r="K49" s="6">
        <v>0.92668771385900905</v>
      </c>
      <c r="L49" s="6">
        <v>0.89482917361335756</v>
      </c>
      <c r="P49" s="6">
        <v>0.93195039586821415</v>
      </c>
      <c r="Q49" s="6">
        <v>0.99424533064109033</v>
      </c>
      <c r="R49" s="6">
        <v>0.93246968026460864</v>
      </c>
      <c r="S49" s="6">
        <v>0.79363265306122444</v>
      </c>
      <c r="T49" s="34"/>
      <c r="V49">
        <v>2</v>
      </c>
      <c r="W49">
        <v>1</v>
      </c>
      <c r="X49">
        <v>2</v>
      </c>
      <c r="Y49">
        <v>3</v>
      </c>
      <c r="Z49">
        <v>0.91927954711284288</v>
      </c>
      <c r="AA49"/>
      <c r="AB49"/>
    </row>
    <row r="50" spans="3:28" x14ac:dyDescent="0.25">
      <c r="C50" s="34"/>
      <c r="F50" s="35">
        <v>70</v>
      </c>
      <c r="G50" s="35" t="s">
        <v>40</v>
      </c>
      <c r="I50" s="6">
        <v>0.81873600802991353</v>
      </c>
      <c r="J50" s="6">
        <v>0.96748847400616489</v>
      </c>
      <c r="K50" s="6">
        <v>0.99682539682539684</v>
      </c>
      <c r="L50" s="6">
        <v>0.90702099157981508</v>
      </c>
      <c r="P50" s="6">
        <v>0.77342955757765919</v>
      </c>
      <c r="Q50" s="6">
        <v>0.97340180898359652</v>
      </c>
      <c r="R50" s="6">
        <v>1</v>
      </c>
      <c r="S50" s="6">
        <v>0.91926936520464542</v>
      </c>
      <c r="T50" s="34"/>
      <c r="V50">
        <v>3</v>
      </c>
      <c r="W50">
        <v>2</v>
      </c>
      <c r="X50">
        <v>1</v>
      </c>
      <c r="Y50">
        <v>1</v>
      </c>
      <c r="Z50">
        <v>0.92251771761032253</v>
      </c>
      <c r="AA50"/>
      <c r="AB50"/>
    </row>
    <row r="51" spans="3:28" x14ac:dyDescent="0.25">
      <c r="C51" s="34"/>
      <c r="F51" s="35">
        <v>69</v>
      </c>
      <c r="G51" s="35" t="s">
        <v>68</v>
      </c>
      <c r="I51" s="6">
        <v>0.89840983113008732</v>
      </c>
      <c r="J51" s="6">
        <v>0.95262921348314611</v>
      </c>
      <c r="K51" s="6">
        <v>0.93781528452218188</v>
      </c>
      <c r="L51" s="6">
        <v>0.90135435617545989</v>
      </c>
      <c r="P51" s="6">
        <v>0.93029766560994687</v>
      </c>
      <c r="Q51" s="6">
        <v>0.96663605754514847</v>
      </c>
      <c r="R51" s="6">
        <v>0.96679119966791205</v>
      </c>
      <c r="S51" s="6">
        <v>0.9093879976232917</v>
      </c>
      <c r="T51" s="34"/>
      <c r="V51">
        <v>2</v>
      </c>
      <c r="W51">
        <v>2</v>
      </c>
      <c r="X51">
        <v>1</v>
      </c>
      <c r="Y51">
        <v>1</v>
      </c>
      <c r="Z51">
        <v>0.92255217132771883</v>
      </c>
      <c r="AA51"/>
      <c r="AB51"/>
    </row>
    <row r="52" spans="3:28" x14ac:dyDescent="0.25">
      <c r="C52" s="34"/>
      <c r="F52" s="35">
        <v>68</v>
      </c>
      <c r="G52" s="35" t="s">
        <v>90</v>
      </c>
      <c r="I52" s="6">
        <v>0.97013030822067192</v>
      </c>
      <c r="J52" s="6">
        <v>0.99751370002029638</v>
      </c>
      <c r="K52" s="6">
        <v>0.8384506624308331</v>
      </c>
      <c r="L52" s="6">
        <v>0.88654781199351707</v>
      </c>
      <c r="P52" s="6">
        <v>0.92469830563569133</v>
      </c>
      <c r="Q52" s="6">
        <v>0.99860237596086654</v>
      </c>
      <c r="R52" s="6">
        <v>0.86826199580609353</v>
      </c>
      <c r="S52" s="6">
        <v>0.78616949910554557</v>
      </c>
      <c r="T52" s="34"/>
      <c r="V52">
        <v>2</v>
      </c>
      <c r="W52">
        <v>1</v>
      </c>
      <c r="X52">
        <v>2</v>
      </c>
      <c r="Y52">
        <v>3</v>
      </c>
      <c r="Z52">
        <v>0.92316062066632965</v>
      </c>
      <c r="AA52"/>
      <c r="AB52"/>
    </row>
    <row r="53" spans="3:28" x14ac:dyDescent="0.25">
      <c r="C53" s="34"/>
      <c r="F53" s="35">
        <v>67</v>
      </c>
      <c r="G53" s="35" t="s">
        <v>81</v>
      </c>
      <c r="I53" s="6">
        <v>0.85134820981694759</v>
      </c>
      <c r="J53" s="6">
        <v>0.93373193821624312</v>
      </c>
      <c r="K53" s="6">
        <v>0.98245474543478839</v>
      </c>
      <c r="L53" s="6">
        <v>0.92667369666418042</v>
      </c>
      <c r="P53" s="6">
        <v>0.94169218507487729</v>
      </c>
      <c r="Q53" s="6">
        <v>0.97118694806166739</v>
      </c>
      <c r="R53" s="6">
        <v>0.98494864232685853</v>
      </c>
      <c r="S53" s="6">
        <v>0.92048304078131182</v>
      </c>
      <c r="T53" s="34"/>
      <c r="V53">
        <v>1</v>
      </c>
      <c r="W53">
        <v>1</v>
      </c>
      <c r="X53">
        <v>1</v>
      </c>
      <c r="Y53">
        <v>1</v>
      </c>
      <c r="Z53">
        <v>0.92355214753303994</v>
      </c>
      <c r="AA53"/>
      <c r="AB53"/>
    </row>
    <row r="54" spans="3:28" x14ac:dyDescent="0.25">
      <c r="C54" s="34"/>
      <c r="F54" s="35">
        <v>66</v>
      </c>
      <c r="G54" s="35" t="s">
        <v>106</v>
      </c>
      <c r="I54" s="6">
        <v>0.91173314394135763</v>
      </c>
      <c r="J54" s="6">
        <v>0.99641552630418306</v>
      </c>
      <c r="K54" s="6">
        <v>0.890142785786872</v>
      </c>
      <c r="L54" s="6">
        <v>0.89868882066100775</v>
      </c>
      <c r="P54" s="6">
        <v>0.98870739769325222</v>
      </c>
      <c r="Q54" s="6">
        <v>0.9972317540874881</v>
      </c>
      <c r="R54" s="6">
        <v>0.97617794156356941</v>
      </c>
      <c r="S54" s="6">
        <v>0.8092781087293025</v>
      </c>
      <c r="T54" s="34"/>
      <c r="V54">
        <v>1</v>
      </c>
      <c r="W54">
        <v>2</v>
      </c>
      <c r="X54">
        <v>2</v>
      </c>
      <c r="Y54">
        <v>3</v>
      </c>
      <c r="Z54">
        <v>0.92424506917335503</v>
      </c>
      <c r="AA54"/>
      <c r="AB54"/>
    </row>
    <row r="55" spans="3:28" x14ac:dyDescent="0.25">
      <c r="C55" s="34"/>
      <c r="F55" s="35">
        <v>65</v>
      </c>
      <c r="G55" s="35" t="s">
        <v>125</v>
      </c>
      <c r="I55" s="6">
        <v>0.95733666354819125</v>
      </c>
      <c r="J55" s="6">
        <v>0.9554468043456984</v>
      </c>
      <c r="K55" s="6">
        <v>0.87970434993335755</v>
      </c>
      <c r="L55" s="6">
        <v>0.90669995990230745</v>
      </c>
      <c r="P55" s="6">
        <v>0.99318142988055858</v>
      </c>
      <c r="Q55" s="6">
        <v>0.99620020964360589</v>
      </c>
      <c r="R55" s="6">
        <v>0.94436389996375503</v>
      </c>
      <c r="S55" s="6">
        <v>0.89526985303198714</v>
      </c>
      <c r="T55" s="34"/>
      <c r="V55">
        <v>1</v>
      </c>
      <c r="W55">
        <v>1</v>
      </c>
      <c r="X55">
        <v>1</v>
      </c>
      <c r="Y55">
        <v>3</v>
      </c>
      <c r="Z55">
        <v>0.92479694443238869</v>
      </c>
      <c r="AA55"/>
      <c r="AB55"/>
    </row>
    <row r="56" spans="3:28" x14ac:dyDescent="0.25">
      <c r="C56" s="34"/>
      <c r="F56" s="35">
        <v>64</v>
      </c>
      <c r="G56" s="35" t="s">
        <v>107</v>
      </c>
      <c r="I56" s="6">
        <v>0.96149152226569778</v>
      </c>
      <c r="J56" s="6">
        <v>0.95363654849861046</v>
      </c>
      <c r="K56" s="6">
        <v>0.8928939828080229</v>
      </c>
      <c r="L56" s="6">
        <v>0.89137990501711284</v>
      </c>
      <c r="P56" s="6">
        <v>0.99960305646521785</v>
      </c>
      <c r="Q56" s="6">
        <v>0.97154187077210175</v>
      </c>
      <c r="R56" s="6">
        <v>0.97065462753950338</v>
      </c>
      <c r="S56" s="6">
        <v>0.95834136933461911</v>
      </c>
      <c r="T56" s="34"/>
      <c r="V56">
        <v>1</v>
      </c>
      <c r="W56">
        <v>2</v>
      </c>
      <c r="X56">
        <v>1</v>
      </c>
      <c r="Y56">
        <v>1</v>
      </c>
      <c r="Z56">
        <v>0.92485048964736105</v>
      </c>
      <c r="AA56"/>
      <c r="AB56"/>
    </row>
    <row r="57" spans="3:28" x14ac:dyDescent="0.25">
      <c r="C57" s="34"/>
      <c r="F57" s="35">
        <v>63</v>
      </c>
      <c r="G57" s="35" t="s">
        <v>65</v>
      </c>
      <c r="I57" s="6">
        <v>0.938660828645134</v>
      </c>
      <c r="J57" s="6">
        <v>0.9004388500800925</v>
      </c>
      <c r="K57" s="6">
        <v>0.97910075735787561</v>
      </c>
      <c r="L57" s="6">
        <v>0.88471667432570966</v>
      </c>
      <c r="P57" s="6">
        <v>0.96535999008633155</v>
      </c>
      <c r="Q57" s="6">
        <v>0.96539027982326953</v>
      </c>
      <c r="R57" s="6">
        <v>1</v>
      </c>
      <c r="S57" s="6">
        <v>0.75375375375375375</v>
      </c>
      <c r="T57" s="34"/>
      <c r="V57">
        <v>2</v>
      </c>
      <c r="W57">
        <v>1</v>
      </c>
      <c r="X57">
        <v>1</v>
      </c>
      <c r="Y57">
        <v>3</v>
      </c>
      <c r="Z57">
        <v>0.92572927760220292</v>
      </c>
      <c r="AA57"/>
      <c r="AB57"/>
    </row>
    <row r="58" spans="3:28" x14ac:dyDescent="0.25">
      <c r="C58" s="34"/>
      <c r="F58" s="35">
        <v>62</v>
      </c>
      <c r="G58" s="35" t="s">
        <v>80</v>
      </c>
      <c r="I58" s="6">
        <v>0.92560757486431589</v>
      </c>
      <c r="J58" s="6">
        <v>0.98332068390574479</v>
      </c>
      <c r="K58" s="6">
        <v>0.90196546656869947</v>
      </c>
      <c r="L58" s="6">
        <v>0.8965016643888829</v>
      </c>
      <c r="P58" s="6">
        <v>0.97535794681932975</v>
      </c>
      <c r="Q58" s="6">
        <v>0.9773312329503977</v>
      </c>
      <c r="R58" s="6">
        <v>0.88113853992796276</v>
      </c>
      <c r="S58" s="6">
        <v>0.79898642533936648</v>
      </c>
      <c r="T58" s="34"/>
      <c r="V58">
        <v>1</v>
      </c>
      <c r="W58">
        <v>2</v>
      </c>
      <c r="X58">
        <v>2</v>
      </c>
      <c r="Y58">
        <v>3</v>
      </c>
      <c r="Z58">
        <v>0.92684884743191076</v>
      </c>
      <c r="AA58"/>
      <c r="AB58"/>
    </row>
    <row r="59" spans="3:28" x14ac:dyDescent="0.25">
      <c r="C59" s="34"/>
      <c r="F59" s="35">
        <v>61</v>
      </c>
      <c r="G59" s="35" t="s">
        <v>70</v>
      </c>
      <c r="I59" s="6">
        <v>0.91154703792245828</v>
      </c>
      <c r="J59" s="6">
        <v>0.95584536849847823</v>
      </c>
      <c r="K59" s="6">
        <v>0.93047407475842725</v>
      </c>
      <c r="L59" s="6">
        <v>0.91025342039800994</v>
      </c>
      <c r="P59" s="6">
        <v>0.98324125635551252</v>
      </c>
      <c r="Q59" s="6">
        <v>0.92851628840512579</v>
      </c>
      <c r="R59" s="6">
        <v>0.95414684898929847</v>
      </c>
      <c r="S59" s="6">
        <v>0.91554307856549766</v>
      </c>
      <c r="T59" s="34"/>
      <c r="V59">
        <v>1</v>
      </c>
      <c r="W59">
        <v>2</v>
      </c>
      <c r="X59">
        <v>1</v>
      </c>
      <c r="Y59">
        <v>1</v>
      </c>
      <c r="Z59">
        <v>0.9270299753943434</v>
      </c>
      <c r="AA59"/>
      <c r="AB59"/>
    </row>
    <row r="60" spans="3:28" x14ac:dyDescent="0.25">
      <c r="C60" s="34"/>
      <c r="F60" s="35">
        <v>60</v>
      </c>
      <c r="G60" s="35" t="s">
        <v>84</v>
      </c>
      <c r="I60" s="6">
        <v>0.91720338130220391</v>
      </c>
      <c r="J60" s="6">
        <v>0.97317002041411493</v>
      </c>
      <c r="K60" s="6">
        <v>0.83030904451375109</v>
      </c>
      <c r="L60" s="6">
        <v>0.98762654668166483</v>
      </c>
      <c r="P60" s="6">
        <v>0.92797292942313891</v>
      </c>
      <c r="Q60" s="6">
        <v>0.96400846859562461</v>
      </c>
      <c r="R60" s="6">
        <v>1</v>
      </c>
      <c r="S60" s="6">
        <v>0.98538367844092567</v>
      </c>
      <c r="T60" s="34"/>
      <c r="V60">
        <v>1</v>
      </c>
      <c r="W60">
        <v>2</v>
      </c>
      <c r="X60">
        <v>1</v>
      </c>
      <c r="Y60">
        <v>1</v>
      </c>
      <c r="Z60">
        <v>0.92707724822793369</v>
      </c>
      <c r="AA60"/>
      <c r="AB60"/>
    </row>
    <row r="61" spans="3:28" x14ac:dyDescent="0.25">
      <c r="C61" s="34"/>
      <c r="F61" s="35">
        <v>59</v>
      </c>
      <c r="G61" s="35" t="s">
        <v>119</v>
      </c>
      <c r="I61" s="6">
        <v>0.95880838543582203</v>
      </c>
      <c r="J61" s="6">
        <v>0.89142857142857146</v>
      </c>
      <c r="K61" s="6">
        <v>0.95676236596333453</v>
      </c>
      <c r="L61" s="6">
        <v>0.90551040987009901</v>
      </c>
      <c r="P61" s="6">
        <v>0.99015817223198599</v>
      </c>
      <c r="Q61" s="6">
        <v>0.87141138043665123</v>
      </c>
      <c r="R61" s="6">
        <v>0.97270763793441983</v>
      </c>
      <c r="S61" s="6">
        <v>0.91953619114546736</v>
      </c>
      <c r="T61" s="34"/>
      <c r="V61">
        <v>2</v>
      </c>
      <c r="W61">
        <v>4</v>
      </c>
      <c r="X61">
        <v>1</v>
      </c>
      <c r="Y61">
        <v>1</v>
      </c>
      <c r="Z61">
        <v>0.92812743317445667</v>
      </c>
      <c r="AA61"/>
      <c r="AB61"/>
    </row>
    <row r="62" spans="3:28" x14ac:dyDescent="0.25">
      <c r="C62" s="34"/>
      <c r="F62" s="35">
        <v>58</v>
      </c>
      <c r="G62" s="35" t="s">
        <v>103</v>
      </c>
      <c r="I62" s="6">
        <v>0.96738893573479112</v>
      </c>
      <c r="J62" s="6">
        <v>0.96503205099788103</v>
      </c>
      <c r="K62" s="6">
        <v>0.85042670885637406</v>
      </c>
      <c r="L62" s="6">
        <v>0.93844516634927744</v>
      </c>
      <c r="P62" s="6">
        <v>0.99096926052809431</v>
      </c>
      <c r="Q62" s="6">
        <v>0.97800125707102448</v>
      </c>
      <c r="R62" s="6">
        <v>0.91771941489361697</v>
      </c>
      <c r="S62" s="6">
        <v>0.92596522732838138</v>
      </c>
      <c r="T62" s="34"/>
      <c r="V62">
        <v>1</v>
      </c>
      <c r="W62">
        <v>2</v>
      </c>
      <c r="X62">
        <v>2</v>
      </c>
      <c r="Y62">
        <v>2</v>
      </c>
      <c r="Z62">
        <v>0.93032321548458086</v>
      </c>
      <c r="AA62"/>
      <c r="AB62"/>
    </row>
    <row r="63" spans="3:28" x14ac:dyDescent="0.25">
      <c r="C63" s="34"/>
      <c r="F63" s="35">
        <v>57</v>
      </c>
      <c r="G63" s="35" t="s">
        <v>48</v>
      </c>
      <c r="I63" s="6">
        <v>0.99154723725918237</v>
      </c>
      <c r="J63" s="6">
        <v>0.98213919556231855</v>
      </c>
      <c r="K63" s="6">
        <v>0.83854976794769653</v>
      </c>
      <c r="L63" s="6">
        <v>0.91492309468525912</v>
      </c>
      <c r="P63" s="6">
        <v>0.99818010393141399</v>
      </c>
      <c r="Q63" s="6">
        <v>0.99927360774818397</v>
      </c>
      <c r="R63" s="6">
        <v>0.95664219420972429</v>
      </c>
      <c r="S63" s="6">
        <v>0.93708580012370768</v>
      </c>
      <c r="T63" s="34"/>
      <c r="V63">
        <v>2</v>
      </c>
      <c r="W63">
        <v>2</v>
      </c>
      <c r="X63">
        <v>2</v>
      </c>
      <c r="Y63">
        <v>1</v>
      </c>
      <c r="Z63">
        <v>0.93178982386361409</v>
      </c>
      <c r="AA63"/>
      <c r="AB63"/>
    </row>
    <row r="64" spans="3:28" x14ac:dyDescent="0.25">
      <c r="C64" s="34"/>
      <c r="F64" s="35">
        <v>56</v>
      </c>
      <c r="G64" s="35" t="s">
        <v>66</v>
      </c>
      <c r="I64" s="6">
        <v>0.93662307912570397</v>
      </c>
      <c r="J64" s="6">
        <v>0.98118822845436171</v>
      </c>
      <c r="K64" s="6">
        <v>0.89762075998915314</v>
      </c>
      <c r="L64" s="6">
        <v>0.91276575460005716</v>
      </c>
      <c r="P64" s="6">
        <v>0.99601746958718895</v>
      </c>
      <c r="Q64" s="6">
        <v>0.99658687943262414</v>
      </c>
      <c r="R64" s="6">
        <v>0.96305204441942582</v>
      </c>
      <c r="S64" s="6">
        <v>0.89649122807017545</v>
      </c>
      <c r="T64" s="34"/>
      <c r="V64">
        <v>1</v>
      </c>
      <c r="W64">
        <v>1</v>
      </c>
      <c r="X64">
        <v>1</v>
      </c>
      <c r="Y64">
        <v>3</v>
      </c>
      <c r="Z64">
        <v>0.93204945554231911</v>
      </c>
      <c r="AA64"/>
      <c r="AB64"/>
    </row>
    <row r="65" spans="3:28" x14ac:dyDescent="0.25">
      <c r="C65" s="34"/>
      <c r="F65" s="35">
        <v>55</v>
      </c>
      <c r="G65" s="35" t="s">
        <v>127</v>
      </c>
      <c r="I65" s="6">
        <v>0.92955293565460129</v>
      </c>
      <c r="J65" s="6">
        <v>0.95126722601399816</v>
      </c>
      <c r="K65" s="6">
        <v>0.96056972465423174</v>
      </c>
      <c r="L65" s="6">
        <v>0.88858121744027785</v>
      </c>
      <c r="P65" s="6">
        <v>0.98111665910122559</v>
      </c>
      <c r="Q65" s="6">
        <v>0.9915861639139919</v>
      </c>
      <c r="R65" s="6">
        <v>0.98914354644149582</v>
      </c>
      <c r="S65" s="6">
        <v>0.94664310954063602</v>
      </c>
      <c r="T65" s="34"/>
      <c r="V65">
        <v>1</v>
      </c>
      <c r="W65">
        <v>1</v>
      </c>
      <c r="X65">
        <v>1</v>
      </c>
      <c r="Y65">
        <v>1</v>
      </c>
      <c r="Z65">
        <v>0.93249277594077729</v>
      </c>
      <c r="AA65"/>
      <c r="AB65"/>
    </row>
    <row r="66" spans="3:28" x14ac:dyDescent="0.25">
      <c r="C66" s="34"/>
      <c r="F66" s="35">
        <v>54</v>
      </c>
      <c r="G66" s="35" t="s">
        <v>117</v>
      </c>
      <c r="I66" s="6">
        <v>0.94226836191142738</v>
      </c>
      <c r="J66" s="6">
        <v>0.98638648962227671</v>
      </c>
      <c r="K66" s="6">
        <v>0.87278622658466531</v>
      </c>
      <c r="L66" s="6">
        <v>0.92910413405763737</v>
      </c>
      <c r="P66" s="6">
        <v>0.98936299141394834</v>
      </c>
      <c r="Q66" s="6">
        <v>0.99794250778907767</v>
      </c>
      <c r="R66" s="6">
        <v>0.89583595420807649</v>
      </c>
      <c r="S66" s="6">
        <v>0.90881480945838455</v>
      </c>
      <c r="T66" s="34"/>
      <c r="V66">
        <v>1</v>
      </c>
      <c r="W66">
        <v>2</v>
      </c>
      <c r="X66">
        <v>2</v>
      </c>
      <c r="Y66">
        <v>2</v>
      </c>
      <c r="Z66">
        <v>0.93263630304400169</v>
      </c>
      <c r="AA66"/>
      <c r="AB66"/>
    </row>
    <row r="67" spans="3:28" x14ac:dyDescent="0.25">
      <c r="C67" s="34"/>
      <c r="F67" s="35">
        <v>53</v>
      </c>
      <c r="G67" s="35" t="s">
        <v>101</v>
      </c>
      <c r="I67" s="6">
        <v>0.88961523023109124</v>
      </c>
      <c r="J67" s="6">
        <v>0.94288259938200225</v>
      </c>
      <c r="K67" s="6">
        <v>0.99656080931598323</v>
      </c>
      <c r="L67" s="6">
        <v>0.90358034643439966</v>
      </c>
      <c r="P67" s="6">
        <v>0.99525545439557417</v>
      </c>
      <c r="Q67" s="6">
        <v>0.99593495934959353</v>
      </c>
      <c r="R67" s="6">
        <v>0.99677270631627479</v>
      </c>
      <c r="S67" s="6">
        <v>0.90752655992817599</v>
      </c>
      <c r="T67" s="34"/>
      <c r="V67">
        <v>1</v>
      </c>
      <c r="W67">
        <v>1</v>
      </c>
      <c r="X67">
        <v>2</v>
      </c>
      <c r="Y67">
        <v>1</v>
      </c>
      <c r="Z67">
        <v>0.93315974634086907</v>
      </c>
      <c r="AA67"/>
      <c r="AB67"/>
    </row>
    <row r="68" spans="3:28" x14ac:dyDescent="0.25">
      <c r="C68" s="34"/>
      <c r="F68" s="35">
        <v>52</v>
      </c>
      <c r="G68" s="35" t="s">
        <v>53</v>
      </c>
      <c r="I68" s="6">
        <v>0.94609366010815787</v>
      </c>
      <c r="J68" s="6">
        <v>0.94999693733793411</v>
      </c>
      <c r="K68" s="6">
        <v>0.9619977688776723</v>
      </c>
      <c r="L68" s="6">
        <v>0.88687998395105072</v>
      </c>
      <c r="P68" s="6">
        <v>0.99807549962990383</v>
      </c>
      <c r="Q68" s="6">
        <v>0.98581140999113215</v>
      </c>
      <c r="R68" s="6">
        <v>0.97123430962343094</v>
      </c>
      <c r="S68" s="6">
        <v>0.78029929287946065</v>
      </c>
      <c r="T68" s="34"/>
      <c r="V68">
        <v>1</v>
      </c>
      <c r="W68">
        <v>1</v>
      </c>
      <c r="X68">
        <v>1</v>
      </c>
      <c r="Y68">
        <v>3</v>
      </c>
      <c r="Z68">
        <v>0.93624208756870375</v>
      </c>
      <c r="AA68"/>
      <c r="AB68"/>
    </row>
    <row r="69" spans="3:28" x14ac:dyDescent="0.25">
      <c r="C69" s="34"/>
      <c r="F69" s="35">
        <v>51</v>
      </c>
      <c r="G69" s="35" t="s">
        <v>108</v>
      </c>
      <c r="I69" s="6">
        <v>0.96801186967195529</v>
      </c>
      <c r="J69" s="6">
        <v>0.97524112248554828</v>
      </c>
      <c r="K69" s="6">
        <v>0.90178985049484106</v>
      </c>
      <c r="L69" s="6">
        <v>0.90044822830468918</v>
      </c>
      <c r="P69" s="6">
        <v>0.9832784856411555</v>
      </c>
      <c r="Q69" s="6">
        <v>0.96950589208186888</v>
      </c>
      <c r="R69" s="6">
        <v>0.93168223318291532</v>
      </c>
      <c r="S69" s="6">
        <v>0.89292871457200118</v>
      </c>
      <c r="T69" s="34"/>
      <c r="V69">
        <v>1</v>
      </c>
      <c r="W69">
        <v>2</v>
      </c>
      <c r="X69">
        <v>1</v>
      </c>
      <c r="Y69">
        <v>1</v>
      </c>
      <c r="Z69">
        <v>0.93637276773925848</v>
      </c>
      <c r="AA69"/>
      <c r="AB69"/>
    </row>
    <row r="70" spans="3:28" x14ac:dyDescent="0.25">
      <c r="C70" s="34"/>
      <c r="F70" s="35">
        <v>50</v>
      </c>
      <c r="G70" s="35" t="s">
        <v>36</v>
      </c>
      <c r="I70" s="6">
        <v>0.95361630862212909</v>
      </c>
      <c r="J70" s="6">
        <v>0.98441016312776208</v>
      </c>
      <c r="K70" s="6">
        <v>0.9073587653279257</v>
      </c>
      <c r="L70" s="6">
        <v>0.90410687123867473</v>
      </c>
      <c r="P70" s="6">
        <v>0.98586774725829807</v>
      </c>
      <c r="Q70" s="6">
        <v>0.98087876322213186</v>
      </c>
      <c r="R70" s="6">
        <v>0.93789808917197448</v>
      </c>
      <c r="S70" s="6">
        <v>0.8337253748897383</v>
      </c>
      <c r="T70" s="34"/>
      <c r="V70">
        <v>1</v>
      </c>
      <c r="W70">
        <v>2</v>
      </c>
      <c r="X70">
        <v>1</v>
      </c>
      <c r="Y70">
        <v>3</v>
      </c>
      <c r="Z70">
        <v>0.93737302707912284</v>
      </c>
      <c r="AA70"/>
      <c r="AB70"/>
    </row>
    <row r="71" spans="3:28" x14ac:dyDescent="0.25">
      <c r="C71" s="34"/>
      <c r="F71" s="35">
        <v>49</v>
      </c>
      <c r="G71" s="35" t="s">
        <v>55</v>
      </c>
      <c r="I71" s="6">
        <v>0.96731029446508732</v>
      </c>
      <c r="J71" s="6">
        <v>0.96600023943493352</v>
      </c>
      <c r="K71" s="6">
        <v>0.99323337552331803</v>
      </c>
      <c r="L71" s="6">
        <v>0.82752097384438228</v>
      </c>
      <c r="P71" s="6">
        <v>0.99636961824266834</v>
      </c>
      <c r="Q71" s="6">
        <v>0.99776536312849162</v>
      </c>
      <c r="R71" s="6">
        <v>0.99174528301886788</v>
      </c>
      <c r="S71" s="6">
        <v>0.77352572145545795</v>
      </c>
      <c r="T71" s="34"/>
      <c r="V71">
        <v>1</v>
      </c>
      <c r="W71">
        <v>1</v>
      </c>
      <c r="X71">
        <v>1</v>
      </c>
      <c r="Y71">
        <v>3</v>
      </c>
      <c r="Z71">
        <v>0.93851622081693031</v>
      </c>
      <c r="AA71"/>
      <c r="AB71"/>
    </row>
    <row r="72" spans="3:28" x14ac:dyDescent="0.25">
      <c r="C72" s="34"/>
      <c r="F72" s="35">
        <v>48</v>
      </c>
      <c r="G72" s="35" t="s">
        <v>98</v>
      </c>
      <c r="I72" s="6">
        <v>0.99400434286967776</v>
      </c>
      <c r="J72" s="6">
        <v>0.94174040779605983</v>
      </c>
      <c r="K72" s="6">
        <v>0.90431901254921532</v>
      </c>
      <c r="L72" s="6">
        <v>0.91656480920766659</v>
      </c>
      <c r="P72" s="6">
        <v>0.9956058839020353</v>
      </c>
      <c r="Q72" s="6">
        <v>0.93397442252404084</v>
      </c>
      <c r="R72" s="6">
        <v>0.90348710056295811</v>
      </c>
      <c r="S72" s="6">
        <v>0.9071828597852335</v>
      </c>
      <c r="T72" s="34"/>
      <c r="V72">
        <v>1</v>
      </c>
      <c r="W72">
        <v>2</v>
      </c>
      <c r="X72">
        <v>2</v>
      </c>
      <c r="Y72">
        <v>2</v>
      </c>
      <c r="Z72">
        <v>0.9391571431056549</v>
      </c>
      <c r="AA72"/>
      <c r="AB72"/>
    </row>
    <row r="73" spans="3:28" x14ac:dyDescent="0.25">
      <c r="C73" s="34"/>
      <c r="F73" s="35">
        <v>47</v>
      </c>
      <c r="G73" s="35" t="s">
        <v>113</v>
      </c>
      <c r="I73" s="6">
        <v>0.98362736216405222</v>
      </c>
      <c r="J73" s="6">
        <v>0.99738261979161436</v>
      </c>
      <c r="K73" s="6">
        <v>0.89803820530751965</v>
      </c>
      <c r="L73" s="6">
        <v>0.88082200818049872</v>
      </c>
      <c r="P73" s="6">
        <v>0.995357426031799</v>
      </c>
      <c r="Q73" s="6">
        <v>0.99830270828721124</v>
      </c>
      <c r="R73" s="6">
        <v>0.93321997641444754</v>
      </c>
      <c r="S73" s="6">
        <v>0.85042604990870363</v>
      </c>
      <c r="T73" s="34"/>
      <c r="V73">
        <v>1</v>
      </c>
      <c r="W73">
        <v>1</v>
      </c>
      <c r="X73">
        <v>2</v>
      </c>
      <c r="Y73">
        <v>3</v>
      </c>
      <c r="Z73">
        <v>0.93996754886092126</v>
      </c>
      <c r="AA73"/>
      <c r="AB73"/>
    </row>
    <row r="74" spans="3:28" x14ac:dyDescent="0.25">
      <c r="C74" s="34"/>
      <c r="F74" s="35">
        <v>46</v>
      </c>
      <c r="G74" s="35" t="s">
        <v>77</v>
      </c>
      <c r="I74" s="6">
        <v>0.97116386028923507</v>
      </c>
      <c r="J74" s="6">
        <v>0.94614706746303734</v>
      </c>
      <c r="K74" s="6">
        <v>0.9195965039101005</v>
      </c>
      <c r="L74" s="6">
        <v>0.92642462695335448</v>
      </c>
      <c r="P74" s="6">
        <v>0.92448553668005651</v>
      </c>
      <c r="Q74" s="6">
        <v>0.77314428690575476</v>
      </c>
      <c r="R74" s="6">
        <v>0.92271016311166876</v>
      </c>
      <c r="S74" s="6">
        <v>0.92207171314741032</v>
      </c>
      <c r="T74" s="34"/>
      <c r="V74">
        <v>2</v>
      </c>
      <c r="W74">
        <v>4</v>
      </c>
      <c r="X74">
        <v>2</v>
      </c>
      <c r="Y74">
        <v>2</v>
      </c>
      <c r="Z74">
        <v>0.94083301465393188</v>
      </c>
      <c r="AA74"/>
      <c r="AB74"/>
    </row>
    <row r="75" spans="3:28" x14ac:dyDescent="0.25">
      <c r="C75" s="34"/>
      <c r="F75" s="35">
        <v>45</v>
      </c>
      <c r="G75" s="35" t="s">
        <v>74</v>
      </c>
      <c r="I75" s="6">
        <v>0.9221465849987599</v>
      </c>
      <c r="J75" s="6">
        <v>0.94280510808056717</v>
      </c>
      <c r="K75" s="6">
        <v>0.98224593111279335</v>
      </c>
      <c r="L75" s="6">
        <v>0.91657798801293444</v>
      </c>
      <c r="P75" s="6">
        <v>0.94601689112074872</v>
      </c>
      <c r="Q75" s="6">
        <v>0.91936167956738413</v>
      </c>
      <c r="R75" s="6">
        <v>0.98436554836908474</v>
      </c>
      <c r="S75" s="6">
        <v>0.89136502591821365</v>
      </c>
      <c r="T75" s="34"/>
      <c r="V75">
        <v>1</v>
      </c>
      <c r="W75">
        <v>2</v>
      </c>
      <c r="X75">
        <v>1</v>
      </c>
      <c r="Y75">
        <v>3</v>
      </c>
      <c r="Z75">
        <v>0.94094390305126374</v>
      </c>
      <c r="AA75"/>
      <c r="AB75"/>
    </row>
    <row r="76" spans="3:28" x14ac:dyDescent="0.25">
      <c r="C76" s="34"/>
      <c r="F76" s="35">
        <v>44</v>
      </c>
      <c r="G76" s="35" t="s">
        <v>78</v>
      </c>
      <c r="I76" s="6">
        <v>0.93476971959465738</v>
      </c>
      <c r="J76" s="6">
        <v>0.99271948608137039</v>
      </c>
      <c r="K76" s="6">
        <v>0.93056849953401677</v>
      </c>
      <c r="L76" s="6">
        <v>0.90617718219071686</v>
      </c>
      <c r="P76" s="6">
        <v>0.95856356520909125</v>
      </c>
      <c r="Q76" s="6">
        <v>0.9933827421916358</v>
      </c>
      <c r="R76" s="6">
        <v>0.95566366807416925</v>
      </c>
      <c r="S76" s="6">
        <v>0.83903320251666358</v>
      </c>
      <c r="T76" s="34"/>
      <c r="V76">
        <v>2</v>
      </c>
      <c r="W76">
        <v>2</v>
      </c>
      <c r="X76">
        <v>2</v>
      </c>
      <c r="Y76">
        <v>3</v>
      </c>
      <c r="Z76">
        <v>0.94105872185019035</v>
      </c>
      <c r="AA76"/>
      <c r="AB76"/>
    </row>
    <row r="77" spans="3:28" x14ac:dyDescent="0.25">
      <c r="C77" s="34"/>
      <c r="F77" s="35">
        <v>43</v>
      </c>
      <c r="G77" s="35" t="s">
        <v>39</v>
      </c>
      <c r="I77" s="6">
        <v>0.99454940181994544</v>
      </c>
      <c r="J77" s="6">
        <v>0.98400747702372915</v>
      </c>
      <c r="K77" s="6">
        <v>0.91092655919231391</v>
      </c>
      <c r="L77" s="6">
        <v>0.88266217020432458</v>
      </c>
      <c r="P77" s="6">
        <v>0.98718312255430163</v>
      </c>
      <c r="Q77" s="6">
        <v>0.99259259259259258</v>
      </c>
      <c r="R77" s="6">
        <v>0.90981082270127589</v>
      </c>
      <c r="S77" s="6">
        <v>0.82554634513941216</v>
      </c>
      <c r="T77" s="34"/>
      <c r="V77">
        <v>2</v>
      </c>
      <c r="W77">
        <v>2</v>
      </c>
      <c r="X77">
        <v>2</v>
      </c>
      <c r="Y77">
        <v>3</v>
      </c>
      <c r="Z77">
        <v>0.94303640206007822</v>
      </c>
      <c r="AA77"/>
      <c r="AB77"/>
    </row>
    <row r="78" spans="3:28" x14ac:dyDescent="0.25">
      <c r="C78" s="34"/>
      <c r="F78" s="35">
        <v>42</v>
      </c>
      <c r="G78" s="35" t="s">
        <v>44</v>
      </c>
      <c r="I78" s="6">
        <v>0.99751121768670414</v>
      </c>
      <c r="J78" s="6">
        <v>0.99806335592751416</v>
      </c>
      <c r="K78" s="6">
        <v>0.88513293022362993</v>
      </c>
      <c r="L78" s="6">
        <v>0.90577551611435192</v>
      </c>
      <c r="P78" s="6">
        <v>0.99866975789593704</v>
      </c>
      <c r="Q78" s="6">
        <v>1</v>
      </c>
      <c r="R78" s="6">
        <v>0.95534729878721059</v>
      </c>
      <c r="S78" s="6">
        <v>0.90057576183120347</v>
      </c>
      <c r="T78" s="34"/>
      <c r="V78">
        <v>2</v>
      </c>
      <c r="W78">
        <v>1</v>
      </c>
      <c r="X78">
        <v>1</v>
      </c>
      <c r="Y78">
        <v>2</v>
      </c>
      <c r="Z78">
        <v>0.94662075498804998</v>
      </c>
      <c r="AA78"/>
      <c r="AB78"/>
    </row>
    <row r="79" spans="3:28" x14ac:dyDescent="0.25">
      <c r="C79" s="34"/>
      <c r="F79" s="35">
        <v>41</v>
      </c>
      <c r="G79" s="35" t="s">
        <v>126</v>
      </c>
      <c r="I79" s="6">
        <v>0.97917271657096105</v>
      </c>
      <c r="J79" s="6">
        <v>0.99104053611100995</v>
      </c>
      <c r="K79" s="6">
        <v>0.92111284346082978</v>
      </c>
      <c r="L79" s="6">
        <v>0.90304065174456882</v>
      </c>
      <c r="P79" s="6">
        <v>0.99833722633516764</v>
      </c>
      <c r="Q79" s="6">
        <v>0.99371814626051913</v>
      </c>
      <c r="R79" s="6">
        <v>0.95793405879486759</v>
      </c>
      <c r="S79" s="6">
        <v>0.89309015421115068</v>
      </c>
      <c r="T79" s="34"/>
      <c r="V79">
        <v>1</v>
      </c>
      <c r="W79">
        <v>1</v>
      </c>
      <c r="X79">
        <v>1</v>
      </c>
      <c r="Y79">
        <v>3</v>
      </c>
      <c r="Z79">
        <v>0.94859168697184237</v>
      </c>
      <c r="AA79"/>
      <c r="AB79"/>
    </row>
    <row r="80" spans="3:28" x14ac:dyDescent="0.25">
      <c r="C80" s="34"/>
      <c r="F80" s="35">
        <v>40</v>
      </c>
      <c r="G80" s="35" t="s">
        <v>89</v>
      </c>
      <c r="I80" s="6">
        <v>0.97756119673617403</v>
      </c>
      <c r="J80" s="6">
        <v>0.98789594616773346</v>
      </c>
      <c r="K80" s="6">
        <v>0.93163508876622403</v>
      </c>
      <c r="L80" s="6">
        <v>0.89823500898177977</v>
      </c>
      <c r="P80" s="6">
        <v>0.9799931226359061</v>
      </c>
      <c r="Q80" s="6">
        <v>0.99294980259447263</v>
      </c>
      <c r="R80" s="6">
        <v>0.96225319396051101</v>
      </c>
      <c r="S80" s="6">
        <v>0.80014817558807183</v>
      </c>
      <c r="T80" s="34"/>
      <c r="V80">
        <v>2</v>
      </c>
      <c r="W80">
        <v>2</v>
      </c>
      <c r="X80">
        <v>2</v>
      </c>
      <c r="Y80">
        <v>3</v>
      </c>
      <c r="Z80">
        <v>0.94883181016297791</v>
      </c>
      <c r="AA80"/>
      <c r="AB80"/>
    </row>
    <row r="81" spans="3:28" x14ac:dyDescent="0.25">
      <c r="C81" s="34"/>
      <c r="F81" s="35">
        <v>39</v>
      </c>
      <c r="G81" s="35" t="s">
        <v>50</v>
      </c>
      <c r="I81" s="6">
        <v>0.98670861861980708</v>
      </c>
      <c r="J81" s="6">
        <v>0.9515831766744075</v>
      </c>
      <c r="K81" s="6">
        <v>0.93091060792175584</v>
      </c>
      <c r="L81" s="6">
        <v>0.92653806643077274</v>
      </c>
      <c r="P81" s="6">
        <v>0.96811165337985561</v>
      </c>
      <c r="Q81" s="6">
        <v>0.92002398081534775</v>
      </c>
      <c r="R81" s="6">
        <v>0.96015050453223871</v>
      </c>
      <c r="S81" s="6">
        <v>0.88844803906607661</v>
      </c>
      <c r="T81" s="34"/>
      <c r="V81">
        <v>2</v>
      </c>
      <c r="W81">
        <v>2</v>
      </c>
      <c r="X81">
        <v>1</v>
      </c>
      <c r="Y81">
        <v>3</v>
      </c>
      <c r="Z81">
        <v>0.94893511741168579</v>
      </c>
      <c r="AA81"/>
      <c r="AB81"/>
    </row>
    <row r="82" spans="3:28" x14ac:dyDescent="0.25">
      <c r="C82" s="34"/>
      <c r="F82" s="35">
        <v>38</v>
      </c>
      <c r="G82" s="35" t="s">
        <v>100</v>
      </c>
      <c r="I82" s="6">
        <v>0.94378344772098355</v>
      </c>
      <c r="J82" s="6">
        <v>0.99648456725022849</v>
      </c>
      <c r="K82" s="6">
        <v>0.9013924050632911</v>
      </c>
      <c r="L82" s="6">
        <v>0.95545967012318189</v>
      </c>
      <c r="P82" s="6">
        <v>0.95769854503094953</v>
      </c>
      <c r="Q82" s="6">
        <v>0.99778270509977829</v>
      </c>
      <c r="R82" s="6">
        <v>0.94334619093539052</v>
      </c>
      <c r="S82" s="6">
        <v>0.96714558424595598</v>
      </c>
      <c r="T82" s="34"/>
      <c r="V82">
        <v>2</v>
      </c>
      <c r="W82">
        <v>2</v>
      </c>
      <c r="X82">
        <v>2</v>
      </c>
      <c r="Y82">
        <v>2</v>
      </c>
      <c r="Z82">
        <v>0.94928002253942134</v>
      </c>
      <c r="AA82"/>
      <c r="AB82"/>
    </row>
    <row r="83" spans="3:28" x14ac:dyDescent="0.25">
      <c r="C83" s="34"/>
      <c r="F83" s="35">
        <v>37</v>
      </c>
      <c r="G83" s="35" t="s">
        <v>59</v>
      </c>
      <c r="I83" s="6">
        <v>0.93734850708144479</v>
      </c>
      <c r="J83" s="6">
        <v>0.97494574866837636</v>
      </c>
      <c r="K83" s="6">
        <v>0.92892608880692296</v>
      </c>
      <c r="L83" s="6">
        <v>0.95650579433768523</v>
      </c>
      <c r="P83" s="6">
        <v>0.95541177297981572</v>
      </c>
      <c r="Q83" s="6">
        <v>0.98062865497076024</v>
      </c>
      <c r="R83" s="6">
        <v>0.99125964010282774</v>
      </c>
      <c r="S83" s="6">
        <v>0.93870656370656369</v>
      </c>
      <c r="T83" s="34"/>
      <c r="V83">
        <v>1</v>
      </c>
      <c r="W83">
        <v>1</v>
      </c>
      <c r="X83">
        <v>1</v>
      </c>
      <c r="Y83">
        <v>1</v>
      </c>
      <c r="Z83">
        <v>0.94943153472360731</v>
      </c>
      <c r="AA83"/>
      <c r="AB83"/>
    </row>
    <row r="84" spans="3:28" x14ac:dyDescent="0.25">
      <c r="C84" s="34"/>
      <c r="F84" s="35">
        <v>36</v>
      </c>
      <c r="G84" s="35" t="s">
        <v>94</v>
      </c>
      <c r="I84" s="6">
        <v>0.98653662070214476</v>
      </c>
      <c r="J84" s="6">
        <v>0.98166000470256287</v>
      </c>
      <c r="K84" s="6">
        <v>0.92641985845869346</v>
      </c>
      <c r="L84" s="6">
        <v>0.90797213901620411</v>
      </c>
      <c r="P84" s="6">
        <v>0.98872791397254589</v>
      </c>
      <c r="Q84" s="6">
        <v>0.99277978339350181</v>
      </c>
      <c r="R84" s="6">
        <v>0.94100905562742565</v>
      </c>
      <c r="S84" s="6">
        <v>0.88991769547325106</v>
      </c>
      <c r="T84" s="34"/>
      <c r="V84">
        <v>1</v>
      </c>
      <c r="W84">
        <v>1</v>
      </c>
      <c r="X84">
        <v>1</v>
      </c>
      <c r="Y84">
        <v>3</v>
      </c>
      <c r="Z84">
        <v>0.95064715571990122</v>
      </c>
      <c r="AA84"/>
      <c r="AB84"/>
    </row>
    <row r="85" spans="3:28" x14ac:dyDescent="0.25">
      <c r="C85" s="34"/>
      <c r="F85" s="35">
        <v>35</v>
      </c>
      <c r="G85" s="35" t="s">
        <v>109</v>
      </c>
      <c r="I85" s="6">
        <v>0.99257343744039572</v>
      </c>
      <c r="J85" s="6">
        <v>0.99491097409339713</v>
      </c>
      <c r="K85" s="6">
        <v>0.88037041337668365</v>
      </c>
      <c r="L85" s="6">
        <v>0.9374954764558574</v>
      </c>
      <c r="P85" s="6">
        <v>0.99893217025116554</v>
      </c>
      <c r="Q85" s="6">
        <v>0.99898223538119912</v>
      </c>
      <c r="R85" s="6">
        <v>0.94279363593823118</v>
      </c>
      <c r="S85" s="6">
        <v>0.90746211760221096</v>
      </c>
      <c r="T85" s="34"/>
      <c r="V85">
        <v>1</v>
      </c>
      <c r="W85">
        <v>1</v>
      </c>
      <c r="X85">
        <v>1</v>
      </c>
      <c r="Y85">
        <v>1</v>
      </c>
      <c r="Z85">
        <v>0.95133757534158336</v>
      </c>
      <c r="AA85"/>
      <c r="AB85"/>
    </row>
    <row r="86" spans="3:28" x14ac:dyDescent="0.25">
      <c r="C86" s="34"/>
      <c r="F86" s="35">
        <v>34</v>
      </c>
      <c r="G86" s="35" t="s">
        <v>79</v>
      </c>
      <c r="I86" s="6">
        <v>0.99799025218573512</v>
      </c>
      <c r="J86" s="6">
        <v>0.99838119098092115</v>
      </c>
      <c r="K86" s="6">
        <v>0.89079908199457547</v>
      </c>
      <c r="L86" s="6">
        <v>0.92186207415206434</v>
      </c>
      <c r="P86" s="6">
        <v>0.99886772615148212</v>
      </c>
      <c r="Q86" s="6">
        <v>0.9993606138107417</v>
      </c>
      <c r="R86" s="6">
        <v>0.98617855808741128</v>
      </c>
      <c r="S86" s="6">
        <v>0.87413148049171563</v>
      </c>
      <c r="T86" s="34"/>
      <c r="V86">
        <v>1</v>
      </c>
      <c r="W86">
        <v>1</v>
      </c>
      <c r="X86">
        <v>1</v>
      </c>
      <c r="Y86">
        <v>3</v>
      </c>
      <c r="Z86">
        <v>0.95225814982832402</v>
      </c>
      <c r="AA86"/>
      <c r="AB86"/>
    </row>
    <row r="87" spans="3:28" x14ac:dyDescent="0.25">
      <c r="C87" s="34"/>
      <c r="F87" s="35">
        <v>33</v>
      </c>
      <c r="G87" s="35" t="s">
        <v>67</v>
      </c>
      <c r="I87" s="6">
        <v>0.98473793650274311</v>
      </c>
      <c r="J87" s="6">
        <v>0.98244661310674186</v>
      </c>
      <c r="K87" s="6">
        <v>0.89746697795152219</v>
      </c>
      <c r="L87" s="6">
        <v>0.94632422424932017</v>
      </c>
      <c r="P87" s="6">
        <v>0.9882540400806813</v>
      </c>
      <c r="Q87" s="6">
        <v>0.99542560199077801</v>
      </c>
      <c r="R87" s="6">
        <v>0.92430824159476344</v>
      </c>
      <c r="S87" s="6">
        <v>0.96420856734571803</v>
      </c>
      <c r="T87" s="34"/>
      <c r="V87">
        <v>1</v>
      </c>
      <c r="W87">
        <v>1</v>
      </c>
      <c r="X87">
        <v>2</v>
      </c>
      <c r="Y87">
        <v>2</v>
      </c>
      <c r="Z87">
        <v>0.95274393795258183</v>
      </c>
      <c r="AA87"/>
      <c r="AB87"/>
    </row>
    <row r="88" spans="3:28" x14ac:dyDescent="0.25">
      <c r="C88" s="34"/>
      <c r="F88" s="35">
        <v>32</v>
      </c>
      <c r="G88" s="35" t="s">
        <v>97</v>
      </c>
      <c r="I88" s="6">
        <v>0.98691042047531996</v>
      </c>
      <c r="J88" s="6">
        <v>0.99809722705650306</v>
      </c>
      <c r="K88" s="6">
        <v>0.92148632527725005</v>
      </c>
      <c r="L88" s="6">
        <v>0.9136034596220739</v>
      </c>
      <c r="P88" s="6">
        <v>0.9973862421290246</v>
      </c>
      <c r="Q88" s="6">
        <v>0.99887023886378312</v>
      </c>
      <c r="R88" s="6">
        <v>0.92626308602639962</v>
      </c>
      <c r="S88" s="6">
        <v>0.93538751768589845</v>
      </c>
      <c r="T88" s="34"/>
      <c r="V88">
        <v>1</v>
      </c>
      <c r="W88">
        <v>1</v>
      </c>
      <c r="X88">
        <v>2</v>
      </c>
      <c r="Y88">
        <v>2</v>
      </c>
      <c r="Z88">
        <v>0.95502435810778674</v>
      </c>
      <c r="AA88"/>
      <c r="AB88"/>
    </row>
    <row r="89" spans="3:28" x14ac:dyDescent="0.25">
      <c r="C89" s="34"/>
      <c r="F89" s="35">
        <v>31</v>
      </c>
      <c r="G89" s="35" t="s">
        <v>110</v>
      </c>
      <c r="I89" s="6">
        <v>0.98438148043046425</v>
      </c>
      <c r="J89" s="6">
        <v>0.9567182112631909</v>
      </c>
      <c r="K89" s="6">
        <v>0.99195378584691563</v>
      </c>
      <c r="L89" s="6">
        <v>0.88881030142913608</v>
      </c>
      <c r="P89" s="6">
        <v>0.99727933460297713</v>
      </c>
      <c r="Q89" s="6">
        <v>0.99707067008421824</v>
      </c>
      <c r="R89" s="6">
        <v>0.99192207175100977</v>
      </c>
      <c r="S89" s="6">
        <v>0.7869952087611225</v>
      </c>
      <c r="T89" s="34"/>
      <c r="V89">
        <v>1</v>
      </c>
      <c r="W89">
        <v>1</v>
      </c>
      <c r="X89">
        <v>1</v>
      </c>
      <c r="Y89">
        <v>3</v>
      </c>
      <c r="Z89">
        <v>0.95546594474242674</v>
      </c>
      <c r="AA89"/>
      <c r="AB89"/>
    </row>
    <row r="90" spans="3:28" x14ac:dyDescent="0.25">
      <c r="C90" s="34"/>
      <c r="F90" s="35">
        <v>30</v>
      </c>
      <c r="G90" s="35" t="s">
        <v>99</v>
      </c>
      <c r="I90" s="6">
        <v>0.97535269492867771</v>
      </c>
      <c r="J90" s="6">
        <v>0.95107672779796038</v>
      </c>
      <c r="K90" s="6">
        <v>0.97180578911588966</v>
      </c>
      <c r="L90" s="6">
        <v>0.92480479054553133</v>
      </c>
      <c r="P90" s="6">
        <v>0.99766914451304023</v>
      </c>
      <c r="Q90" s="6">
        <v>0.99945588806840269</v>
      </c>
      <c r="R90" s="6">
        <v>0.96411206297754115</v>
      </c>
      <c r="S90" s="6">
        <v>0.87845606350944427</v>
      </c>
      <c r="T90" s="34"/>
      <c r="V90">
        <v>1</v>
      </c>
      <c r="W90">
        <v>1</v>
      </c>
      <c r="X90">
        <v>1</v>
      </c>
      <c r="Y90">
        <v>3</v>
      </c>
      <c r="Z90">
        <v>0.95576000059701471</v>
      </c>
      <c r="AA90"/>
      <c r="AB90"/>
    </row>
    <row r="91" spans="3:28" x14ac:dyDescent="0.25">
      <c r="C91" s="34"/>
      <c r="Q91" s="34"/>
      <c r="R91" s="34"/>
      <c r="S91" s="34"/>
      <c r="T91" s="34"/>
      <c r="V91"/>
      <c r="W91"/>
      <c r="X91"/>
      <c r="Y91"/>
      <c r="Z91"/>
      <c r="AA91"/>
      <c r="AB91"/>
    </row>
    <row r="92" spans="3:28" x14ac:dyDescent="0.25">
      <c r="C92" s="34"/>
      <c r="H92" s="34"/>
      <c r="Q92" s="34"/>
      <c r="R92" s="34"/>
      <c r="S92" s="34"/>
      <c r="T92" s="34"/>
      <c r="V92"/>
      <c r="W92"/>
      <c r="X92"/>
      <c r="Y92"/>
      <c r="Z92"/>
      <c r="AA92"/>
      <c r="AB92"/>
    </row>
    <row r="93" spans="3:28" x14ac:dyDescent="0.25">
      <c r="C93" s="34"/>
      <c r="F93" s="34"/>
      <c r="H93" s="34"/>
      <c r="S93" s="34"/>
      <c r="T93" s="34"/>
      <c r="U93"/>
      <c r="V93"/>
      <c r="W93"/>
      <c r="X93"/>
      <c r="Y93"/>
      <c r="Z93"/>
      <c r="AA93"/>
      <c r="AB93"/>
    </row>
    <row r="94" spans="3:28" ht="21" x14ac:dyDescent="0.35">
      <c r="C94" s="34"/>
      <c r="D94" s="17"/>
      <c r="F94" s="36">
        <v>29</v>
      </c>
      <c r="G94" s="35" t="s">
        <v>75</v>
      </c>
      <c r="H94" s="34"/>
      <c r="I94" s="6">
        <v>0.99380489833867536</v>
      </c>
      <c r="J94" s="6">
        <v>0.99015321053537619</v>
      </c>
      <c r="K94" s="6">
        <v>0.94165698049851476</v>
      </c>
      <c r="L94" s="6">
        <v>0.89933306732029872</v>
      </c>
      <c r="P94" s="6">
        <v>0.99940160071807915</v>
      </c>
      <c r="Q94" s="6">
        <v>1</v>
      </c>
      <c r="R94" s="6">
        <v>0.965981213505966</v>
      </c>
      <c r="S94" s="6">
        <v>1.0031616982836495</v>
      </c>
      <c r="T94" s="34"/>
      <c r="U94"/>
      <c r="V94">
        <v>1</v>
      </c>
      <c r="W94">
        <v>1</v>
      </c>
      <c r="X94">
        <v>2</v>
      </c>
      <c r="Y94">
        <v>1</v>
      </c>
      <c r="Z94">
        <v>0.95623703917321623</v>
      </c>
      <c r="AA94"/>
      <c r="AB94"/>
    </row>
    <row r="95" spans="3:28" x14ac:dyDescent="0.25">
      <c r="C95" s="34"/>
      <c r="F95" s="36">
        <v>28</v>
      </c>
      <c r="G95" s="35" t="s">
        <v>123</v>
      </c>
      <c r="H95" s="34"/>
      <c r="I95" s="6">
        <v>0.98502707722295268</v>
      </c>
      <c r="J95" s="6">
        <v>0.97282583334629569</v>
      </c>
      <c r="K95" s="6">
        <v>0.93708569543177656</v>
      </c>
      <c r="L95" s="6">
        <v>0.93010468436079097</v>
      </c>
      <c r="P95" s="6">
        <v>0.99501549238852216</v>
      </c>
      <c r="Q95" s="6">
        <v>0.97000223863890755</v>
      </c>
      <c r="R95" s="6">
        <v>0.97380317607511302</v>
      </c>
      <c r="S95" s="6">
        <v>0.94385872430152873</v>
      </c>
      <c r="T95" s="34"/>
      <c r="U95"/>
      <c r="V95">
        <v>1</v>
      </c>
      <c r="W95">
        <v>2</v>
      </c>
      <c r="X95">
        <v>1</v>
      </c>
      <c r="Y95">
        <v>1</v>
      </c>
      <c r="Z95">
        <v>0.95626082259045408</v>
      </c>
      <c r="AA95"/>
      <c r="AB95"/>
    </row>
    <row r="96" spans="3:28" x14ac:dyDescent="0.25">
      <c r="C96" s="34"/>
      <c r="F96" s="36">
        <v>27</v>
      </c>
      <c r="G96" s="35" t="s">
        <v>76</v>
      </c>
      <c r="H96" s="34"/>
      <c r="I96" s="6">
        <v>0.98161720788615148</v>
      </c>
      <c r="J96" s="6">
        <v>0.99624713173639856</v>
      </c>
      <c r="K96" s="6">
        <v>0.93278847589192415</v>
      </c>
      <c r="L96" s="6">
        <v>0.91780544403108766</v>
      </c>
      <c r="P96" s="6">
        <v>0.99553374609442391</v>
      </c>
      <c r="Q96" s="6">
        <v>0.9976801988400994</v>
      </c>
      <c r="R96" s="6">
        <v>0.94190751445086707</v>
      </c>
      <c r="S96" s="6">
        <v>0.92641669016069916</v>
      </c>
      <c r="T96" s="34"/>
      <c r="U96"/>
      <c r="V96">
        <v>1</v>
      </c>
      <c r="W96">
        <v>1</v>
      </c>
      <c r="X96">
        <v>1</v>
      </c>
      <c r="Y96">
        <v>1</v>
      </c>
      <c r="Z96">
        <v>0.95711456488639035</v>
      </c>
      <c r="AA96"/>
      <c r="AB96"/>
    </row>
    <row r="97" spans="3:28" x14ac:dyDescent="0.25">
      <c r="C97" s="34"/>
      <c r="F97" s="36">
        <v>26</v>
      </c>
      <c r="G97" s="35" t="s">
        <v>41</v>
      </c>
      <c r="I97" s="6">
        <v>0.99671909081309018</v>
      </c>
      <c r="J97" s="6">
        <v>0.99755001010305111</v>
      </c>
      <c r="K97" s="6">
        <v>0.91507647075453025</v>
      </c>
      <c r="L97" s="6">
        <v>0.92267131014862414</v>
      </c>
      <c r="P97" s="6">
        <v>0.99641877121994327</v>
      </c>
      <c r="Q97" s="6">
        <v>0.99754385964912284</v>
      </c>
      <c r="R97" s="6">
        <v>0.97910182303245885</v>
      </c>
      <c r="S97" s="6">
        <v>0.94774079433992608</v>
      </c>
      <c r="T97" s="34"/>
      <c r="V97">
        <v>2</v>
      </c>
      <c r="W97">
        <v>1</v>
      </c>
      <c r="X97">
        <v>2</v>
      </c>
      <c r="Y97">
        <v>1</v>
      </c>
      <c r="Z97">
        <v>0.95800422045482403</v>
      </c>
      <c r="AA97"/>
      <c r="AB97"/>
    </row>
    <row r="98" spans="3:28" x14ac:dyDescent="0.25">
      <c r="C98" s="34"/>
      <c r="F98" s="36">
        <v>25</v>
      </c>
      <c r="G98" s="35" t="s">
        <v>54</v>
      </c>
      <c r="I98" s="6">
        <v>0.93823602260701178</v>
      </c>
      <c r="J98" s="6">
        <v>0.95312032325650997</v>
      </c>
      <c r="K98" s="6">
        <v>0.99149313247673898</v>
      </c>
      <c r="L98" s="6">
        <v>0.94924856667910573</v>
      </c>
      <c r="P98" s="6">
        <v>0.99947419156953821</v>
      </c>
      <c r="Q98" s="6">
        <v>0.99945370117454246</v>
      </c>
      <c r="R98" s="6">
        <v>0.99297999297999295</v>
      </c>
      <c r="S98" s="6">
        <v>0.94150621496466003</v>
      </c>
      <c r="T98" s="34"/>
      <c r="V98">
        <v>1</v>
      </c>
      <c r="W98">
        <v>1</v>
      </c>
      <c r="X98">
        <v>1</v>
      </c>
      <c r="Y98">
        <v>1</v>
      </c>
      <c r="Z98">
        <v>0.95802451125484167</v>
      </c>
      <c r="AA98"/>
      <c r="AB98"/>
    </row>
    <row r="99" spans="3:28" ht="21" x14ac:dyDescent="0.35">
      <c r="C99" s="34"/>
      <c r="D99" s="17"/>
      <c r="F99" s="36">
        <v>24</v>
      </c>
      <c r="G99" s="35" t="s">
        <v>51</v>
      </c>
      <c r="I99" s="6">
        <v>0.99270342457596839</v>
      </c>
      <c r="J99" s="6">
        <v>0.99715870033454013</v>
      </c>
      <c r="K99" s="6">
        <v>0.91408591408591411</v>
      </c>
      <c r="L99" s="6">
        <v>0.92988947506624331</v>
      </c>
      <c r="P99" s="6">
        <v>0.9924917353056536</v>
      </c>
      <c r="Q99" s="6">
        <v>0.99679762555651019</v>
      </c>
      <c r="R99" s="6">
        <v>0.99196090794451452</v>
      </c>
      <c r="S99" s="6">
        <v>0.89737181554337309</v>
      </c>
      <c r="T99" s="34"/>
      <c r="V99">
        <v>1</v>
      </c>
      <c r="W99">
        <v>1</v>
      </c>
      <c r="X99">
        <v>1</v>
      </c>
      <c r="Y99">
        <v>3</v>
      </c>
      <c r="Z99">
        <v>0.95845937851566654</v>
      </c>
      <c r="AA99"/>
      <c r="AB99"/>
    </row>
    <row r="100" spans="3:28" x14ac:dyDescent="0.25">
      <c r="C100" s="34"/>
      <c r="F100" s="36">
        <v>23</v>
      </c>
      <c r="G100" s="35" t="s">
        <v>118</v>
      </c>
      <c r="I100" s="6">
        <v>0.99268195337444776</v>
      </c>
      <c r="J100" s="6">
        <v>0.99470061940812116</v>
      </c>
      <c r="K100" s="6">
        <v>0.9461500815660685</v>
      </c>
      <c r="L100" s="6">
        <v>0.9036111978353627</v>
      </c>
      <c r="P100" s="6">
        <v>0.99407025575401475</v>
      </c>
      <c r="Q100" s="6">
        <v>0.99642260911042213</v>
      </c>
      <c r="R100" s="6">
        <v>0.93871449925261585</v>
      </c>
      <c r="S100" s="6">
        <v>0.90961677512653649</v>
      </c>
      <c r="T100" s="34"/>
      <c r="V100">
        <v>2</v>
      </c>
      <c r="W100">
        <v>2</v>
      </c>
      <c r="X100">
        <v>2</v>
      </c>
      <c r="Y100">
        <v>1</v>
      </c>
      <c r="Z100">
        <v>0.959285963046</v>
      </c>
      <c r="AA100"/>
      <c r="AB100"/>
    </row>
    <row r="101" spans="3:28" x14ac:dyDescent="0.25">
      <c r="C101" s="34"/>
      <c r="F101" s="36">
        <v>22</v>
      </c>
      <c r="G101" s="35" t="s">
        <v>49</v>
      </c>
      <c r="I101" s="6">
        <v>0.99685931536080308</v>
      </c>
      <c r="J101" s="6">
        <v>0.99816118191617531</v>
      </c>
      <c r="K101" s="6">
        <v>0.88826025459688829</v>
      </c>
      <c r="L101" s="6">
        <v>0.95827067669172927</v>
      </c>
      <c r="P101" s="6">
        <v>0.99183841230696967</v>
      </c>
      <c r="Q101" s="6">
        <v>0.99813606710158431</v>
      </c>
      <c r="R101" s="6">
        <v>0.94190268700072621</v>
      </c>
      <c r="S101" s="6">
        <v>0.89496498832944316</v>
      </c>
      <c r="T101" s="34"/>
      <c r="V101">
        <v>2</v>
      </c>
      <c r="W101">
        <v>1</v>
      </c>
      <c r="X101">
        <v>1</v>
      </c>
      <c r="Y101">
        <v>1</v>
      </c>
      <c r="Z101">
        <v>0.96038785714139907</v>
      </c>
      <c r="AA101"/>
      <c r="AB101"/>
    </row>
    <row r="102" spans="3:28" x14ac:dyDescent="0.25">
      <c r="C102" s="34"/>
      <c r="F102" s="36">
        <v>21</v>
      </c>
      <c r="G102" s="35" t="s">
        <v>96</v>
      </c>
      <c r="I102" s="6">
        <v>0.99427612047434888</v>
      </c>
      <c r="J102" s="6">
        <v>0.98009301827335948</v>
      </c>
      <c r="K102" s="6">
        <v>0.94526832501398061</v>
      </c>
      <c r="L102" s="6">
        <v>0.92407102671686669</v>
      </c>
      <c r="P102" s="6">
        <v>0.99725187093608147</v>
      </c>
      <c r="Q102" s="6">
        <v>0.99913113634953143</v>
      </c>
      <c r="R102" s="6">
        <v>0.96726216668133413</v>
      </c>
      <c r="S102" s="6">
        <v>0.90703129822828565</v>
      </c>
      <c r="T102" s="34"/>
      <c r="V102">
        <v>1</v>
      </c>
      <c r="W102">
        <v>1</v>
      </c>
      <c r="X102">
        <v>1</v>
      </c>
      <c r="Y102">
        <v>1</v>
      </c>
      <c r="Z102">
        <v>0.96092712261963886</v>
      </c>
      <c r="AA102"/>
      <c r="AB102"/>
    </row>
    <row r="103" spans="3:28" x14ac:dyDescent="0.25">
      <c r="C103" s="34"/>
      <c r="F103" s="36">
        <v>20</v>
      </c>
      <c r="G103" s="35" t="s">
        <v>46</v>
      </c>
      <c r="I103" s="6">
        <v>0.94731160419322114</v>
      </c>
      <c r="J103" s="6">
        <v>0.99072885465696758</v>
      </c>
      <c r="K103" s="6">
        <v>0.93518116034672327</v>
      </c>
      <c r="L103" s="6">
        <v>0.97205641773886897</v>
      </c>
      <c r="P103" s="6">
        <v>0.98693229133303439</v>
      </c>
      <c r="Q103" s="6">
        <v>0.99072188277890927</v>
      </c>
      <c r="R103" s="6">
        <v>0.95468440927890663</v>
      </c>
      <c r="S103" s="6"/>
      <c r="T103" s="34"/>
      <c r="V103">
        <v>1</v>
      </c>
      <c r="W103">
        <v>1</v>
      </c>
      <c r="X103">
        <v>1</v>
      </c>
      <c r="Y103">
        <v>4</v>
      </c>
      <c r="Z103">
        <v>0.96131950923394527</v>
      </c>
      <c r="AA103"/>
      <c r="AB103"/>
    </row>
    <row r="104" spans="3:28" x14ac:dyDescent="0.25">
      <c r="C104" s="34"/>
      <c r="F104" s="36">
        <v>19</v>
      </c>
      <c r="G104" s="35" t="s">
        <v>134</v>
      </c>
      <c r="I104" s="6">
        <v>0.99421698997505681</v>
      </c>
      <c r="J104" s="6">
        <v>0.97827626918536015</v>
      </c>
      <c r="K104" s="6">
        <v>0.93607888631090486</v>
      </c>
      <c r="L104" s="6">
        <v>0.94193926395967142</v>
      </c>
      <c r="P104" s="6">
        <v>0.98551126820219959</v>
      </c>
      <c r="Q104" s="6">
        <v>0.95425649530127143</v>
      </c>
      <c r="R104" s="6">
        <v>0.9360730593607306</v>
      </c>
      <c r="S104" s="6">
        <v>0.93303979396859682</v>
      </c>
      <c r="T104" s="34"/>
      <c r="V104">
        <v>2</v>
      </c>
      <c r="W104">
        <v>2</v>
      </c>
      <c r="X104">
        <v>1</v>
      </c>
      <c r="Y104">
        <v>2</v>
      </c>
      <c r="Z104">
        <v>0.96262785235774828</v>
      </c>
      <c r="AA104"/>
      <c r="AB104"/>
    </row>
    <row r="105" spans="3:28" x14ac:dyDescent="0.25">
      <c r="C105" s="34"/>
      <c r="F105" s="36">
        <v>18</v>
      </c>
      <c r="G105" s="35" t="s">
        <v>124</v>
      </c>
      <c r="I105" s="6">
        <v>0.99704145256125987</v>
      </c>
      <c r="J105" s="6">
        <v>0.99875151601626599</v>
      </c>
      <c r="K105" s="6">
        <v>0.92343478589230421</v>
      </c>
      <c r="L105" s="6">
        <v>0.93154739742348647</v>
      </c>
      <c r="P105" s="6">
        <v>0.99580596660599829</v>
      </c>
      <c r="Q105" s="6">
        <v>0.99718670076726346</v>
      </c>
      <c r="R105" s="6">
        <v>0.9837940896091516</v>
      </c>
      <c r="S105" s="6">
        <v>0.94126245847176082</v>
      </c>
      <c r="T105" s="34"/>
      <c r="V105">
        <v>2</v>
      </c>
      <c r="W105">
        <v>2</v>
      </c>
      <c r="X105">
        <v>1</v>
      </c>
      <c r="Y105">
        <v>1</v>
      </c>
      <c r="Z105">
        <v>0.96269378797332905</v>
      </c>
      <c r="AA105"/>
      <c r="AB105"/>
    </row>
    <row r="106" spans="3:28" x14ac:dyDescent="0.25">
      <c r="C106" s="34"/>
      <c r="F106" s="36">
        <v>17</v>
      </c>
      <c r="G106" s="35" t="s">
        <v>133</v>
      </c>
      <c r="I106" s="6">
        <v>0.98534647027109334</v>
      </c>
      <c r="J106" s="6">
        <v>0.98588575238941989</v>
      </c>
      <c r="K106" s="6">
        <v>0.95391525493252394</v>
      </c>
      <c r="L106" s="6">
        <v>0.92822740579847007</v>
      </c>
      <c r="P106" s="6">
        <v>0.98418853600589862</v>
      </c>
      <c r="Q106" s="6">
        <v>0.9875908328675238</v>
      </c>
      <c r="R106" s="6">
        <v>0.94026585899377424</v>
      </c>
      <c r="S106" s="6">
        <v>0.9186416333230738</v>
      </c>
      <c r="T106" s="34"/>
      <c r="V106">
        <v>1</v>
      </c>
      <c r="W106">
        <v>1</v>
      </c>
      <c r="X106">
        <v>2</v>
      </c>
      <c r="Y106">
        <v>2</v>
      </c>
      <c r="Z106">
        <v>0.96334372084787678</v>
      </c>
      <c r="AA106"/>
      <c r="AB106"/>
    </row>
    <row r="107" spans="3:28" x14ac:dyDescent="0.25">
      <c r="C107" s="34"/>
      <c r="F107" s="36">
        <v>16</v>
      </c>
      <c r="G107" s="35" t="s">
        <v>35</v>
      </c>
      <c r="I107" s="6">
        <v>0.95843991399896322</v>
      </c>
      <c r="J107" s="6">
        <v>0.98810694115152564</v>
      </c>
      <c r="K107" s="6">
        <v>0.99590293098014493</v>
      </c>
      <c r="L107" s="6">
        <v>0.91253872954244497</v>
      </c>
      <c r="P107" s="6">
        <v>0.99294636296840555</v>
      </c>
      <c r="Q107" s="6">
        <v>0.98819124423963134</v>
      </c>
      <c r="R107" s="6">
        <v>0.99529411764705877</v>
      </c>
      <c r="S107" s="6">
        <v>0.8842699512445471</v>
      </c>
      <c r="T107" s="34"/>
      <c r="V107">
        <v>1</v>
      </c>
      <c r="W107">
        <v>2</v>
      </c>
      <c r="X107">
        <v>1</v>
      </c>
      <c r="Y107">
        <v>3</v>
      </c>
      <c r="Z107">
        <v>0.96374712891826975</v>
      </c>
      <c r="AA107"/>
      <c r="AB107"/>
    </row>
    <row r="108" spans="3:28" x14ac:dyDescent="0.25">
      <c r="C108" s="34"/>
      <c r="F108" s="36">
        <v>15</v>
      </c>
      <c r="G108" s="35" t="s">
        <v>82</v>
      </c>
      <c r="I108" s="6">
        <v>0.98158060057796204</v>
      </c>
      <c r="J108" s="6">
        <v>0.99072282799859301</v>
      </c>
      <c r="K108" s="6">
        <v>0.91310612705174787</v>
      </c>
      <c r="L108" s="6">
        <v>0.97128937483729405</v>
      </c>
      <c r="P108" s="6">
        <v>0.97126902254998082</v>
      </c>
      <c r="Q108" s="6">
        <v>0.99067870667055058</v>
      </c>
      <c r="R108" s="6">
        <v>0.93108048021342815</v>
      </c>
      <c r="S108" s="6">
        <v>0.95754835468475252</v>
      </c>
      <c r="T108" s="34"/>
      <c r="V108">
        <v>2</v>
      </c>
      <c r="W108">
        <v>1</v>
      </c>
      <c r="X108">
        <v>2</v>
      </c>
      <c r="Y108">
        <v>2</v>
      </c>
      <c r="Z108">
        <v>0.9641747326163993</v>
      </c>
      <c r="AA108"/>
      <c r="AB108"/>
    </row>
    <row r="109" spans="3:28" x14ac:dyDescent="0.25">
      <c r="C109" s="34"/>
      <c r="F109" s="36">
        <v>14</v>
      </c>
      <c r="G109" s="35" t="s">
        <v>85</v>
      </c>
      <c r="I109" s="6">
        <v>0.99868860181928376</v>
      </c>
      <c r="J109" s="6">
        <v>0.99889761342977601</v>
      </c>
      <c r="K109" s="6">
        <v>0.92513335026670052</v>
      </c>
      <c r="L109" s="6">
        <v>0.93527393207904386</v>
      </c>
      <c r="P109" s="6">
        <v>0.99927031684073564</v>
      </c>
      <c r="Q109" s="6">
        <v>0.99954331941544883</v>
      </c>
      <c r="R109" s="6">
        <v>0.91617167238350206</v>
      </c>
      <c r="S109" s="6">
        <v>0.90593642282650322</v>
      </c>
      <c r="T109" s="34"/>
      <c r="V109">
        <v>1</v>
      </c>
      <c r="W109">
        <v>2</v>
      </c>
      <c r="X109">
        <v>2</v>
      </c>
      <c r="Y109">
        <v>1</v>
      </c>
      <c r="Z109">
        <v>0.96449837439870101</v>
      </c>
      <c r="AA109"/>
      <c r="AB109"/>
    </row>
    <row r="110" spans="3:28" x14ac:dyDescent="0.25">
      <c r="C110" s="34"/>
      <c r="F110" s="36">
        <v>13</v>
      </c>
      <c r="G110" s="35" t="s">
        <v>64</v>
      </c>
      <c r="I110" s="6">
        <v>0.97320403450187454</v>
      </c>
      <c r="J110" s="6">
        <v>0.99580032276995301</v>
      </c>
      <c r="K110" s="6">
        <v>0.99802617025983087</v>
      </c>
      <c r="L110" s="6">
        <v>0.89329559589695517</v>
      </c>
      <c r="P110" s="6">
        <v>0.97500234940325159</v>
      </c>
      <c r="Q110" s="6">
        <v>0.99374217772215268</v>
      </c>
      <c r="R110" s="6">
        <v>0.9988658916926566</v>
      </c>
      <c r="S110" s="6">
        <v>0.79279491405698144</v>
      </c>
      <c r="T110" s="34"/>
      <c r="V110">
        <v>2</v>
      </c>
      <c r="W110">
        <v>2</v>
      </c>
      <c r="X110">
        <v>1</v>
      </c>
      <c r="Y110">
        <v>3</v>
      </c>
      <c r="Z110">
        <v>0.96508153085715342</v>
      </c>
      <c r="AA110"/>
      <c r="AB110"/>
    </row>
    <row r="111" spans="3:28" x14ac:dyDescent="0.25">
      <c r="C111" s="34"/>
      <c r="F111" s="36">
        <v>12</v>
      </c>
      <c r="G111" s="35" t="s">
        <v>93</v>
      </c>
      <c r="I111" s="6">
        <v>0.99094646137623676</v>
      </c>
      <c r="J111" s="6">
        <v>0.99745992088278157</v>
      </c>
      <c r="K111" s="6">
        <v>0.9673595014629327</v>
      </c>
      <c r="L111" s="6">
        <v>0.90590642620750461</v>
      </c>
      <c r="P111" s="6">
        <v>0.9838915428973094</v>
      </c>
      <c r="Q111" s="6">
        <v>0.99872204472843451</v>
      </c>
      <c r="R111" s="6">
        <v>0.97747851002865327</v>
      </c>
      <c r="S111" s="6">
        <v>0.89589490968801311</v>
      </c>
      <c r="T111" s="34"/>
      <c r="V111">
        <v>2</v>
      </c>
      <c r="W111">
        <v>1</v>
      </c>
      <c r="X111">
        <v>1</v>
      </c>
      <c r="Y111">
        <v>3</v>
      </c>
      <c r="Z111">
        <v>0.96541807748236397</v>
      </c>
      <c r="AA111"/>
      <c r="AB111"/>
    </row>
    <row r="112" spans="3:28" x14ac:dyDescent="0.25">
      <c r="C112" s="34"/>
      <c r="F112" s="36">
        <v>11</v>
      </c>
      <c r="G112" s="35" t="s">
        <v>116</v>
      </c>
      <c r="I112" s="6">
        <v>0.95989703018336447</v>
      </c>
      <c r="J112" s="6">
        <v>0.97223059911540011</v>
      </c>
      <c r="K112" s="6">
        <v>0.99985737377579154</v>
      </c>
      <c r="L112" s="6">
        <v>0.93580487341471519</v>
      </c>
      <c r="P112" s="6">
        <v>0.98767748262482413</v>
      </c>
      <c r="Q112" s="6">
        <v>0.9440705128205128</v>
      </c>
      <c r="R112" s="6">
        <v>0.99965120334844781</v>
      </c>
      <c r="S112" s="6"/>
      <c r="T112" s="34"/>
      <c r="V112">
        <v>2</v>
      </c>
      <c r="W112">
        <v>1</v>
      </c>
      <c r="X112">
        <v>2</v>
      </c>
      <c r="Y112">
        <v>3</v>
      </c>
      <c r="Z112">
        <v>0.96694746912231788</v>
      </c>
      <c r="AA112"/>
      <c r="AB112"/>
    </row>
    <row r="113" spans="3:28" x14ac:dyDescent="0.25">
      <c r="C113" s="34"/>
      <c r="F113" s="36">
        <v>10</v>
      </c>
      <c r="G113" s="35" t="s">
        <v>60</v>
      </c>
      <c r="I113" s="6">
        <v>0.99835210303041833</v>
      </c>
      <c r="J113" s="6">
        <v>0.99572918854582371</v>
      </c>
      <c r="K113" s="6">
        <v>0.90311649352813728</v>
      </c>
      <c r="L113" s="6">
        <v>0.97408642798902967</v>
      </c>
      <c r="P113" s="6">
        <v>0.99822593930178039</v>
      </c>
      <c r="Q113" s="6">
        <v>0.99842919284678588</v>
      </c>
      <c r="R113" s="6">
        <v>0.90541543026706228</v>
      </c>
      <c r="S113" s="6">
        <v>0.97288474701205707</v>
      </c>
      <c r="T113" s="34"/>
      <c r="V113">
        <v>2</v>
      </c>
      <c r="W113">
        <v>1</v>
      </c>
      <c r="X113">
        <v>2</v>
      </c>
      <c r="Y113">
        <v>2</v>
      </c>
      <c r="Z113">
        <v>0.96782105327335222</v>
      </c>
      <c r="AA113"/>
      <c r="AB113"/>
    </row>
    <row r="114" spans="3:28" x14ac:dyDescent="0.25">
      <c r="C114" s="34"/>
      <c r="F114" s="36">
        <v>9</v>
      </c>
      <c r="G114" s="35" t="s">
        <v>73</v>
      </c>
      <c r="I114" s="6">
        <v>0.99316660538185986</v>
      </c>
      <c r="J114" s="6">
        <v>0.99923488905891356</v>
      </c>
      <c r="K114" s="6">
        <v>0.98683474173149033</v>
      </c>
      <c r="L114" s="6">
        <v>0.89566514566514566</v>
      </c>
      <c r="P114" s="6">
        <v>0.9993806964243982</v>
      </c>
      <c r="Q114" s="6">
        <v>0.99928353931578007</v>
      </c>
      <c r="R114" s="6">
        <v>0.99585791389481615</v>
      </c>
      <c r="S114" s="6">
        <v>0.79512153807063601</v>
      </c>
      <c r="T114" s="34"/>
      <c r="V114">
        <v>1</v>
      </c>
      <c r="W114">
        <v>2</v>
      </c>
      <c r="X114">
        <v>1</v>
      </c>
      <c r="Y114">
        <v>3</v>
      </c>
      <c r="Z114">
        <v>0.96872534545935229</v>
      </c>
      <c r="AA114"/>
      <c r="AB114"/>
    </row>
    <row r="115" spans="3:28" x14ac:dyDescent="0.25">
      <c r="C115" s="34"/>
      <c r="F115" s="36">
        <v>8</v>
      </c>
      <c r="G115" s="35" t="s">
        <v>102</v>
      </c>
      <c r="I115" s="6">
        <v>0.991747871789737</v>
      </c>
      <c r="J115" s="6">
        <v>0.98028427326914258</v>
      </c>
      <c r="K115" s="6">
        <v>1</v>
      </c>
      <c r="L115" s="6">
        <v>0.90679875845061442</v>
      </c>
      <c r="P115" s="6">
        <v>0.99749949484744393</v>
      </c>
      <c r="Q115" s="6">
        <v>0.99488893257322586</v>
      </c>
      <c r="R115" s="6">
        <v>1</v>
      </c>
      <c r="S115" s="6">
        <v>0.91963394342762061</v>
      </c>
      <c r="T115" s="34"/>
      <c r="V115">
        <v>1</v>
      </c>
      <c r="W115">
        <v>1</v>
      </c>
      <c r="X115">
        <v>1</v>
      </c>
      <c r="Y115">
        <v>1</v>
      </c>
      <c r="Z115">
        <v>0.96970772587737353</v>
      </c>
      <c r="AA115"/>
      <c r="AB115"/>
    </row>
    <row r="116" spans="3:28" x14ac:dyDescent="0.25">
      <c r="C116" s="34"/>
      <c r="F116" s="36">
        <v>7</v>
      </c>
      <c r="G116" s="35" t="s">
        <v>88</v>
      </c>
      <c r="I116" s="6">
        <v>0.99981072414714522</v>
      </c>
      <c r="J116" s="6">
        <v>0.997697248818325</v>
      </c>
      <c r="K116" s="6">
        <v>0.98822261565699332</v>
      </c>
      <c r="L116" s="6">
        <v>0.90095223228223542</v>
      </c>
      <c r="P116" s="6">
        <v>0.99996263916909511</v>
      </c>
      <c r="Q116" s="6">
        <v>0.99943883277216605</v>
      </c>
      <c r="R116" s="6">
        <v>0.983366935483871</v>
      </c>
      <c r="S116" s="6">
        <v>0.89105995717344755</v>
      </c>
      <c r="T116" s="34"/>
      <c r="V116">
        <v>1</v>
      </c>
      <c r="W116">
        <v>1</v>
      </c>
      <c r="X116">
        <v>2</v>
      </c>
      <c r="Y116">
        <v>3</v>
      </c>
      <c r="Z116">
        <v>0.97167070522617471</v>
      </c>
      <c r="AA116"/>
      <c r="AB116"/>
    </row>
    <row r="117" spans="3:28" x14ac:dyDescent="0.25">
      <c r="C117" s="34"/>
      <c r="F117" s="36">
        <v>6</v>
      </c>
      <c r="G117" s="35" t="s">
        <v>43</v>
      </c>
      <c r="I117" s="6">
        <v>0.99884057649421398</v>
      </c>
      <c r="J117" s="6">
        <v>0.99982355224617991</v>
      </c>
      <c r="K117" s="6">
        <v>0.98902681862475106</v>
      </c>
      <c r="L117" s="6">
        <v>0.89980991237424079</v>
      </c>
      <c r="P117" s="6">
        <v>0.99785629804849196</v>
      </c>
      <c r="Q117" s="6">
        <v>1</v>
      </c>
      <c r="R117" s="6">
        <v>0.98961284230406044</v>
      </c>
      <c r="S117" s="6">
        <v>0.90287990196078427</v>
      </c>
      <c r="T117" s="34"/>
      <c r="V117">
        <v>2</v>
      </c>
      <c r="W117">
        <v>1</v>
      </c>
      <c r="X117">
        <v>2</v>
      </c>
      <c r="Y117">
        <v>1</v>
      </c>
      <c r="Z117">
        <v>0.97187521493484652</v>
      </c>
      <c r="AA117"/>
      <c r="AB117"/>
    </row>
    <row r="118" spans="3:28" x14ac:dyDescent="0.25">
      <c r="C118" s="34"/>
      <c r="F118" s="36">
        <v>5</v>
      </c>
      <c r="G118" s="35" t="s">
        <v>45</v>
      </c>
      <c r="I118" s="6">
        <v>0.99920035485524994</v>
      </c>
      <c r="J118" s="6">
        <v>0.99939236322096103</v>
      </c>
      <c r="K118" s="6">
        <v>0.95522330546029055</v>
      </c>
      <c r="L118" s="6">
        <v>0.93518738388903633</v>
      </c>
      <c r="P118" s="6">
        <v>0.99956910997271031</v>
      </c>
      <c r="Q118" s="6">
        <v>0.99991539047296729</v>
      </c>
      <c r="R118" s="6">
        <v>0.96400058063579619</v>
      </c>
      <c r="S118" s="6">
        <v>0.91796673210042357</v>
      </c>
      <c r="T118" s="34"/>
      <c r="V118">
        <v>1</v>
      </c>
      <c r="W118">
        <v>1</v>
      </c>
      <c r="X118">
        <v>2</v>
      </c>
      <c r="Y118">
        <v>1</v>
      </c>
      <c r="Z118">
        <v>0.97225085185638438</v>
      </c>
      <c r="AA118"/>
      <c r="AB118"/>
    </row>
    <row r="119" spans="3:28" x14ac:dyDescent="0.25">
      <c r="C119" s="34"/>
      <c r="F119" s="36">
        <v>4</v>
      </c>
      <c r="G119" s="35" t="s">
        <v>83</v>
      </c>
      <c r="I119" s="6">
        <v>0.99909892944236123</v>
      </c>
      <c r="J119" s="6">
        <v>0.99772130669388948</v>
      </c>
      <c r="K119" s="6">
        <v>0.95643101367658889</v>
      </c>
      <c r="L119" s="6">
        <v>0.94729976934701343</v>
      </c>
      <c r="P119" s="6">
        <v>0.99940592000712891</v>
      </c>
      <c r="Q119" s="6">
        <v>0.99987418218419732</v>
      </c>
      <c r="R119" s="6">
        <v>0.95971640348050269</v>
      </c>
      <c r="S119" s="6">
        <v>0.94061325899890924</v>
      </c>
      <c r="T119" s="34"/>
      <c r="V119">
        <v>2</v>
      </c>
      <c r="W119">
        <v>1</v>
      </c>
      <c r="X119">
        <v>2</v>
      </c>
      <c r="Y119">
        <v>1</v>
      </c>
      <c r="Z119">
        <v>0.97513775478996323</v>
      </c>
      <c r="AA119"/>
      <c r="AB119"/>
    </row>
    <row r="120" spans="3:28" x14ac:dyDescent="0.25">
      <c r="C120" s="34"/>
      <c r="F120" s="36">
        <v>3</v>
      </c>
      <c r="G120" s="35" t="s">
        <v>72</v>
      </c>
      <c r="I120" s="6">
        <v>0.9957765438330809</v>
      </c>
      <c r="J120" s="6">
        <v>0.99168728352300839</v>
      </c>
      <c r="K120" s="6">
        <v>0.9976441024030156</v>
      </c>
      <c r="L120" s="6">
        <v>0.92159181960395287</v>
      </c>
      <c r="P120" s="6">
        <v>0.99686339248865041</v>
      </c>
      <c r="Q120" s="6">
        <v>0.99227166276346601</v>
      </c>
      <c r="R120" s="6">
        <v>0.99609047752024571</v>
      </c>
      <c r="S120" s="6">
        <v>0.91818181818181821</v>
      </c>
      <c r="T120" s="34"/>
      <c r="V120">
        <v>2</v>
      </c>
      <c r="W120">
        <v>2</v>
      </c>
      <c r="X120">
        <v>2</v>
      </c>
      <c r="Y120">
        <v>1</v>
      </c>
      <c r="Z120">
        <v>0.97667493734076449</v>
      </c>
      <c r="AA120"/>
      <c r="AB120"/>
    </row>
    <row r="121" spans="3:28" x14ac:dyDescent="0.25">
      <c r="C121" s="34"/>
      <c r="F121" s="36">
        <v>2</v>
      </c>
      <c r="G121" s="35" t="s">
        <v>104</v>
      </c>
      <c r="I121" s="6">
        <v>0.99655328585388547</v>
      </c>
      <c r="J121" s="6">
        <v>0.99903019380851288</v>
      </c>
      <c r="K121" s="6">
        <v>0.99770286098223127</v>
      </c>
      <c r="L121" s="6">
        <v>0.9438937383899656</v>
      </c>
      <c r="P121" s="6">
        <v>0.99867712637710437</v>
      </c>
      <c r="Q121" s="6">
        <v>0.99954165817885521</v>
      </c>
      <c r="R121" s="6">
        <v>0.99723289777094548</v>
      </c>
      <c r="S121" s="6">
        <v>0.9730032419687592</v>
      </c>
      <c r="T121" s="34"/>
      <c r="V121">
        <v>2</v>
      </c>
      <c r="W121">
        <v>1</v>
      </c>
      <c r="X121">
        <v>1</v>
      </c>
      <c r="Y121">
        <v>1</v>
      </c>
      <c r="Z121">
        <v>0.98429501975864886</v>
      </c>
      <c r="AA121"/>
      <c r="AB121"/>
    </row>
    <row r="122" spans="3:28" x14ac:dyDescent="0.25">
      <c r="C122" s="34"/>
      <c r="F122" s="36">
        <v>1</v>
      </c>
      <c r="G122" s="35" t="s">
        <v>52</v>
      </c>
      <c r="I122" s="6">
        <v>0.99015384615384616</v>
      </c>
      <c r="J122" s="6">
        <v>0.99313501144164762</v>
      </c>
      <c r="K122" s="6">
        <v>1</v>
      </c>
      <c r="L122" s="6">
        <v>0.9613502321495796</v>
      </c>
      <c r="P122" s="6">
        <v>0.96618556701030933</v>
      </c>
      <c r="Q122" s="6">
        <v>0.97101449275362317</v>
      </c>
      <c r="R122" s="6">
        <v>1</v>
      </c>
      <c r="S122" s="6">
        <v>0.95262160454832601</v>
      </c>
      <c r="T122" s="34"/>
      <c r="V122">
        <v>2</v>
      </c>
      <c r="W122">
        <v>2</v>
      </c>
      <c r="X122">
        <v>1</v>
      </c>
      <c r="Y122">
        <v>1</v>
      </c>
      <c r="Z122">
        <v>0.98615977243626829</v>
      </c>
      <c r="AA122"/>
      <c r="AB122"/>
    </row>
    <row r="123" spans="3:28" x14ac:dyDescent="0.25">
      <c r="C123" s="34"/>
      <c r="T123" s="34"/>
      <c r="U123" s="34"/>
      <c r="AA123"/>
    </row>
    <row r="124" spans="3:28" x14ac:dyDescent="0.25">
      <c r="C124" s="34"/>
      <c r="T124" s="34"/>
      <c r="U124" s="34"/>
      <c r="AA124"/>
    </row>
    <row r="125" spans="3:28" x14ac:dyDescent="0.25">
      <c r="C125" s="34"/>
      <c r="T125" s="34"/>
      <c r="U125" s="34"/>
      <c r="AA125"/>
    </row>
    <row r="126" spans="3:28" x14ac:dyDescent="0.25">
      <c r="C126" s="34"/>
      <c r="T126" s="34"/>
      <c r="U126" s="34"/>
      <c r="AA126"/>
    </row>
    <row r="127" spans="3:28" x14ac:dyDescent="0.25">
      <c r="C127" s="34"/>
      <c r="T127" s="34"/>
      <c r="U127" s="34"/>
      <c r="AA127"/>
    </row>
    <row r="128" spans="3:28" x14ac:dyDescent="0.25">
      <c r="C128" s="34"/>
      <c r="T128" s="34"/>
      <c r="U128" s="34"/>
      <c r="AA128"/>
    </row>
    <row r="129" spans="3:27" x14ac:dyDescent="0.25">
      <c r="C129" s="34"/>
      <c r="T129" s="34"/>
      <c r="U129" s="34"/>
      <c r="AA129"/>
    </row>
    <row r="130" spans="3:27" x14ac:dyDescent="0.25">
      <c r="C130" s="34"/>
      <c r="T130" s="34"/>
      <c r="U130" s="34"/>
      <c r="AA130"/>
    </row>
    <row r="131" spans="3:27" ht="18.75" x14ac:dyDescent="0.3">
      <c r="C131" s="34"/>
      <c r="D131" s="25"/>
      <c r="T131" s="34"/>
      <c r="U131" s="34"/>
      <c r="AA131"/>
    </row>
    <row r="132" spans="3:27" x14ac:dyDescent="0.25">
      <c r="C132" s="34"/>
      <c r="T132" s="34"/>
      <c r="U132" s="34"/>
      <c r="AA132"/>
    </row>
    <row r="133" spans="3:27" x14ac:dyDescent="0.25">
      <c r="C133" s="34"/>
      <c r="T133" s="34"/>
      <c r="U133" s="34"/>
      <c r="AA133"/>
    </row>
    <row r="134" spans="3:27" x14ac:dyDescent="0.25">
      <c r="C134" s="34"/>
      <c r="T134" s="34"/>
      <c r="U134" s="34"/>
      <c r="AA134"/>
    </row>
    <row r="135" spans="3:27" x14ac:dyDescent="0.25">
      <c r="C135" s="34"/>
      <c r="T135" s="34"/>
      <c r="U135" s="34"/>
      <c r="AA135"/>
    </row>
    <row r="136" spans="3:27" x14ac:dyDescent="0.25">
      <c r="C136" s="34"/>
      <c r="T136" s="34"/>
      <c r="U136" s="34"/>
      <c r="AA136"/>
    </row>
    <row r="137" spans="3:27" x14ac:dyDescent="0.25">
      <c r="C137" s="34"/>
      <c r="T137" s="34"/>
      <c r="U137" s="34"/>
      <c r="AA137"/>
    </row>
    <row r="138" spans="3:27" x14ac:dyDescent="0.25">
      <c r="C138" s="34"/>
      <c r="T138" s="34"/>
      <c r="U138" s="34"/>
      <c r="AA138"/>
    </row>
    <row r="139" spans="3:27" x14ac:dyDescent="0.25">
      <c r="C139" s="34"/>
      <c r="T139" s="34"/>
      <c r="U139" s="34"/>
      <c r="AA139"/>
    </row>
    <row r="140" spans="3:27" x14ac:dyDescent="0.25">
      <c r="C140" s="34"/>
      <c r="T140" s="34"/>
      <c r="U140" s="34"/>
      <c r="AA140"/>
    </row>
    <row r="141" spans="3:27" x14ac:dyDescent="0.25">
      <c r="C141" s="34"/>
      <c r="T141" s="34"/>
      <c r="U141" s="34"/>
      <c r="AA141"/>
    </row>
    <row r="142" spans="3:27" x14ac:dyDescent="0.25">
      <c r="C142" s="34"/>
      <c r="T142" s="34"/>
      <c r="U142" s="34"/>
      <c r="AA142"/>
    </row>
    <row r="143" spans="3:27" x14ac:dyDescent="0.25">
      <c r="C143" s="34"/>
      <c r="T143" s="34"/>
      <c r="U143" s="34"/>
      <c r="AA143"/>
    </row>
    <row r="144" spans="3:27" x14ac:dyDescent="0.25">
      <c r="C144" s="34"/>
      <c r="T144" s="34"/>
      <c r="U144" s="34"/>
    </row>
    <row r="145" spans="3:21" x14ac:dyDescent="0.25">
      <c r="C145" s="34"/>
      <c r="T145" s="34"/>
      <c r="U145" s="34"/>
    </row>
    <row r="146" spans="3:21" x14ac:dyDescent="0.25">
      <c r="C146" s="34"/>
      <c r="T146" s="34"/>
      <c r="U146" s="34"/>
    </row>
    <row r="147" spans="3:21" x14ac:dyDescent="0.25">
      <c r="C147" s="34"/>
      <c r="T147" s="34"/>
      <c r="U147" s="34"/>
    </row>
    <row r="148" spans="3:21" ht="21" x14ac:dyDescent="0.35">
      <c r="C148" s="34"/>
      <c r="D148" s="17"/>
      <c r="T148" s="34"/>
      <c r="U148" s="34"/>
    </row>
    <row r="149" spans="3:21" x14ac:dyDescent="0.25">
      <c r="C149" s="34"/>
      <c r="T149" s="34"/>
      <c r="U149" s="34"/>
    </row>
    <row r="150" spans="3:21" x14ac:dyDescent="0.25">
      <c r="C150" s="34"/>
      <c r="T150" s="34"/>
      <c r="U150" s="34"/>
    </row>
    <row r="151" spans="3:21" x14ac:dyDescent="0.25">
      <c r="C151" s="34"/>
      <c r="T151" s="34"/>
      <c r="U151" s="34"/>
    </row>
    <row r="152" spans="3:21" x14ac:dyDescent="0.25">
      <c r="C152" s="34"/>
      <c r="T152" s="34"/>
      <c r="U152" s="34"/>
    </row>
    <row r="153" spans="3:21" x14ac:dyDescent="0.25">
      <c r="C153" s="34"/>
      <c r="T153" s="34"/>
      <c r="U153" s="34"/>
    </row>
    <row r="154" spans="3:21" x14ac:dyDescent="0.25">
      <c r="C154" s="34"/>
      <c r="T154" s="34"/>
      <c r="U154" s="34"/>
    </row>
    <row r="155" spans="3:21" x14ac:dyDescent="0.25">
      <c r="C155" s="34"/>
      <c r="T155" s="34"/>
      <c r="U155" s="34"/>
    </row>
    <row r="156" spans="3:21" x14ac:dyDescent="0.25">
      <c r="C156" s="34"/>
      <c r="T156" s="34"/>
      <c r="U156" s="34"/>
    </row>
  </sheetData>
  <mergeCells count="6">
    <mergeCell ref="P15:S15"/>
    <mergeCell ref="F7:H7"/>
    <mergeCell ref="F8:G8"/>
    <mergeCell ref="F9:G9"/>
    <mergeCell ref="F10:G10"/>
    <mergeCell ref="F11:G11"/>
  </mergeCells>
  <conditionalFormatting sqref="I17:I90">
    <cfRule type="cellIs" dxfId="20" priority="25" operator="lessThan">
      <formula>0.85</formula>
    </cfRule>
    <cfRule type="cellIs" dxfId="19" priority="26" operator="greaterThan">
      <formula>0.85</formula>
    </cfRule>
  </conditionalFormatting>
  <conditionalFormatting sqref="J17:J90">
    <cfRule type="cellIs" dxfId="18" priority="23" operator="lessThan">
      <formula>0.9</formula>
    </cfRule>
    <cfRule type="cellIs" dxfId="17" priority="24" operator="greaterThan">
      <formula>0.9</formula>
    </cfRule>
  </conditionalFormatting>
  <conditionalFormatting sqref="K17:K90">
    <cfRule type="cellIs" dxfId="16" priority="21" operator="lessThan">
      <formula>0.85</formula>
    </cfRule>
    <cfRule type="cellIs" dxfId="15" priority="22" operator="greaterThan">
      <formula>0.85</formula>
    </cfRule>
  </conditionalFormatting>
  <conditionalFormatting sqref="L17:L90">
    <cfRule type="cellIs" dxfId="14" priority="19" operator="lessThan">
      <formula>0.9</formula>
    </cfRule>
    <cfRule type="cellIs" dxfId="13" priority="20" operator="greaterThan">
      <formula>0.9</formula>
    </cfRule>
  </conditionalFormatting>
  <conditionalFormatting sqref="P17:S90">
    <cfRule type="expression" dxfId="12" priority="10">
      <formula>V17=1</formula>
    </cfRule>
    <cfRule type="expression" dxfId="11" priority="11">
      <formula>V17=2</formula>
    </cfRule>
    <cfRule type="expression" dxfId="10" priority="12">
      <formula>V17=3</formula>
    </cfRule>
    <cfRule type="expression" dxfId="9" priority="13">
      <formula>V17=4</formula>
    </cfRule>
  </conditionalFormatting>
  <conditionalFormatting sqref="P94:S122">
    <cfRule type="expression" dxfId="8" priority="9">
      <formula>V94=4</formula>
    </cfRule>
    <cfRule type="expression" dxfId="7" priority="8">
      <formula>V94=3</formula>
    </cfRule>
    <cfRule type="expression" dxfId="6" priority="7">
      <formula>V94=2</formula>
    </cfRule>
    <cfRule type="expression" dxfId="5" priority="6">
      <formula>V94=1</formula>
    </cfRule>
  </conditionalFormatting>
  <conditionalFormatting sqref="I94:I122">
    <cfRule type="cellIs" dxfId="4" priority="5" operator="greaterThan">
      <formula>0.85</formula>
    </cfRule>
  </conditionalFormatting>
  <conditionalFormatting sqref="J94:J122">
    <cfRule type="cellIs" dxfId="3" priority="4" operator="greaterThan">
      <formula>0.9</formula>
    </cfRule>
  </conditionalFormatting>
  <conditionalFormatting sqref="K94:K122">
    <cfRule type="cellIs" dxfId="2" priority="3" operator="greaterThan">
      <formula>0.85</formula>
    </cfRule>
  </conditionalFormatting>
  <conditionalFormatting sqref="L94:L122">
    <cfRule type="cellIs" dxfId="0" priority="2" operator="greaterThan">
      <formula>0.9</formula>
    </cfRule>
    <cfRule type="cellIs" dxfId="1" priority="1" operator="lessThan">
      <formula>0.9</formula>
    </cfRule>
  </conditionalFormatting>
  <pageMargins left="0.70866141732283472" right="0.70866141732283472" top="0.74803149606299213" bottom="0.74803149606299213" header="0.31496062992125984" footer="0.31496062992125984"/>
  <pageSetup paperSize="9" scale="38" orientation="portrait" r:id="rId1"/>
  <headerFooter>
    <oddFooter>Page &amp;P</oddFooter>
  </headerFooter>
  <rowBreaks count="1" manualBreakCount="1">
    <brk id="92" min="3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Base de donnée</vt:lpstr>
      <vt:lpstr>tdb1_ems</vt:lpstr>
      <vt:lpstr>tdb1_ems_alerte</vt:lpstr>
      <vt:lpstr>tdb2_alerte</vt:lpstr>
      <vt:lpstr>tdb1_ems!Zone_d_impression</vt:lpstr>
      <vt:lpstr>tdb2_alerte!Zone_d_impression</vt:lpstr>
    </vt:vector>
  </TitlesOfParts>
  <Company>Office_2021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TALLY Wilma</dc:creator>
  <cp:lastModifiedBy>TALLY Wilma</cp:lastModifiedBy>
  <dcterms:created xsi:type="dcterms:W3CDTF">2025-10-22T09:08:09Z</dcterms:created>
  <dcterms:modified xsi:type="dcterms:W3CDTF">2026-01-20T18:40:11Z</dcterms:modified>
</cp:coreProperties>
</file>